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urva ABC" sheetId="2" state="visible" r:id="rId2"/>
    <sheet name="Resumo ABC" sheetId="3" state="visible" r:id="rId3"/>
  </sheets>
  <definedNames>
    <definedName name="_xlnm._FilterDatabase" localSheetId="1" hidden="1">'Curva ABC'!$A$1:$N$621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3" fontId="1" fillId="0" borderId="0" pivotButton="0" quotePrefix="0" xfId="0"/>
    <xf numFmtId="164" fontId="1" fillId="0" borderId="0" pivotButton="0" quotePrefix="0" xfId="0"/>
    <xf numFmtId="0" fontId="3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Curva ABC de Vendas por Item (SKU)</t>
        </is>
      </c>
    </row>
    <row r="2">
      <c r="A2" s="2" t="inlineStr">
        <is>
          <t>Gerado em 24/07/2026, a partir do banco do Oráculo (Supabase), tabela olist_order_items.</t>
        </is>
      </c>
    </row>
    <row r="3">
      <c r="A3" s="2" t="inlineStr"/>
    </row>
    <row r="4">
      <c r="A4" s="1" t="inlineStr">
        <is>
          <t>PERÍODO DISPONÍVEL — leia com atenção:</t>
        </is>
      </c>
    </row>
    <row r="5">
      <c r="A5" s="2" t="inlineStr">
        <is>
          <t>• Foi pedida a curva dos últimos 3 e 6 meses. A base do Oráculo só tem pedidos desde 01/05/2026</t>
        </is>
      </c>
    </row>
    <row r="6">
      <c r="A6" s="2" t="inlineStr">
        <is>
          <t xml:space="preserve">  e itens por SKU desde 13/05/2026. Portanto NÃO existe janela de 6 meses: a curva abaixo cobre</t>
        </is>
      </c>
    </row>
    <row r="7">
      <c r="A7" s="2" t="inlineStr">
        <is>
          <t xml:space="preserve">  todo o período disponível (13/05/2026 a 24/07/2026, ~2,4 meses), que é também a melhor</t>
        </is>
      </c>
    </row>
    <row r="8">
      <c r="A8" s="2" t="inlineStr">
        <is>
          <t xml:space="preserve">  aproximação possível de "últimos 3 meses".</t>
        </is>
      </c>
    </row>
    <row r="9">
      <c r="A9" s="2" t="inlineStr"/>
    </row>
    <row r="10">
      <c r="A10" s="1" t="inlineStr">
        <is>
          <t>COBERTURA PARCIAL DE ITENS:</t>
        </is>
      </c>
    </row>
    <row r="11">
      <c r="A11" s="2" t="inlineStr">
        <is>
          <t>• Maio: cobertura de itens por SKU é residual (165 linhas para ~89 mil pedidos) — o mês pesa quase</t>
        </is>
      </c>
    </row>
    <row r="12">
      <c r="A12" s="2" t="inlineStr">
        <is>
          <t xml:space="preserve">  nada na curva. Junho e julho têm cobertura parcial (~46-53% dos pedidos com itens vinculados).</t>
        </is>
      </c>
    </row>
    <row r="13">
      <c r="A13" s="2" t="inlineStr">
        <is>
          <t>• A curva reflete os pedidos COM itens vinculados; o ranking relativo tende a ser representativo,</t>
        </is>
      </c>
    </row>
    <row r="14">
      <c r="A14" s="2" t="inlineStr">
        <is>
          <t xml:space="preserve">  mas os valores absolutos subestimam o total vendido.</t>
        </is>
      </c>
    </row>
    <row r="15">
      <c r="A15" s="2" t="inlineStr">
        <is>
          <t>• Pedidos cancelados (situação 8) foram excluídos.</t>
        </is>
      </c>
    </row>
    <row r="16">
      <c r="A16" s="2" t="inlineStr"/>
    </row>
    <row r="17">
      <c r="A17" s="1" t="inlineStr">
        <is>
          <t>METODOLOGIA:</t>
        </is>
      </c>
    </row>
    <row r="18">
      <c r="A18" s="2" t="inlineStr">
        <is>
          <t>• Classificação pela receita: ordena SKUs por receita decrescente e acumula o % da receita total.</t>
        </is>
      </c>
    </row>
    <row r="19">
      <c r="A19" s="2" t="inlineStr">
        <is>
          <t xml:space="preserve">  Classe A = até 80% acumulado · Classe B = de 80% a 95% · Classe C = acima de 95%.</t>
        </is>
      </c>
    </row>
    <row r="20">
      <c r="A20" s="2" t="inlineStr">
        <is>
          <t>• 'Receita' = soma de valor_total das linhas de item (preço praticado x quantidade).</t>
        </is>
      </c>
    </row>
    <row r="21">
      <c r="A21" s="2" t="inlineStr"/>
    </row>
    <row r="22">
      <c r="A22" s="2" t="inlineStr">
        <is>
          <t>• 620 SKUs · 119.746 linhas de item · 117.025 pedidos com itens · receita total R$ 11.540.222,43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5" customWidth="1" min="3" max="3"/>
    <col width="11" customWidth="1" min="4" max="4"/>
    <col width="11" customWidth="1" min="5" max="5"/>
    <col width="13" customWidth="1" min="6" max="6"/>
    <col width="11" customWidth="1" min="7" max="7"/>
    <col width="14" customWidth="1" min="8" max="8"/>
    <col width="14" customWidth="1" min="9" max="9"/>
    <col width="15" customWidth="1" min="10" max="10"/>
    <col width="15" customWidth="1" min="11" max="11"/>
    <col width="10" customWidth="1" min="12" max="12"/>
    <col width="12" customWidth="1" min="13" max="13"/>
    <col width="8" customWidth="1" min="14" max="14"/>
  </cols>
  <sheetData>
    <row r="1">
      <c r="A1" s="3" t="inlineStr">
        <is>
          <t>#</t>
        </is>
      </c>
      <c r="B1" s="3" t="inlineStr">
        <is>
          <t>SKU</t>
        </is>
      </c>
      <c r="C1" s="3" t="inlineStr">
        <is>
          <t>Produto</t>
        </is>
      </c>
      <c r="D1" s="3" t="inlineStr">
        <is>
          <t>Qtd Mai/26</t>
        </is>
      </c>
      <c r="E1" s="3" t="inlineStr">
        <is>
          <t>Qtd Jun/26</t>
        </is>
      </c>
      <c r="F1" s="3" t="inlineStr">
        <is>
          <t>Qtd Jul/26 (até 24)</t>
        </is>
      </c>
      <c r="G1" s="3" t="inlineStr">
        <is>
          <t>Qtd Total</t>
        </is>
      </c>
      <c r="H1" s="3" t="inlineStr">
        <is>
          <t>Receita Mai/26</t>
        </is>
      </c>
      <c r="I1" s="3" t="inlineStr">
        <is>
          <t>Receita Jun/26</t>
        </is>
      </c>
      <c r="J1" s="3" t="inlineStr">
        <is>
          <t>Receita Jul/26 (até 24)</t>
        </is>
      </c>
      <c r="K1" s="3" t="inlineStr">
        <is>
          <t>Receita Total</t>
        </is>
      </c>
      <c r="L1" s="3" t="inlineStr">
        <is>
          <t>% Receita</t>
        </is>
      </c>
      <c r="M1" s="3" t="inlineStr">
        <is>
          <t>% Acumulado</t>
        </is>
      </c>
      <c r="N1" s="3" t="inlineStr">
        <is>
          <t>Classe</t>
        </is>
      </c>
    </row>
    <row r="2">
      <c r="A2" s="2" t="n">
        <v>1</v>
      </c>
      <c r="B2" s="2" t="inlineStr">
        <is>
          <t>213986</t>
        </is>
      </c>
      <c r="C2" s="2" t="inlineStr">
        <is>
          <t>CHALEIRA ELETRICA INOX E MODERNA - INOX - 110V</t>
        </is>
      </c>
      <c r="D2" s="4" t="n">
        <v>6</v>
      </c>
      <c r="E2" s="4" t="n">
        <v>9919</v>
      </c>
      <c r="F2" s="4" t="n">
        <v>5849</v>
      </c>
      <c r="G2" s="4">
        <f>SUM(D2:F2)</f>
        <v/>
      </c>
      <c r="H2" s="5" t="n">
        <v>599.4</v>
      </c>
      <c r="I2" s="5" t="n">
        <v>891111.11</v>
      </c>
      <c r="J2" s="5" t="n">
        <v>461348</v>
      </c>
      <c r="K2" s="5">
        <f>SUM(H2:J2)</f>
        <v/>
      </c>
      <c r="L2" s="6">
        <f>IF($K$622=0,0,K2/$K$622)</f>
        <v/>
      </c>
      <c r="M2" s="6">
        <f>L2</f>
        <v/>
      </c>
      <c r="N2" s="7">
        <f>IF(M2&lt;=0.8,"A",IF(M2&lt;=0.95,"B","C"))</f>
        <v/>
      </c>
    </row>
    <row r="3">
      <c r="A3" s="2" t="n">
        <v>2</v>
      </c>
      <c r="B3" s="2" t="inlineStr">
        <is>
          <t>214013</t>
        </is>
      </c>
      <c r="C3" s="2" t="inlineStr">
        <is>
          <t>KIT CABIDE VELUDO PARA ROUPAS ADULTO - PRETO - 50</t>
        </is>
      </c>
      <c r="D3" s="4" t="n">
        <v>0</v>
      </c>
      <c r="E3" s="4" t="n">
        <v>2032</v>
      </c>
      <c r="F3" s="4" t="n">
        <v>4761</v>
      </c>
      <c r="G3" s="4">
        <f>SUM(D3:F3)</f>
        <v/>
      </c>
      <c r="H3" s="5" t="n">
        <v>0</v>
      </c>
      <c r="I3" s="5" t="n">
        <v>153102.11</v>
      </c>
      <c r="J3" s="5" t="n">
        <v>408443.98</v>
      </c>
      <c r="K3" s="5">
        <f>SUM(H3:J3)</f>
        <v/>
      </c>
      <c r="L3" s="6">
        <f>IF($K$622=0,0,K3/$K$622)</f>
        <v/>
      </c>
      <c r="M3" s="6">
        <f>M2+L3</f>
        <v/>
      </c>
      <c r="N3" s="7">
        <f>IF(M3&lt;=0.8,"A",IF(M3&lt;=0.95,"B","C"))</f>
        <v/>
      </c>
    </row>
    <row r="4">
      <c r="A4" s="2" t="n">
        <v>3</v>
      </c>
      <c r="B4" s="2" t="inlineStr">
        <is>
          <t>213987</t>
        </is>
      </c>
      <c r="C4" s="2" t="inlineStr">
        <is>
          <t>CHALEIRA ELETRICA - INOX - 220V</t>
        </is>
      </c>
      <c r="D4" s="4" t="n">
        <v>2</v>
      </c>
      <c r="E4" s="4" t="n">
        <v>3447</v>
      </c>
      <c r="F4" s="4" t="n">
        <v>3099</v>
      </c>
      <c r="G4" s="4">
        <f>SUM(D4:F4)</f>
        <v/>
      </c>
      <c r="H4" s="5" t="n">
        <v>147.81</v>
      </c>
      <c r="I4" s="5" t="n">
        <v>302994.19</v>
      </c>
      <c r="J4" s="5" t="n">
        <v>238305.87</v>
      </c>
      <c r="K4" s="5">
        <f>SUM(H4:J4)</f>
        <v/>
      </c>
      <c r="L4" s="6">
        <f>IF($K$622=0,0,K4/$K$622)</f>
        <v/>
      </c>
      <c r="M4" s="6">
        <f>M3+L4</f>
        <v/>
      </c>
      <c r="N4" s="7">
        <f>IF(M4&lt;=0.8,"A",IF(M4&lt;=0.95,"B","C"))</f>
        <v/>
      </c>
    </row>
    <row r="5">
      <c r="A5" s="2" t="n">
        <v>4</v>
      </c>
      <c r="B5" s="2" t="inlineStr">
        <is>
          <t>215515</t>
        </is>
      </c>
      <c r="C5" s="2" t="inlineStr">
        <is>
          <t>KIT AREIA HIGIÊNCIA ESPAÇO DE BICHO - GRÃOS FINOS - 8KG</t>
        </is>
      </c>
      <c r="D5" s="4" t="n">
        <v>4</v>
      </c>
      <c r="E5" s="4" t="n">
        <v>3217</v>
      </c>
      <c r="F5" s="4" t="n">
        <v>1845</v>
      </c>
      <c r="G5" s="4">
        <f>SUM(D5:F5)</f>
        <v/>
      </c>
      <c r="H5" s="5" t="n">
        <v>339.6</v>
      </c>
      <c r="I5" s="5" t="n">
        <v>298725.48</v>
      </c>
      <c r="J5" s="5" t="n">
        <v>187350.02</v>
      </c>
      <c r="K5" s="5">
        <f>SUM(H5:J5)</f>
        <v/>
      </c>
      <c r="L5" s="6">
        <f>IF($K$622=0,0,K5/$K$622)</f>
        <v/>
      </c>
      <c r="M5" s="6">
        <f>M4+L5</f>
        <v/>
      </c>
      <c r="N5" s="7">
        <f>IF(M5&lt;=0.8,"A",IF(M5&lt;=0.95,"B","C"))</f>
        <v/>
      </c>
    </row>
    <row r="6">
      <c r="A6" s="2" t="n">
        <v>5</v>
      </c>
      <c r="B6" s="2" t="inlineStr">
        <is>
          <t>EDB60X60-50UN</t>
        </is>
      </c>
      <c r="C6" s="2" t="inlineStr">
        <is>
          <t>TAPETE HIG ESPACO DE BICHO 60X60 50UN</t>
        </is>
      </c>
      <c r="D6" s="4" t="n">
        <v>77</v>
      </c>
      <c r="E6" s="4" t="n">
        <v>2714</v>
      </c>
      <c r="F6" s="4" t="n">
        <v>2484</v>
      </c>
      <c r="G6" s="4">
        <f>SUM(D6:F6)</f>
        <v/>
      </c>
      <c r="H6" s="5" t="n">
        <v>4924.37</v>
      </c>
      <c r="I6" s="5" t="n">
        <v>177567.2</v>
      </c>
      <c r="J6" s="5" t="n">
        <v>153271.74</v>
      </c>
      <c r="K6" s="5">
        <f>SUM(H6:J6)</f>
        <v/>
      </c>
      <c r="L6" s="6">
        <f>IF($K$622=0,0,K6/$K$622)</f>
        <v/>
      </c>
      <c r="M6" s="6">
        <f>M5+L6</f>
        <v/>
      </c>
      <c r="N6" s="7">
        <f>IF(M6&lt;=0.8,"A",IF(M6&lt;=0.95,"B","C"))</f>
        <v/>
      </c>
    </row>
    <row r="7">
      <c r="A7" s="2" t="n">
        <v>6</v>
      </c>
      <c r="B7" s="2" t="inlineStr">
        <is>
          <t>214014</t>
        </is>
      </c>
      <c r="C7" s="2" t="inlineStr">
        <is>
          <t>KIT CABIDE VELUDO PARA ROUPAS ADULTO - CINZA - 50</t>
        </is>
      </c>
      <c r="D7" s="4" t="n">
        <v>0</v>
      </c>
      <c r="E7" s="4" t="n">
        <v>988</v>
      </c>
      <c r="F7" s="4" t="n">
        <v>2410</v>
      </c>
      <c r="G7" s="4">
        <f>SUM(D7:F7)</f>
        <v/>
      </c>
      <c r="H7" s="5" t="n">
        <v>0</v>
      </c>
      <c r="I7" s="5" t="n">
        <v>74678.58</v>
      </c>
      <c r="J7" s="5" t="n">
        <v>219343.62</v>
      </c>
      <c r="K7" s="5">
        <f>SUM(H7:J7)</f>
        <v/>
      </c>
      <c r="L7" s="6">
        <f>IF($K$622=0,0,K7/$K$622)</f>
        <v/>
      </c>
      <c r="M7" s="6">
        <f>M6+L7</f>
        <v/>
      </c>
      <c r="N7" s="7">
        <f>IF(M7&lt;=0.8,"A",IF(M7&lt;=0.95,"B","C"))</f>
        <v/>
      </c>
    </row>
    <row r="8">
      <c r="A8" s="2" t="n">
        <v>7</v>
      </c>
      <c r="B8" s="2" t="inlineStr">
        <is>
          <t>213800</t>
        </is>
      </c>
      <c r="C8" s="2" t="inlineStr">
        <is>
          <t>KIT TAPETE HIG ESPAÇO DE BICHO LAVANDA 80X60 - 60 UNIDADES</t>
        </is>
      </c>
      <c r="D8" s="4" t="n">
        <v>0</v>
      </c>
      <c r="E8" s="4" t="n">
        <v>885</v>
      </c>
      <c r="F8" s="4" t="n">
        <v>1126</v>
      </c>
      <c r="G8" s="4">
        <f>SUM(D8:F8)</f>
        <v/>
      </c>
      <c r="H8" s="5" t="n">
        <v>0</v>
      </c>
      <c r="I8" s="5" t="n">
        <v>106771.5</v>
      </c>
      <c r="J8" s="5" t="n">
        <v>137652.4</v>
      </c>
      <c r="K8" s="5">
        <f>SUM(H8:J8)</f>
        <v/>
      </c>
      <c r="L8" s="6">
        <f>IF($K$622=0,0,K8/$K$622)</f>
        <v/>
      </c>
      <c r="M8" s="6">
        <f>M7+L8</f>
        <v/>
      </c>
      <c r="N8" s="7">
        <f>IF(M8&lt;=0.8,"A",IF(M8&lt;=0.95,"B","C"))</f>
        <v/>
      </c>
    </row>
    <row r="9">
      <c r="A9" s="2" t="n">
        <v>8</v>
      </c>
      <c r="B9" s="2" t="inlineStr">
        <is>
          <t>214162</t>
        </is>
      </c>
      <c r="C9" s="2" t="inlineStr">
        <is>
          <t>PANELA DE PRESSÃO ELÉTRICA 5L - 110V</t>
        </is>
      </c>
      <c r="D9" s="4" t="n">
        <v>0</v>
      </c>
      <c r="E9" s="4" t="n">
        <v>394</v>
      </c>
      <c r="F9" s="4" t="n">
        <v>240</v>
      </c>
      <c r="G9" s="4">
        <f>SUM(D9:F9)</f>
        <v/>
      </c>
      <c r="H9" s="5" t="n">
        <v>0</v>
      </c>
      <c r="I9" s="5" t="n">
        <v>146973.66</v>
      </c>
      <c r="J9" s="5" t="n">
        <v>81622.09</v>
      </c>
      <c r="K9" s="5">
        <f>SUM(H9:J9)</f>
        <v/>
      </c>
      <c r="L9" s="6">
        <f>IF($K$622=0,0,K9/$K$622)</f>
        <v/>
      </c>
      <c r="M9" s="6">
        <f>M8+L9</f>
        <v/>
      </c>
      <c r="N9" s="7">
        <f>IF(M9&lt;=0.8,"A",IF(M9&lt;=0.95,"B","C"))</f>
        <v/>
      </c>
    </row>
    <row r="10">
      <c r="A10" s="2" t="n">
        <v>9</v>
      </c>
      <c r="B10" s="2" t="inlineStr">
        <is>
          <t>215517</t>
        </is>
      </c>
      <c r="C10" s="2" t="inlineStr">
        <is>
          <t>KIT AREIA HIGIÊNCIA ESPAÇO DE BICHO - GRÃOS FINOS - 16KG</t>
        </is>
      </c>
      <c r="D10" s="4" t="n">
        <v>0</v>
      </c>
      <c r="E10" s="4" t="n">
        <v>565</v>
      </c>
      <c r="F10" s="4" t="n">
        <v>747</v>
      </c>
      <c r="G10" s="4">
        <f>SUM(D10:F10)</f>
        <v/>
      </c>
      <c r="H10" s="5" t="n">
        <v>0</v>
      </c>
      <c r="I10" s="5" t="n">
        <v>103009.97</v>
      </c>
      <c r="J10" s="5" t="n">
        <v>121977.77</v>
      </c>
      <c r="K10" s="5">
        <f>SUM(H10:J10)</f>
        <v/>
      </c>
      <c r="L10" s="6">
        <f>IF($K$622=0,0,K10/$K$622)</f>
        <v/>
      </c>
      <c r="M10" s="6">
        <f>M9+L10</f>
        <v/>
      </c>
      <c r="N10" s="7">
        <f>IF(M10&lt;=0.8,"A",IF(M10&lt;=0.95,"B","C"))</f>
        <v/>
      </c>
    </row>
    <row r="11">
      <c r="A11" s="2" t="n">
        <v>10</v>
      </c>
      <c r="B11" s="2" t="inlineStr">
        <is>
          <t>213851</t>
        </is>
      </c>
      <c r="C11" s="2" t="inlineStr">
        <is>
          <t>KIT TAPETE HIG ESPACO DE BICHO 50X60 - 200 UNIDADES</t>
        </is>
      </c>
      <c r="D11" s="4" t="n">
        <v>0</v>
      </c>
      <c r="E11" s="4" t="n">
        <v>578</v>
      </c>
      <c r="F11" s="4" t="n">
        <v>519</v>
      </c>
      <c r="G11" s="4">
        <f>SUM(D11:F11)</f>
        <v/>
      </c>
      <c r="H11" s="5" t="n">
        <v>0</v>
      </c>
      <c r="I11" s="5" t="n">
        <v>109305.2</v>
      </c>
      <c r="J11" s="5" t="n">
        <v>95066.10000000001</v>
      </c>
      <c r="K11" s="5">
        <f>SUM(H11:J11)</f>
        <v/>
      </c>
      <c r="L11" s="6">
        <f>IF($K$622=0,0,K11/$K$622)</f>
        <v/>
      </c>
      <c r="M11" s="6">
        <f>M10+L11</f>
        <v/>
      </c>
      <c r="N11" s="7">
        <f>IF(M11&lt;=0.8,"A",IF(M11&lt;=0.95,"B","C"))</f>
        <v/>
      </c>
    </row>
    <row r="12">
      <c r="A12" s="2" t="n">
        <v>11</v>
      </c>
      <c r="B12" s="2" t="inlineStr">
        <is>
          <t>213957</t>
        </is>
      </c>
      <c r="C12" s="2" t="inlineStr">
        <is>
          <t>KIT POTE DE VIDRO MARMITA - 640ML - AZUL - 10 POTES</t>
        </is>
      </c>
      <c r="D12" s="4" t="n">
        <v>1</v>
      </c>
      <c r="E12" s="4" t="n">
        <v>520</v>
      </c>
      <c r="F12" s="4" t="n">
        <v>1108</v>
      </c>
      <c r="G12" s="4">
        <f>SUM(D12:F12)</f>
        <v/>
      </c>
      <c r="H12" s="5" t="n">
        <v>129.9</v>
      </c>
      <c r="I12" s="5" t="n">
        <v>74785.98</v>
      </c>
      <c r="J12" s="5" t="n">
        <v>129103.49</v>
      </c>
      <c r="K12" s="5">
        <f>SUM(H12:J12)</f>
        <v/>
      </c>
      <c r="L12" s="6">
        <f>IF($K$622=0,0,K12/$K$622)</f>
        <v/>
      </c>
      <c r="M12" s="6">
        <f>M11+L12</f>
        <v/>
      </c>
      <c r="N12" s="7">
        <f>IF(M12&lt;=0.8,"A",IF(M12&lt;=0.95,"B","C"))</f>
        <v/>
      </c>
    </row>
    <row r="13">
      <c r="A13" s="2" t="n">
        <v>12</v>
      </c>
      <c r="B13" s="2" t="inlineStr">
        <is>
          <t>215514</t>
        </is>
      </c>
      <c r="C13" s="2" t="inlineStr">
        <is>
          <t>KIT AREIA HIGIÊNCIA ESPAÇO DE BICHO - GRÃOS FINOS - 4KG</t>
        </is>
      </c>
      <c r="D13" s="4" t="n">
        <v>12</v>
      </c>
      <c r="E13" s="4" t="n">
        <v>1977</v>
      </c>
      <c r="F13" s="4" t="n">
        <v>1884</v>
      </c>
      <c r="G13" s="4">
        <f>SUM(D13:F13)</f>
        <v/>
      </c>
      <c r="H13" s="5" t="n">
        <v>518.8</v>
      </c>
      <c r="I13" s="5" t="n">
        <v>108061.66</v>
      </c>
      <c r="J13" s="5" t="n">
        <v>95188.32000000001</v>
      </c>
      <c r="K13" s="5">
        <f>SUM(H13:J13)</f>
        <v/>
      </c>
      <c r="L13" s="6">
        <f>IF($K$622=0,0,K13/$K$622)</f>
        <v/>
      </c>
      <c r="M13" s="6">
        <f>M12+L13</f>
        <v/>
      </c>
      <c r="N13" s="7">
        <f>IF(M13&lt;=0.8,"A",IF(M13&lt;=0.95,"B","C"))</f>
        <v/>
      </c>
    </row>
    <row r="14">
      <c r="A14" s="2" t="n">
        <v>13</v>
      </c>
      <c r="B14" s="2" t="inlineStr">
        <is>
          <t>213860</t>
        </is>
      </c>
      <c r="C14" s="2" t="inlineStr">
        <is>
          <t>CHALEIRA ELETRICA - PRETO - 110V</t>
        </is>
      </c>
      <c r="D14" s="4" t="n">
        <v>1</v>
      </c>
      <c r="E14" s="4" t="n">
        <v>558</v>
      </c>
      <c r="F14" s="4" t="n">
        <v>6113</v>
      </c>
      <c r="G14" s="4">
        <f>SUM(D14:F14)</f>
        <v/>
      </c>
      <c r="H14" s="5" t="n">
        <v>54.9</v>
      </c>
      <c r="I14" s="5" t="n">
        <v>35748.2</v>
      </c>
      <c r="J14" s="5" t="n">
        <v>165423.14</v>
      </c>
      <c r="K14" s="5">
        <f>SUM(H14:J14)</f>
        <v/>
      </c>
      <c r="L14" s="6">
        <f>IF($K$622=0,0,K14/$K$622)</f>
        <v/>
      </c>
      <c r="M14" s="6">
        <f>M13+L14</f>
        <v/>
      </c>
      <c r="N14" s="7">
        <f>IF(M14&lt;=0.8,"A",IF(M14&lt;=0.95,"B","C"))</f>
        <v/>
      </c>
    </row>
    <row r="15">
      <c r="A15" s="2" t="n">
        <v>14</v>
      </c>
      <c r="B15" s="2" t="inlineStr">
        <is>
          <t>213849</t>
        </is>
      </c>
      <c r="C15" s="2" t="inlineStr">
        <is>
          <t>KIT TAPETE HIG ESPACO DE BICHO 50X60 - 100 UNIDADES</t>
        </is>
      </c>
      <c r="D15" s="4" t="n">
        <v>1</v>
      </c>
      <c r="E15" s="4" t="n">
        <v>682</v>
      </c>
      <c r="F15" s="4" t="n">
        <v>1143</v>
      </c>
      <c r="G15" s="4">
        <f>SUM(D15:F15)</f>
        <v/>
      </c>
      <c r="H15" s="5" t="n">
        <v>119.9</v>
      </c>
      <c r="I15" s="5" t="n">
        <v>77668.92999999999</v>
      </c>
      <c r="J15" s="5" t="n">
        <v>118022.37</v>
      </c>
      <c r="K15" s="5">
        <f>SUM(H15:J15)</f>
        <v/>
      </c>
      <c r="L15" s="6">
        <f>IF($K$622=0,0,K15/$K$622)</f>
        <v/>
      </c>
      <c r="M15" s="6">
        <f>M14+L15</f>
        <v/>
      </c>
      <c r="N15" s="7">
        <f>IF(M15&lt;=0.8,"A",IF(M15&lt;=0.95,"B","C"))</f>
        <v/>
      </c>
    </row>
    <row r="16">
      <c r="A16" s="2" t="n">
        <v>15</v>
      </c>
      <c r="B16" s="2" t="inlineStr">
        <is>
          <t>213988</t>
        </is>
      </c>
      <c r="C16" s="2" t="inlineStr">
        <is>
          <t>ASSENTO SANITÁRIO ALMOFADADO UNIVERSAL - BRANCO</t>
        </is>
      </c>
      <c r="D16" s="4" t="n">
        <v>1</v>
      </c>
      <c r="E16" s="4" t="n">
        <v>1092</v>
      </c>
      <c r="F16" s="4" t="n">
        <v>2566</v>
      </c>
      <c r="G16" s="4">
        <f>SUM(D16:F16)</f>
        <v/>
      </c>
      <c r="H16" s="5" t="n">
        <v>44.9</v>
      </c>
      <c r="I16" s="5" t="n">
        <v>57743.74</v>
      </c>
      <c r="J16" s="5" t="n">
        <v>121601.94</v>
      </c>
      <c r="K16" s="5">
        <f>SUM(H16:J16)</f>
        <v/>
      </c>
      <c r="L16" s="6">
        <f>IF($K$622=0,0,K16/$K$622)</f>
        <v/>
      </c>
      <c r="M16" s="6">
        <f>M15+L16</f>
        <v/>
      </c>
      <c r="N16" s="7">
        <f>IF(M16&lt;=0.8,"A",IF(M16&lt;=0.95,"B","C"))</f>
        <v/>
      </c>
    </row>
    <row r="17">
      <c r="A17" s="2" t="n">
        <v>16</v>
      </c>
      <c r="B17" s="2" t="inlineStr">
        <is>
          <t>213955</t>
        </is>
      </c>
      <c r="C17" s="2" t="inlineStr">
        <is>
          <t>KIT POTE DE VIDRO MARMITA - 370ML - AZUL - 10 POTES</t>
        </is>
      </c>
      <c r="D17" s="4" t="n">
        <v>0</v>
      </c>
      <c r="E17" s="4" t="n">
        <v>736</v>
      </c>
      <c r="F17" s="4" t="n">
        <v>1345</v>
      </c>
      <c r="G17" s="4">
        <f>SUM(D17:F17)</f>
        <v/>
      </c>
      <c r="H17" s="5" t="n">
        <v>0</v>
      </c>
      <c r="I17" s="5" t="n">
        <v>70942.34</v>
      </c>
      <c r="J17" s="5" t="n">
        <v>107951.03</v>
      </c>
      <c r="K17" s="5">
        <f>SUM(H17:J17)</f>
        <v/>
      </c>
      <c r="L17" s="6">
        <f>IF($K$622=0,0,K17/$K$622)</f>
        <v/>
      </c>
      <c r="M17" s="6">
        <f>M16+L17</f>
        <v/>
      </c>
      <c r="N17" s="7">
        <f>IF(M17&lt;=0.8,"A",IF(M17&lt;=0.95,"B","C"))</f>
        <v/>
      </c>
    </row>
    <row r="18">
      <c r="A18" s="2" t="n">
        <v>17</v>
      </c>
      <c r="B18" s="2" t="inlineStr">
        <is>
          <t>213843</t>
        </is>
      </c>
      <c r="C18" s="2" t="inlineStr">
        <is>
          <t>KIT TAPETE HIG ESPACO DE BICHO 60X60 - 100 UNIDADES</t>
        </is>
      </c>
      <c r="D18" s="4" t="n">
        <v>0</v>
      </c>
      <c r="E18" s="4" t="n">
        <v>765</v>
      </c>
      <c r="F18" s="4" t="n">
        <v>709</v>
      </c>
      <c r="G18" s="4">
        <f>SUM(D18:F18)</f>
        <v/>
      </c>
      <c r="H18" s="5" t="n">
        <v>0</v>
      </c>
      <c r="I18" s="5" t="n">
        <v>94158.84</v>
      </c>
      <c r="J18" s="5" t="n">
        <v>84637.10000000001</v>
      </c>
      <c r="K18" s="5">
        <f>SUM(H18:J18)</f>
        <v/>
      </c>
      <c r="L18" s="6">
        <f>IF($K$622=0,0,K18/$K$622)</f>
        <v/>
      </c>
      <c r="M18" s="6">
        <f>M17+L18</f>
        <v/>
      </c>
      <c r="N18" s="7">
        <f>IF(M18&lt;=0.8,"A",IF(M18&lt;=0.95,"B","C"))</f>
        <v/>
      </c>
    </row>
    <row r="19">
      <c r="A19" s="2" t="n">
        <v>18</v>
      </c>
      <c r="B19" s="2" t="inlineStr">
        <is>
          <t>212965</t>
        </is>
      </c>
      <c r="C19" s="2" t="inlineStr">
        <is>
          <t>TAPETE HIG ESPACO DE BICHO LAVANDA 80X60 30UN</t>
        </is>
      </c>
      <c r="D19" s="4" t="n">
        <v>27</v>
      </c>
      <c r="E19" s="4" t="n">
        <v>1422</v>
      </c>
      <c r="F19" s="4" t="n">
        <v>1159</v>
      </c>
      <c r="G19" s="4">
        <f>SUM(D19:F19)</f>
        <v/>
      </c>
      <c r="H19" s="5" t="n">
        <v>1759.3</v>
      </c>
      <c r="I19" s="5" t="n">
        <v>104118.62</v>
      </c>
      <c r="J19" s="5" t="n">
        <v>69943.75999999999</v>
      </c>
      <c r="K19" s="5">
        <f>SUM(H19:J19)</f>
        <v/>
      </c>
      <c r="L19" s="6">
        <f>IF($K$622=0,0,K19/$K$622)</f>
        <v/>
      </c>
      <c r="M19" s="6">
        <f>M18+L19</f>
        <v/>
      </c>
      <c r="N19" s="7">
        <f>IF(M19&lt;=0.8,"A",IF(M19&lt;=0.95,"B","C"))</f>
        <v/>
      </c>
    </row>
    <row r="20">
      <c r="A20" s="2" t="n">
        <v>19</v>
      </c>
      <c r="B20" s="2" t="inlineStr">
        <is>
          <t>213862</t>
        </is>
      </c>
      <c r="C20" s="2" t="inlineStr">
        <is>
          <t>CHALEIRA ELETRICA INOX E MODERNA - PRETO - 220V</t>
        </is>
      </c>
      <c r="D20" s="4" t="n">
        <v>0</v>
      </c>
      <c r="E20" s="4" t="n">
        <v>639</v>
      </c>
      <c r="F20" s="4" t="n">
        <v>5653</v>
      </c>
      <c r="G20" s="4">
        <f>SUM(D20:F20)</f>
        <v/>
      </c>
      <c r="H20" s="5" t="n">
        <v>0</v>
      </c>
      <c r="I20" s="5" t="n">
        <v>38329.72</v>
      </c>
      <c r="J20" s="5" t="n">
        <v>136550.37</v>
      </c>
      <c r="K20" s="5">
        <f>SUM(H20:J20)</f>
        <v/>
      </c>
      <c r="L20" s="6">
        <f>IF($K$622=0,0,K20/$K$622)</f>
        <v/>
      </c>
      <c r="M20" s="6">
        <f>M19+L20</f>
        <v/>
      </c>
      <c r="N20" s="7">
        <f>IF(M20&lt;=0.8,"A",IF(M20&lt;=0.95,"B","C"))</f>
        <v/>
      </c>
    </row>
    <row r="21">
      <c r="A21" s="2" t="n">
        <v>20</v>
      </c>
      <c r="B21" s="2" t="inlineStr">
        <is>
          <t>213169</t>
        </is>
      </c>
      <c r="C21" s="2" t="inlineStr">
        <is>
          <t>TAPETE HIG ESPACO DE BICHO 50X60 50UN</t>
        </is>
      </c>
      <c r="D21" s="4" t="n">
        <v>1</v>
      </c>
      <c r="E21" s="4" t="n">
        <v>1460</v>
      </c>
      <c r="F21" s="4" t="n">
        <v>1536</v>
      </c>
      <c r="G21" s="4">
        <f>SUM(D21:F21)</f>
        <v/>
      </c>
      <c r="H21" s="5" t="n">
        <v>56.9</v>
      </c>
      <c r="I21" s="5" t="n">
        <v>84580.7</v>
      </c>
      <c r="J21" s="5" t="n">
        <v>89919.21000000001</v>
      </c>
      <c r="K21" s="5">
        <f>SUM(H21:J21)</f>
        <v/>
      </c>
      <c r="L21" s="6">
        <f>IF($K$622=0,0,K21/$K$622)</f>
        <v/>
      </c>
      <c r="M21" s="6">
        <f>M20+L21</f>
        <v/>
      </c>
      <c r="N21" s="7">
        <f>IF(M21&lt;=0.8,"A",IF(M21&lt;=0.95,"B","C"))</f>
        <v/>
      </c>
    </row>
    <row r="22">
      <c r="A22" s="2" t="n">
        <v>21</v>
      </c>
      <c r="B22" s="2" t="inlineStr">
        <is>
          <t>214024</t>
        </is>
      </c>
      <c r="C22" s="2" t="inlineStr">
        <is>
          <t>SANDUICHEIRA ELÉTRICA 750W  - PRETA - 110V</t>
        </is>
      </c>
      <c r="D22" s="4" t="n">
        <v>1</v>
      </c>
      <c r="E22" s="4" t="n">
        <v>959</v>
      </c>
      <c r="F22" s="4" t="n">
        <v>1194</v>
      </c>
      <c r="G22" s="4">
        <f>SUM(D22:F22)</f>
        <v/>
      </c>
      <c r="H22" s="5" t="n">
        <v>69.90000000000001</v>
      </c>
      <c r="I22" s="5" t="n">
        <v>68269.64</v>
      </c>
      <c r="J22" s="5" t="n">
        <v>88120.72</v>
      </c>
      <c r="K22" s="5">
        <f>SUM(H22:J22)</f>
        <v/>
      </c>
      <c r="L22" s="6">
        <f>IF($K$622=0,0,K22/$K$622)</f>
        <v/>
      </c>
      <c r="M22" s="6">
        <f>M21+L22</f>
        <v/>
      </c>
      <c r="N22" s="7">
        <f>IF(M22&lt;=0.8,"A",IF(M22&lt;=0.95,"B","C"))</f>
        <v/>
      </c>
    </row>
    <row r="23">
      <c r="A23" s="2" t="n">
        <v>22</v>
      </c>
      <c r="B23" s="2" t="inlineStr">
        <is>
          <t>214163</t>
        </is>
      </c>
      <c r="C23" s="2" t="inlineStr">
        <is>
          <t>PANELA DE PRESSÃO ELÉTRICA 5L - 220V</t>
        </is>
      </c>
      <c r="D23" s="4" t="n">
        <v>0</v>
      </c>
      <c r="E23" s="4" t="n">
        <v>203</v>
      </c>
      <c r="F23" s="4" t="n">
        <v>238</v>
      </c>
      <c r="G23" s="4">
        <f>SUM(D23:F23)</f>
        <v/>
      </c>
      <c r="H23" s="5" t="n">
        <v>0</v>
      </c>
      <c r="I23" s="5" t="n">
        <v>75698.09</v>
      </c>
      <c r="J23" s="5" t="n">
        <v>79990.07000000001</v>
      </c>
      <c r="K23" s="5">
        <f>SUM(H23:J23)</f>
        <v/>
      </c>
      <c r="L23" s="6">
        <f>IF($K$622=0,0,K23/$K$622)</f>
        <v/>
      </c>
      <c r="M23" s="6">
        <f>M22+L23</f>
        <v/>
      </c>
      <c r="N23" s="7">
        <f>IF(M23&lt;=0.8,"A",IF(M23&lt;=0.95,"B","C"))</f>
        <v/>
      </c>
    </row>
    <row r="24">
      <c r="A24" s="2" t="n">
        <v>23</v>
      </c>
      <c r="B24" s="2" t="inlineStr">
        <is>
          <t>215516</t>
        </is>
      </c>
      <c r="C24" s="2" t="inlineStr">
        <is>
          <t>KIT AREIA HIGIÊNCIA ESPAÇO DE BICHO - GRÃOS FINOS - 12KG</t>
        </is>
      </c>
      <c r="D24" s="4" t="n">
        <v>0</v>
      </c>
      <c r="E24" s="4" t="n">
        <v>540</v>
      </c>
      <c r="F24" s="4" t="n">
        <v>487</v>
      </c>
      <c r="G24" s="4">
        <f>SUM(D24:F24)</f>
        <v/>
      </c>
      <c r="H24" s="5" t="n">
        <v>0</v>
      </c>
      <c r="I24" s="5" t="n">
        <v>84262.60000000001</v>
      </c>
      <c r="J24" s="5" t="n">
        <v>69792.2</v>
      </c>
      <c r="K24" s="5">
        <f>SUM(H24:J24)</f>
        <v/>
      </c>
      <c r="L24" s="6">
        <f>IF($K$622=0,0,K24/$K$622)</f>
        <v/>
      </c>
      <c r="M24" s="6">
        <f>M23+L24</f>
        <v/>
      </c>
      <c r="N24" s="7">
        <f>IF(M24&lt;=0.8,"A",IF(M24&lt;=0.95,"B","C"))</f>
        <v/>
      </c>
    </row>
    <row r="25">
      <c r="A25" s="2" t="n">
        <v>24</v>
      </c>
      <c r="B25" s="2" t="inlineStr">
        <is>
          <t>214017</t>
        </is>
      </c>
      <c r="C25" s="2" t="inlineStr">
        <is>
          <t>KIT CABIDE VELUDO PARA ROUPAS ADULTO - PRETO - 100</t>
        </is>
      </c>
      <c r="D25" s="4" t="n">
        <v>0</v>
      </c>
      <c r="E25" s="4" t="n">
        <v>345</v>
      </c>
      <c r="F25" s="4" t="n">
        <v>616</v>
      </c>
      <c r="G25" s="4">
        <f>SUM(D25:F25)</f>
        <v/>
      </c>
      <c r="H25" s="5" t="n">
        <v>0</v>
      </c>
      <c r="I25" s="5" t="n">
        <v>55930.05</v>
      </c>
      <c r="J25" s="5" t="n">
        <v>92562.88</v>
      </c>
      <c r="K25" s="5">
        <f>SUM(H25:J25)</f>
        <v/>
      </c>
      <c r="L25" s="6">
        <f>IF($K$622=0,0,K25/$K$622)</f>
        <v/>
      </c>
      <c r="M25" s="6">
        <f>M24+L25</f>
        <v/>
      </c>
      <c r="N25" s="7">
        <f>IF(M25&lt;=0.8,"A",IF(M25&lt;=0.95,"B","C"))</f>
        <v/>
      </c>
    </row>
    <row r="26">
      <c r="A26" s="2" t="n">
        <v>25</v>
      </c>
      <c r="B26" s="2" t="inlineStr">
        <is>
          <t>213954</t>
        </is>
      </c>
      <c r="C26" s="2" t="inlineStr">
        <is>
          <t>KIT POTE DE VIDRO MARMITA - 370ML - BRANCO - 10 POTES</t>
        </is>
      </c>
      <c r="D26" s="4" t="n">
        <v>1</v>
      </c>
      <c r="E26" s="4" t="n">
        <v>736</v>
      </c>
      <c r="F26" s="4" t="n">
        <v>916</v>
      </c>
      <c r="G26" s="4">
        <f>SUM(D26:F26)</f>
        <v/>
      </c>
      <c r="H26" s="5" t="n">
        <v>159.9</v>
      </c>
      <c r="I26" s="5" t="n">
        <v>71670.45</v>
      </c>
      <c r="J26" s="5" t="n">
        <v>75972.3</v>
      </c>
      <c r="K26" s="5">
        <f>SUM(H26:J26)</f>
        <v/>
      </c>
      <c r="L26" s="6">
        <f>IF($K$622=0,0,K26/$K$622)</f>
        <v/>
      </c>
      <c r="M26" s="6">
        <f>M25+L26</f>
        <v/>
      </c>
      <c r="N26" s="7">
        <f>IF(M26&lt;=0.8,"A",IF(M26&lt;=0.95,"B","C"))</f>
        <v/>
      </c>
    </row>
    <row r="27">
      <c r="A27" s="2" t="n">
        <v>26</v>
      </c>
      <c r="B27" s="2" t="inlineStr">
        <is>
          <t>213949</t>
        </is>
      </c>
      <c r="C27" s="2" t="inlineStr">
        <is>
          <t>KIT POTE DE VIDRO MARMITA - 370ML - AZUL - 5 POTES</t>
        </is>
      </c>
      <c r="D27" s="4" t="n">
        <v>1</v>
      </c>
      <c r="E27" s="4" t="n">
        <v>1135</v>
      </c>
      <c r="F27" s="4" t="n">
        <v>1049</v>
      </c>
      <c r="G27" s="4">
        <f>SUM(D27:F27)</f>
        <v/>
      </c>
      <c r="H27" s="5" t="n">
        <v>99.90000000000001</v>
      </c>
      <c r="I27" s="5" t="n">
        <v>79163.24000000001</v>
      </c>
      <c r="J27" s="5" t="n">
        <v>52032.34</v>
      </c>
      <c r="K27" s="5">
        <f>SUM(H27:J27)</f>
        <v/>
      </c>
      <c r="L27" s="6">
        <f>IF($K$622=0,0,K27/$K$622)</f>
        <v/>
      </c>
      <c r="M27" s="6">
        <f>M26+L27</f>
        <v/>
      </c>
      <c r="N27" s="7">
        <f>IF(M27&lt;=0.8,"A",IF(M27&lt;=0.95,"B","C"))</f>
        <v/>
      </c>
    </row>
    <row r="28">
      <c r="A28" s="2" t="n">
        <v>27</v>
      </c>
      <c r="B28" s="2" t="inlineStr">
        <is>
          <t>213956</t>
        </is>
      </c>
      <c r="C28" s="2" t="inlineStr">
        <is>
          <t>KIT POTE DE VIDRO MARMITA - 640ML - BRANCO - 10 POTES</t>
        </is>
      </c>
      <c r="D28" s="4" t="n">
        <v>0</v>
      </c>
      <c r="E28" s="4" t="n">
        <v>259</v>
      </c>
      <c r="F28" s="4" t="n">
        <v>746</v>
      </c>
      <c r="G28" s="4">
        <f>SUM(D28:F28)</f>
        <v/>
      </c>
      <c r="H28" s="5" t="n">
        <v>0</v>
      </c>
      <c r="I28" s="5" t="n">
        <v>42561.71</v>
      </c>
      <c r="J28" s="5" t="n">
        <v>83597.74000000001</v>
      </c>
      <c r="K28" s="5">
        <f>SUM(H28:J28)</f>
        <v/>
      </c>
      <c r="L28" s="6">
        <f>IF($K$622=0,0,K28/$K$622)</f>
        <v/>
      </c>
      <c r="M28" s="6">
        <f>M27+L28</f>
        <v/>
      </c>
      <c r="N28" s="7">
        <f>IF(M28&lt;=0.8,"A",IF(M28&lt;=0.95,"B","C"))</f>
        <v/>
      </c>
    </row>
    <row r="29">
      <c r="A29" s="2" t="n">
        <v>28</v>
      </c>
      <c r="B29" s="2" t="inlineStr">
        <is>
          <t>215518</t>
        </is>
      </c>
      <c r="C29" s="2" t="inlineStr">
        <is>
          <t>KIT AREIA HIGIÊNCIA ESPAÇO DE BICHO - GRÃOS FINOS - 20KG</t>
        </is>
      </c>
      <c r="D29" s="4" t="n">
        <v>0</v>
      </c>
      <c r="E29" s="4" t="n">
        <v>318</v>
      </c>
      <c r="F29" s="4" t="n">
        <v>172</v>
      </c>
      <c r="G29" s="4">
        <f>SUM(D29:F29)</f>
        <v/>
      </c>
      <c r="H29" s="5" t="n">
        <v>0</v>
      </c>
      <c r="I29" s="5" t="n">
        <v>78770.17999999999</v>
      </c>
      <c r="J29" s="5" t="n">
        <v>43994.75</v>
      </c>
      <c r="K29" s="5">
        <f>SUM(H29:J29)</f>
        <v/>
      </c>
      <c r="L29" s="6">
        <f>IF($K$622=0,0,K29/$K$622)</f>
        <v/>
      </c>
      <c r="M29" s="6">
        <f>M28+L29</f>
        <v/>
      </c>
      <c r="N29" s="7">
        <f>IF(M29&lt;=0.8,"A",IF(M29&lt;=0.95,"B","C"))</f>
        <v/>
      </c>
    </row>
    <row r="30">
      <c r="A30" s="2" t="n">
        <v>29</v>
      </c>
      <c r="B30" s="2" t="inlineStr">
        <is>
          <t>213951</t>
        </is>
      </c>
      <c r="C30" s="2" t="inlineStr">
        <is>
          <t>KIT POTE DE VIDRO MARMITA - 640ML - AZUL - 5 POTES</t>
        </is>
      </c>
      <c r="D30" s="4" t="n">
        <v>0</v>
      </c>
      <c r="E30" s="4" t="n">
        <v>758</v>
      </c>
      <c r="F30" s="4" t="n">
        <v>891</v>
      </c>
      <c r="G30" s="4">
        <f>SUM(D30:F30)</f>
        <v/>
      </c>
      <c r="H30" s="5" t="n">
        <v>0</v>
      </c>
      <c r="I30" s="5" t="n">
        <v>56952.95</v>
      </c>
      <c r="J30" s="5" t="n">
        <v>62360.72</v>
      </c>
      <c r="K30" s="5">
        <f>SUM(H30:J30)</f>
        <v/>
      </c>
      <c r="L30" s="6">
        <f>IF($K$622=0,0,K30/$K$622)</f>
        <v/>
      </c>
      <c r="M30" s="6">
        <f>M29+L30</f>
        <v/>
      </c>
      <c r="N30" s="7">
        <f>IF(M30&lt;=0.8,"A",IF(M30&lt;=0.95,"B","C"))</f>
        <v/>
      </c>
    </row>
    <row r="31">
      <c r="A31" s="2" t="n">
        <v>30</v>
      </c>
      <c r="B31" s="2" t="inlineStr">
        <is>
          <t>215520</t>
        </is>
      </c>
      <c r="C31" s="2" t="inlineStr">
        <is>
          <t>KIT AREIA HIGIÊNCIA ESPAÇO DE BICHO - GRÃOS GROSSOS - 8KG</t>
        </is>
      </c>
      <c r="D31" s="4" t="n">
        <v>0</v>
      </c>
      <c r="E31" s="4" t="n">
        <v>405</v>
      </c>
      <c r="F31" s="4" t="n">
        <v>795</v>
      </c>
      <c r="G31" s="4">
        <f>SUM(D31:F31)</f>
        <v/>
      </c>
      <c r="H31" s="5" t="n">
        <v>0</v>
      </c>
      <c r="I31" s="5" t="n">
        <v>41050.5</v>
      </c>
      <c r="J31" s="5" t="n">
        <v>76286.75999999999</v>
      </c>
      <c r="K31" s="5">
        <f>SUM(H31:J31)</f>
        <v/>
      </c>
      <c r="L31" s="6">
        <f>IF($K$622=0,0,K31/$K$622)</f>
        <v/>
      </c>
      <c r="M31" s="6">
        <f>M30+L31</f>
        <v/>
      </c>
      <c r="N31" s="7">
        <f>IF(M31&lt;=0.8,"A",IF(M31&lt;=0.95,"B","C"))</f>
        <v/>
      </c>
    </row>
    <row r="32">
      <c r="A32" s="2" t="n">
        <v>31</v>
      </c>
      <c r="B32" s="2" t="inlineStr">
        <is>
          <t>213974</t>
        </is>
      </c>
      <c r="C32" s="2" t="inlineStr">
        <is>
          <t>KIT POTE DE VIDRO MARMITA - 370ML - SORTIDO - 10 POTES</t>
        </is>
      </c>
      <c r="D32" s="4" t="n">
        <v>1</v>
      </c>
      <c r="E32" s="4" t="n">
        <v>666</v>
      </c>
      <c r="F32" s="4" t="n">
        <v>573</v>
      </c>
      <c r="G32" s="4">
        <f>SUM(D32:F32)</f>
        <v/>
      </c>
      <c r="H32" s="5" t="n">
        <v>199.9</v>
      </c>
      <c r="I32" s="5" t="n">
        <v>66270.87</v>
      </c>
      <c r="J32" s="5" t="n">
        <v>45141.76</v>
      </c>
      <c r="K32" s="5">
        <f>SUM(H32:J32)</f>
        <v/>
      </c>
      <c r="L32" s="6">
        <f>IF($K$622=0,0,K32/$K$622)</f>
        <v/>
      </c>
      <c r="M32" s="6">
        <f>M31+L32</f>
        <v/>
      </c>
      <c r="N32" s="7">
        <f>IF(M32&lt;=0.8,"A",IF(M32&lt;=0.95,"B","C"))</f>
        <v/>
      </c>
    </row>
    <row r="33">
      <c r="A33" s="2" t="n">
        <v>32</v>
      </c>
      <c r="B33" s="2" t="inlineStr">
        <is>
          <t>214026</t>
        </is>
      </c>
      <c r="C33" s="2" t="inlineStr">
        <is>
          <t>SANDUICHEIRA ELÉTRICA 750W  - PRETA - 220V</t>
        </is>
      </c>
      <c r="D33" s="4" t="n">
        <v>0</v>
      </c>
      <c r="E33" s="4" t="n">
        <v>521</v>
      </c>
      <c r="F33" s="4" t="n">
        <v>914</v>
      </c>
      <c r="G33" s="4">
        <f>SUM(D33:F33)</f>
        <v/>
      </c>
      <c r="H33" s="5" t="n">
        <v>0</v>
      </c>
      <c r="I33" s="5" t="n">
        <v>36979.49</v>
      </c>
      <c r="J33" s="5" t="n">
        <v>65852.07000000001</v>
      </c>
      <c r="K33" s="5">
        <f>SUM(H33:J33)</f>
        <v/>
      </c>
      <c r="L33" s="6">
        <f>IF($K$622=0,0,K33/$K$622)</f>
        <v/>
      </c>
      <c r="M33" s="6">
        <f>M32+L33</f>
        <v/>
      </c>
      <c r="N33" s="7">
        <f>IF(M33&lt;=0.8,"A",IF(M33&lt;=0.95,"B","C"))</f>
        <v/>
      </c>
    </row>
    <row r="34">
      <c r="A34" s="2" t="n">
        <v>33</v>
      </c>
      <c r="B34" s="2" t="inlineStr">
        <is>
          <t>213816</t>
        </is>
      </c>
      <c r="C34" s="2" t="inlineStr">
        <is>
          <t>KIT TAPETE HIG SHOPITO 60X60 50UN - 200 UNIDADES</t>
        </is>
      </c>
      <c r="D34" s="4" t="n">
        <v>1</v>
      </c>
      <c r="E34" s="4" t="n">
        <v>252</v>
      </c>
      <c r="F34" s="4" t="n">
        <v>198</v>
      </c>
      <c r="G34" s="4">
        <f>SUM(D34:F34)</f>
        <v/>
      </c>
      <c r="H34" s="5" t="n">
        <v>244.9</v>
      </c>
      <c r="I34" s="5" t="n">
        <v>57016.8</v>
      </c>
      <c r="J34" s="5" t="n">
        <v>43983.2</v>
      </c>
      <c r="K34" s="5">
        <f>SUM(H34:J34)</f>
        <v/>
      </c>
      <c r="L34" s="6">
        <f>IF($K$622=0,0,K34/$K$622)</f>
        <v/>
      </c>
      <c r="M34" s="6">
        <f>M33+L34</f>
        <v/>
      </c>
      <c r="N34" s="7">
        <f>IF(M34&lt;=0.8,"A",IF(M34&lt;=0.95,"B","C"))</f>
        <v/>
      </c>
    </row>
    <row r="35">
      <c r="A35" s="2" t="n">
        <v>34</v>
      </c>
      <c r="B35" s="2" t="inlineStr">
        <is>
          <t>213973</t>
        </is>
      </c>
      <c r="C35" s="2" t="inlineStr">
        <is>
          <t>KIT POTE DE VIDRO MARMITA - 370ML - SORTIDO - 5 POTES</t>
        </is>
      </c>
      <c r="D35" s="4" t="n">
        <v>6</v>
      </c>
      <c r="E35" s="4" t="n">
        <v>862</v>
      </c>
      <c r="F35" s="4" t="n">
        <v>262</v>
      </c>
      <c r="G35" s="4">
        <f>SUM(D35:F35)</f>
        <v/>
      </c>
      <c r="H35" s="5" t="n">
        <v>599.4</v>
      </c>
      <c r="I35" s="5" t="n">
        <v>82005.81</v>
      </c>
      <c r="J35" s="5" t="n">
        <v>15365.35</v>
      </c>
      <c r="K35" s="5">
        <f>SUM(H35:J35)</f>
        <v/>
      </c>
      <c r="L35" s="6">
        <f>IF($K$622=0,0,K35/$K$622)</f>
        <v/>
      </c>
      <c r="M35" s="6">
        <f>M34+L35</f>
        <v/>
      </c>
      <c r="N35" s="7">
        <f>IF(M35&lt;=0.8,"A",IF(M35&lt;=0.95,"B","C"))</f>
        <v/>
      </c>
    </row>
    <row r="36">
      <c r="A36" s="2" t="n">
        <v>35</v>
      </c>
      <c r="B36" s="2" t="inlineStr">
        <is>
          <t>214015</t>
        </is>
      </c>
      <c r="C36" s="2" t="inlineStr">
        <is>
          <t>KIT CABIDE VELUDO PARA ROUPAS ADULTO - BEGE - 50</t>
        </is>
      </c>
      <c r="D36" s="4" t="n">
        <v>0</v>
      </c>
      <c r="E36" s="4" t="n">
        <v>1019</v>
      </c>
      <c r="F36" s="4" t="n">
        <v>213</v>
      </c>
      <c r="G36" s="4">
        <f>SUM(D36:F36)</f>
        <v/>
      </c>
      <c r="H36" s="5" t="n">
        <v>0</v>
      </c>
      <c r="I36" s="5" t="n">
        <v>75373.38</v>
      </c>
      <c r="J36" s="5" t="n">
        <v>16271.7</v>
      </c>
      <c r="K36" s="5">
        <f>SUM(H36:J36)</f>
        <v/>
      </c>
      <c r="L36" s="6">
        <f>IF($K$622=0,0,K36/$K$622)</f>
        <v/>
      </c>
      <c r="M36" s="6">
        <f>M35+L36</f>
        <v/>
      </c>
      <c r="N36" s="7">
        <f>IF(M36&lt;=0.8,"A",IF(M36&lt;=0.95,"B","C"))</f>
        <v/>
      </c>
    </row>
    <row r="37">
      <c r="A37" s="2" t="n">
        <v>36</v>
      </c>
      <c r="B37" s="2" t="inlineStr">
        <is>
          <t>212961</t>
        </is>
      </c>
      <c r="C37" s="2" t="inlineStr">
        <is>
          <t>TAPETE HIG GOOD PAD 60X60 50UN</t>
        </is>
      </c>
      <c r="D37" s="4" t="n">
        <v>8</v>
      </c>
      <c r="E37" s="4" t="n">
        <v>877</v>
      </c>
      <c r="F37" s="4" t="n">
        <v>695</v>
      </c>
      <c r="G37" s="4">
        <f>SUM(D37:F37)</f>
        <v/>
      </c>
      <c r="H37" s="5" t="n">
        <v>478.2</v>
      </c>
      <c r="I37" s="5" t="n">
        <v>50352.97</v>
      </c>
      <c r="J37" s="5" t="n">
        <v>40778.25</v>
      </c>
      <c r="K37" s="5">
        <f>SUM(H37:J37)</f>
        <v/>
      </c>
      <c r="L37" s="6">
        <f>IF($K$622=0,0,K37/$K$622)</f>
        <v/>
      </c>
      <c r="M37" s="6">
        <f>M36+L37</f>
        <v/>
      </c>
      <c r="N37" s="7">
        <f>IF(M37&lt;=0.8,"A",IF(M37&lt;=0.95,"B","C"))</f>
        <v/>
      </c>
    </row>
    <row r="38">
      <c r="A38" s="2" t="n">
        <v>37</v>
      </c>
      <c r="B38" s="2" t="inlineStr">
        <is>
          <t>214029</t>
        </is>
      </c>
      <c r="C38" s="2" t="inlineStr">
        <is>
          <t>PISTOLA PULVERIZAÇÃO ELÉTRICA 800ML - 220V</t>
        </is>
      </c>
      <c r="D38" s="4" t="n">
        <v>3</v>
      </c>
      <c r="E38" s="4" t="n">
        <v>510</v>
      </c>
      <c r="F38" s="4" t="n">
        <v>66</v>
      </c>
      <c r="G38" s="4">
        <f>SUM(D38:F38)</f>
        <v/>
      </c>
      <c r="H38" s="5" t="n">
        <v>401.17</v>
      </c>
      <c r="I38" s="5" t="n">
        <v>74561.28</v>
      </c>
      <c r="J38" s="5" t="n">
        <v>11335.25</v>
      </c>
      <c r="K38" s="5">
        <f>SUM(H38:J38)</f>
        <v/>
      </c>
      <c r="L38" s="6">
        <f>IF($K$622=0,0,K38/$K$622)</f>
        <v/>
      </c>
      <c r="M38" s="6">
        <f>M37+L38</f>
        <v/>
      </c>
      <c r="N38" s="7">
        <f>IF(M38&lt;=0.8,"A",IF(M38&lt;=0.95,"B","C"))</f>
        <v/>
      </c>
    </row>
    <row r="39">
      <c r="A39" s="2" t="n">
        <v>38</v>
      </c>
      <c r="B39" s="2" t="inlineStr">
        <is>
          <t>213969</t>
        </is>
      </c>
      <c r="C39" s="2" t="inlineStr">
        <is>
          <t>KIT POTE DE VIDRO MARMITA - 640ML - SORTIDO - 10 POTES</t>
        </is>
      </c>
      <c r="D39" s="4" t="n">
        <v>0</v>
      </c>
      <c r="E39" s="4" t="n">
        <v>254</v>
      </c>
      <c r="F39" s="4" t="n">
        <v>376</v>
      </c>
      <c r="G39" s="4">
        <f>SUM(D39:F39)</f>
        <v/>
      </c>
      <c r="H39" s="5" t="n">
        <v>0</v>
      </c>
      <c r="I39" s="5" t="n">
        <v>43801.22</v>
      </c>
      <c r="J39" s="5" t="n">
        <v>41886.73</v>
      </c>
      <c r="K39" s="5">
        <f>SUM(H39:J39)</f>
        <v/>
      </c>
      <c r="L39" s="6">
        <f>IF($K$622=0,0,K39/$K$622)</f>
        <v/>
      </c>
      <c r="M39" s="6">
        <f>M38+L39</f>
        <v/>
      </c>
      <c r="N39" s="7">
        <f>IF(M39&lt;=0.8,"A",IF(M39&lt;=0.95,"B","C"))</f>
        <v/>
      </c>
    </row>
    <row r="40">
      <c r="A40" s="2" t="n">
        <v>39</v>
      </c>
      <c r="B40" s="2" t="inlineStr">
        <is>
          <t>212952</t>
        </is>
      </c>
      <c r="C40" s="2" t="inlineStr">
        <is>
          <t>TAPETE HIG ESPACO DE BICHO 60X60 30UN</t>
        </is>
      </c>
      <c r="D40" s="4" t="n">
        <v>0</v>
      </c>
      <c r="E40" s="4" t="n">
        <v>1133</v>
      </c>
      <c r="F40" s="4" t="n">
        <v>1061</v>
      </c>
      <c r="G40" s="4">
        <f>SUM(D40:F40)</f>
        <v/>
      </c>
      <c r="H40" s="5" t="n">
        <v>0</v>
      </c>
      <c r="I40" s="5" t="n">
        <v>43884.24</v>
      </c>
      <c r="J40" s="5" t="n">
        <v>40372.79</v>
      </c>
      <c r="K40" s="5">
        <f>SUM(H40:J40)</f>
        <v/>
      </c>
      <c r="L40" s="6">
        <f>IF($K$622=0,0,K40/$K$622)</f>
        <v/>
      </c>
      <c r="M40" s="6">
        <f>M39+L40</f>
        <v/>
      </c>
      <c r="N40" s="7">
        <f>IF(M40&lt;=0.8,"A",IF(M40&lt;=0.95,"B","C"))</f>
        <v/>
      </c>
    </row>
    <row r="41">
      <c r="A41" s="2" t="n">
        <v>40</v>
      </c>
      <c r="B41" s="2" t="inlineStr">
        <is>
          <t>215522</t>
        </is>
      </c>
      <c r="C41" s="2" t="inlineStr">
        <is>
          <t>KIT AREIA HIGIÊNCIA ESPAÇO DE BICHO - GRÃOS GROSSOS - 16KG</t>
        </is>
      </c>
      <c r="D41" s="4" t="n">
        <v>0</v>
      </c>
      <c r="E41" s="4" t="n">
        <v>482</v>
      </c>
      <c r="F41" s="4" t="n">
        <v>274</v>
      </c>
      <c r="G41" s="4">
        <f>SUM(D41:F41)</f>
        <v/>
      </c>
      <c r="H41" s="5" t="n">
        <v>0</v>
      </c>
      <c r="I41" s="5" t="n">
        <v>38350.66</v>
      </c>
      <c r="J41" s="5" t="n">
        <v>38312.02</v>
      </c>
      <c r="K41" s="5">
        <f>SUM(H41:J41)</f>
        <v/>
      </c>
      <c r="L41" s="6">
        <f>IF($K$622=0,0,K41/$K$622)</f>
        <v/>
      </c>
      <c r="M41" s="6">
        <f>M40+L41</f>
        <v/>
      </c>
      <c r="N41" s="7">
        <f>IF(M41&lt;=0.8,"A",IF(M41&lt;=0.95,"B","C"))</f>
        <v/>
      </c>
    </row>
    <row r="42">
      <c r="A42" s="2" t="n">
        <v>41</v>
      </c>
      <c r="B42" s="2" t="inlineStr">
        <is>
          <t>215990</t>
        </is>
      </c>
      <c r="C42" s="2" t="inlineStr">
        <is>
          <t>KIT POTE DE VIDRO MARMITA - 640ML - SORTIDO - 5 POTES</t>
        </is>
      </c>
      <c r="D42" s="4" t="n">
        <v>0</v>
      </c>
      <c r="E42" s="4" t="n">
        <v>50</v>
      </c>
      <c r="F42" s="4" t="n">
        <v>764</v>
      </c>
      <c r="G42" s="4">
        <f>SUM(D42:F42)</f>
        <v/>
      </c>
      <c r="H42" s="5" t="n">
        <v>0</v>
      </c>
      <c r="I42" s="5" t="n">
        <v>4950.4</v>
      </c>
      <c r="J42" s="5" t="n">
        <v>65081.1</v>
      </c>
      <c r="K42" s="5">
        <f>SUM(H42:J42)</f>
        <v/>
      </c>
      <c r="L42" s="6">
        <f>IF($K$622=0,0,K42/$K$622)</f>
        <v/>
      </c>
      <c r="M42" s="6">
        <f>M41+L42</f>
        <v/>
      </c>
      <c r="N42" s="7">
        <f>IF(M42&lt;=0.8,"A",IF(M42&lt;=0.95,"B","C"))</f>
        <v/>
      </c>
    </row>
    <row r="43">
      <c r="A43" s="2" t="n">
        <v>42</v>
      </c>
      <c r="B43" s="2" t="inlineStr">
        <is>
          <t>213844</t>
        </is>
      </c>
      <c r="C43" s="2" t="inlineStr">
        <is>
          <t>KIT TAPETE HIG ESPACO DE BICHO 60X60 - 150 UNIDADES</t>
        </is>
      </c>
      <c r="D43" s="4" t="n">
        <v>0</v>
      </c>
      <c r="E43" s="4" t="n">
        <v>264</v>
      </c>
      <c r="F43" s="4" t="n">
        <v>144</v>
      </c>
      <c r="G43" s="4">
        <f>SUM(D43:F43)</f>
        <v/>
      </c>
      <c r="H43" s="5" t="n">
        <v>0</v>
      </c>
      <c r="I43" s="5" t="n">
        <v>43132.28</v>
      </c>
      <c r="J43" s="5" t="n">
        <v>24423.6</v>
      </c>
      <c r="K43" s="5">
        <f>SUM(H43:J43)</f>
        <v/>
      </c>
      <c r="L43" s="6">
        <f>IF($K$622=0,0,K43/$K$622)</f>
        <v/>
      </c>
      <c r="M43" s="6">
        <f>M42+L43</f>
        <v/>
      </c>
      <c r="N43" s="7">
        <f>IF(M43&lt;=0.8,"A",IF(M43&lt;=0.95,"B","C"))</f>
        <v/>
      </c>
    </row>
    <row r="44">
      <c r="A44" s="2" t="n">
        <v>43</v>
      </c>
      <c r="B44" s="2" t="inlineStr">
        <is>
          <t>213832</t>
        </is>
      </c>
      <c r="C44" s="2" t="inlineStr">
        <is>
          <t>KIT TAPETE HIG GOOD PAD 60X60 - 100 UNIDADES</t>
        </is>
      </c>
      <c r="D44" s="4" t="n">
        <v>0</v>
      </c>
      <c r="E44" s="4" t="n">
        <v>192</v>
      </c>
      <c r="F44" s="4" t="n">
        <v>344</v>
      </c>
      <c r="G44" s="4">
        <f>SUM(D44:F44)</f>
        <v/>
      </c>
      <c r="H44" s="5" t="n">
        <v>0</v>
      </c>
      <c r="I44" s="5" t="n">
        <v>23560.8</v>
      </c>
      <c r="J44" s="5" t="n">
        <v>42339.6</v>
      </c>
      <c r="K44" s="5">
        <f>SUM(H44:J44)</f>
        <v/>
      </c>
      <c r="L44" s="6">
        <f>IF($K$622=0,0,K44/$K$622)</f>
        <v/>
      </c>
      <c r="M44" s="6">
        <f>M43+L44</f>
        <v/>
      </c>
      <c r="N44" s="7">
        <f>IF(M44&lt;=0.8,"A",IF(M44&lt;=0.95,"B","C"))</f>
        <v/>
      </c>
    </row>
    <row r="45">
      <c r="A45" s="2" t="n">
        <v>44</v>
      </c>
      <c r="B45" s="2" t="inlineStr">
        <is>
          <t>213948</t>
        </is>
      </c>
      <c r="C45" s="2" t="inlineStr">
        <is>
          <t>KIT POTE DE VIDRO MARMITA - 370ML - BRANCO - 5 POTES</t>
        </is>
      </c>
      <c r="D45" s="4" t="n">
        <v>0</v>
      </c>
      <c r="E45" s="4" t="n">
        <v>536</v>
      </c>
      <c r="F45" s="4" t="n">
        <v>358</v>
      </c>
      <c r="G45" s="4">
        <f>SUM(D45:F45)</f>
        <v/>
      </c>
      <c r="H45" s="5" t="n">
        <v>0</v>
      </c>
      <c r="I45" s="5" t="n">
        <v>43514.16</v>
      </c>
      <c r="J45" s="5" t="n">
        <v>20998.18</v>
      </c>
      <c r="K45" s="5">
        <f>SUM(H45:J45)</f>
        <v/>
      </c>
      <c r="L45" s="6">
        <f>IF($K$622=0,0,K45/$K$622)</f>
        <v/>
      </c>
      <c r="M45" s="6">
        <f>M44+L45</f>
        <v/>
      </c>
      <c r="N45" s="7">
        <f>IF(M45&lt;=0.8,"A",IF(M45&lt;=0.95,"B","C"))</f>
        <v/>
      </c>
    </row>
    <row r="46">
      <c r="A46" s="2" t="n">
        <v>45</v>
      </c>
      <c r="B46" s="2" t="inlineStr">
        <is>
          <t>213859</t>
        </is>
      </c>
      <c r="C46" s="2" t="inlineStr">
        <is>
          <t>CHALEIRA ELETRICA INOX E MODERNA - BRANCO - 110V</t>
        </is>
      </c>
      <c r="D46" s="4" t="n">
        <v>0</v>
      </c>
      <c r="E46" s="4" t="n">
        <v>491</v>
      </c>
      <c r="F46" s="4" t="n">
        <v>482</v>
      </c>
      <c r="G46" s="4">
        <f>SUM(D46:F46)</f>
        <v/>
      </c>
      <c r="H46" s="5" t="n">
        <v>0</v>
      </c>
      <c r="I46" s="5" t="n">
        <v>34280.33</v>
      </c>
      <c r="J46" s="5" t="n">
        <v>29414.44</v>
      </c>
      <c r="K46" s="5">
        <f>SUM(H46:J46)</f>
        <v/>
      </c>
      <c r="L46" s="6">
        <f>IF($K$622=0,0,K46/$K$622)</f>
        <v/>
      </c>
      <c r="M46" s="6">
        <f>M45+L46</f>
        <v/>
      </c>
      <c r="N46" s="7">
        <f>IF(M46&lt;=0.8,"A",IF(M46&lt;=0.95,"B","C"))</f>
        <v/>
      </c>
    </row>
    <row r="47">
      <c r="A47" s="2" t="n">
        <v>46</v>
      </c>
      <c r="B47" s="2" t="inlineStr">
        <is>
          <t>215966</t>
        </is>
      </c>
      <c r="C47" s="2" t="inlineStr">
        <is>
          <t>KIT POTE DE VIDRO MARMITA - 640ML - BRANCO - 5 POTES</t>
        </is>
      </c>
      <c r="D47" s="4" t="n">
        <v>0</v>
      </c>
      <c r="E47" s="4" t="n">
        <v>139</v>
      </c>
      <c r="F47" s="4" t="n">
        <v>602</v>
      </c>
      <c r="G47" s="4">
        <f>SUM(D47:F47)</f>
        <v/>
      </c>
      <c r="H47" s="5" t="n">
        <v>0</v>
      </c>
      <c r="I47" s="5" t="n">
        <v>15166.2</v>
      </c>
      <c r="J47" s="5" t="n">
        <v>47870.2</v>
      </c>
      <c r="K47" s="5">
        <f>SUM(H47:J47)</f>
        <v/>
      </c>
      <c r="L47" s="6">
        <f>IF($K$622=0,0,K47/$K$622)</f>
        <v/>
      </c>
      <c r="M47" s="6">
        <f>M46+L47</f>
        <v/>
      </c>
      <c r="N47" s="7">
        <f>IF(M47&lt;=0.8,"A",IF(M47&lt;=0.95,"B","C"))</f>
        <v/>
      </c>
    </row>
    <row r="48">
      <c r="A48" s="2" t="n">
        <v>47</v>
      </c>
      <c r="B48" s="2" t="inlineStr">
        <is>
          <t>215974</t>
        </is>
      </c>
      <c r="C48" s="2" t="inlineStr">
        <is>
          <t>KIT POTE DE VIDRO MARMITA - 640ML - AZUL - 5 POTES</t>
        </is>
      </c>
      <c r="D48" s="4" t="n">
        <v>0</v>
      </c>
      <c r="E48" s="4" t="n">
        <v>71</v>
      </c>
      <c r="F48" s="4" t="n">
        <v>684</v>
      </c>
      <c r="G48" s="4">
        <f>SUM(D48:F48)</f>
        <v/>
      </c>
      <c r="H48" s="5" t="n">
        <v>0</v>
      </c>
      <c r="I48" s="5" t="n">
        <v>7802.9</v>
      </c>
      <c r="J48" s="5" t="n">
        <v>54611.8</v>
      </c>
      <c r="K48" s="5">
        <f>SUM(H48:J48)</f>
        <v/>
      </c>
      <c r="L48" s="6">
        <f>IF($K$622=0,0,K48/$K$622)</f>
        <v/>
      </c>
      <c r="M48" s="6">
        <f>M47+L48</f>
        <v/>
      </c>
      <c r="N48" s="7">
        <f>IF(M48&lt;=0.8,"A",IF(M48&lt;=0.95,"B","C"))</f>
        <v/>
      </c>
    </row>
    <row r="49">
      <c r="A49" s="2" t="n">
        <v>48</v>
      </c>
      <c r="B49" s="2" t="inlineStr">
        <is>
          <t>214016</t>
        </is>
      </c>
      <c r="C49" s="2" t="inlineStr">
        <is>
          <t>KIT CABIDE VELUDO PARA ROUPAS ADULTO - BRANCO - 50</t>
        </is>
      </c>
      <c r="D49" s="4" t="n">
        <v>0</v>
      </c>
      <c r="E49" s="4" t="n">
        <v>182</v>
      </c>
      <c r="F49" s="4" t="n">
        <v>523</v>
      </c>
      <c r="G49" s="4">
        <f>SUM(D49:F49)</f>
        <v/>
      </c>
      <c r="H49" s="5" t="n">
        <v>0</v>
      </c>
      <c r="I49" s="5" t="n">
        <v>14336.19</v>
      </c>
      <c r="J49" s="5" t="n">
        <v>46264.18</v>
      </c>
      <c r="K49" s="5">
        <f>SUM(H49:J49)</f>
        <v/>
      </c>
      <c r="L49" s="6">
        <f>IF($K$622=0,0,K49/$K$622)</f>
        <v/>
      </c>
      <c r="M49" s="6">
        <f>M48+L49</f>
        <v/>
      </c>
      <c r="N49" s="7">
        <f>IF(M49&lt;=0.8,"A",IF(M49&lt;=0.95,"B","C"))</f>
        <v/>
      </c>
    </row>
    <row r="50">
      <c r="A50" s="2" t="n">
        <v>49</v>
      </c>
      <c r="B50" s="2" t="inlineStr">
        <is>
          <t>213968</t>
        </is>
      </c>
      <c r="C50" s="2" t="inlineStr">
        <is>
          <t>KIT POTE DE VIDRO MARMITA - 640ML - SORTIDO - 5 POTES</t>
        </is>
      </c>
      <c r="D50" s="4" t="n">
        <v>2</v>
      </c>
      <c r="E50" s="4" t="n">
        <v>420</v>
      </c>
      <c r="F50" s="4" t="n">
        <v>190</v>
      </c>
      <c r="G50" s="4">
        <f>SUM(D50:F50)</f>
        <v/>
      </c>
      <c r="H50" s="5" t="n">
        <v>199.8</v>
      </c>
      <c r="I50" s="5" t="n">
        <v>41472.71</v>
      </c>
      <c r="J50" s="5" t="n">
        <v>13447.89</v>
      </c>
      <c r="K50" s="5">
        <f>SUM(H50:J50)</f>
        <v/>
      </c>
      <c r="L50" s="6">
        <f>IF($K$622=0,0,K50/$K$622)</f>
        <v/>
      </c>
      <c r="M50" s="6">
        <f>M49+L50</f>
        <v/>
      </c>
      <c r="N50" s="7">
        <f>IF(M50&lt;=0.8,"A",IF(M50&lt;=0.95,"B","C"))</f>
        <v/>
      </c>
    </row>
    <row r="51">
      <c r="A51" s="2" t="n">
        <v>50</v>
      </c>
      <c r="B51" s="2" t="inlineStr">
        <is>
          <t>213953</t>
        </is>
      </c>
      <c r="C51" s="2" t="inlineStr">
        <is>
          <t>KIT POTE DE VIDRO MARMITA - 1040ML - AZUL - 5 POTES</t>
        </is>
      </c>
      <c r="D51" s="4" t="n">
        <v>0</v>
      </c>
      <c r="E51" s="4" t="n">
        <v>482</v>
      </c>
      <c r="F51" s="4" t="n">
        <v>163</v>
      </c>
      <c r="G51" s="4">
        <f>SUM(D51:F51)</f>
        <v/>
      </c>
      <c r="H51" s="5" t="n">
        <v>0</v>
      </c>
      <c r="I51" s="5" t="n">
        <v>41142.61</v>
      </c>
      <c r="J51" s="5" t="n">
        <v>13818.86</v>
      </c>
      <c r="K51" s="5">
        <f>SUM(H51:J51)</f>
        <v/>
      </c>
      <c r="L51" s="6">
        <f>IF($K$622=0,0,K51/$K$622)</f>
        <v/>
      </c>
      <c r="M51" s="6">
        <f>M50+L51</f>
        <v/>
      </c>
      <c r="N51" s="8">
        <f>IF(M51&lt;=0.8,"A",IF(M51&lt;=0.95,"B","C"))</f>
        <v/>
      </c>
    </row>
    <row r="52">
      <c r="A52" s="2" t="n">
        <v>51</v>
      </c>
      <c r="B52" s="2" t="inlineStr">
        <is>
          <t>213841</t>
        </is>
      </c>
      <c r="C52" s="2" t="inlineStr">
        <is>
          <t>KIT TAPETE HIG ESPACO DE BICHO 60X60 - 80 UNIDADES</t>
        </is>
      </c>
      <c r="D52" s="4" t="n">
        <v>0</v>
      </c>
      <c r="E52" s="4" t="n">
        <v>244</v>
      </c>
      <c r="F52" s="4" t="n">
        <v>344</v>
      </c>
      <c r="G52" s="4">
        <f>SUM(D52:F52)</f>
        <v/>
      </c>
      <c r="H52" s="5" t="n">
        <v>0</v>
      </c>
      <c r="I52" s="5" t="n">
        <v>21050.78</v>
      </c>
      <c r="J52" s="5" t="n">
        <v>31260.6</v>
      </c>
      <c r="K52" s="5">
        <f>SUM(H52:J52)</f>
        <v/>
      </c>
      <c r="L52" s="6">
        <f>IF($K$622=0,0,K52/$K$622)</f>
        <v/>
      </c>
      <c r="M52" s="6">
        <f>M51+L52</f>
        <v/>
      </c>
      <c r="N52" s="8">
        <f>IF(M52&lt;=0.8,"A",IF(M52&lt;=0.95,"B","C"))</f>
        <v/>
      </c>
    </row>
    <row r="53">
      <c r="A53" s="2" t="n">
        <v>52</v>
      </c>
      <c r="B53" s="2" t="inlineStr">
        <is>
          <t>(sem SKU)</t>
        </is>
      </c>
      <c r="C53" s="2" t="inlineStr">
        <is>
          <t>Kit com 10, 640ml, Azul</t>
        </is>
      </c>
      <c r="D53" s="4" t="n">
        <v>0</v>
      </c>
      <c r="E53" s="4" t="n">
        <v>389</v>
      </c>
      <c r="F53" s="4" t="n">
        <v>0</v>
      </c>
      <c r="G53" s="4">
        <f>SUM(D53:F53)</f>
        <v/>
      </c>
      <c r="H53" s="5" t="n">
        <v>0</v>
      </c>
      <c r="I53" s="5" t="n">
        <v>51530.1</v>
      </c>
      <c r="J53" s="5" t="n">
        <v>0</v>
      </c>
      <c r="K53" s="5">
        <f>SUM(H53:J53)</f>
        <v/>
      </c>
      <c r="L53" s="6">
        <f>IF($K$622=0,0,K53/$K$622)</f>
        <v/>
      </c>
      <c r="M53" s="6">
        <f>M52+L53</f>
        <v/>
      </c>
      <c r="N53" s="8">
        <f>IF(M53&lt;=0.8,"A",IF(M53&lt;=0.95,"B","C"))</f>
        <v/>
      </c>
    </row>
    <row r="54">
      <c r="A54" s="2" t="n">
        <v>53</v>
      </c>
      <c r="B54" s="2" t="inlineStr">
        <is>
          <t>213959</t>
        </is>
      </c>
      <c r="C54" s="2" t="inlineStr">
        <is>
          <t>KIT POTE DE VIDRO MARMITA - 1040ML - AZUL - 10 POTES</t>
        </is>
      </c>
      <c r="D54" s="4" t="n">
        <v>0</v>
      </c>
      <c r="E54" s="4" t="n">
        <v>233</v>
      </c>
      <c r="F54" s="4" t="n">
        <v>43</v>
      </c>
      <c r="G54" s="4">
        <f>SUM(D54:F54)</f>
        <v/>
      </c>
      <c r="H54" s="5" t="n">
        <v>0</v>
      </c>
      <c r="I54" s="5" t="n">
        <v>42097.05</v>
      </c>
      <c r="J54" s="5" t="n">
        <v>7246.9</v>
      </c>
      <c r="K54" s="5">
        <f>SUM(H54:J54)</f>
        <v/>
      </c>
      <c r="L54" s="6">
        <f>IF($K$622=0,0,K54/$K$622)</f>
        <v/>
      </c>
      <c r="M54" s="6">
        <f>M53+L54</f>
        <v/>
      </c>
      <c r="N54" s="8">
        <f>IF(M54&lt;=0.8,"A",IF(M54&lt;=0.95,"B","C"))</f>
        <v/>
      </c>
    </row>
    <row r="55">
      <c r="A55" s="2" t="n">
        <v>54</v>
      </c>
      <c r="B55" s="2" t="inlineStr">
        <is>
          <t>213993</t>
        </is>
      </c>
      <c r="C55" s="2" t="inlineStr">
        <is>
          <t>KIT BALANÇAS - CORPORAL</t>
        </is>
      </c>
      <c r="D55" s="4" t="n">
        <v>0</v>
      </c>
      <c r="E55" s="4" t="n">
        <v>167</v>
      </c>
      <c r="F55" s="4" t="n">
        <v>1440</v>
      </c>
      <c r="G55" s="4">
        <f>SUM(D55:F55)</f>
        <v/>
      </c>
      <c r="H55" s="5" t="n">
        <v>0</v>
      </c>
      <c r="I55" s="5" t="n">
        <v>5641.56</v>
      </c>
      <c r="J55" s="5" t="n">
        <v>43280.45</v>
      </c>
      <c r="K55" s="5">
        <f>SUM(H55:J55)</f>
        <v/>
      </c>
      <c r="L55" s="6">
        <f>IF($K$622=0,0,K55/$K$622)</f>
        <v/>
      </c>
      <c r="M55" s="6">
        <f>M54+L55</f>
        <v/>
      </c>
      <c r="N55" s="8">
        <f>IF(M55&lt;=0.8,"A",IF(M55&lt;=0.95,"B","C"))</f>
        <v/>
      </c>
    </row>
    <row r="56">
      <c r="A56" s="2" t="n">
        <v>55</v>
      </c>
      <c r="B56" s="2" t="inlineStr">
        <is>
          <t>215519</t>
        </is>
      </c>
      <c r="C56" s="2" t="inlineStr">
        <is>
          <t>KIT AREIA HIGIÊNCIA ESPAÇO DE BICHO - GRÃOS GROSSOS - 4KG</t>
        </is>
      </c>
      <c r="D56" s="4" t="n">
        <v>1</v>
      </c>
      <c r="E56" s="4" t="n">
        <v>341</v>
      </c>
      <c r="F56" s="4" t="n">
        <v>608</v>
      </c>
      <c r="G56" s="4">
        <f>SUM(D56:F56)</f>
        <v/>
      </c>
      <c r="H56" s="5" t="n">
        <v>44.9</v>
      </c>
      <c r="I56" s="5" t="n">
        <v>17601.77</v>
      </c>
      <c r="J56" s="5" t="n">
        <v>30398.35</v>
      </c>
      <c r="K56" s="5">
        <f>SUM(H56:J56)</f>
        <v/>
      </c>
      <c r="L56" s="6">
        <f>IF($K$622=0,0,K56/$K$622)</f>
        <v/>
      </c>
      <c r="M56" s="6">
        <f>M55+L56</f>
        <v/>
      </c>
      <c r="N56" s="8">
        <f>IF(M56&lt;=0.8,"A",IF(M56&lt;=0.95,"B","C"))</f>
        <v/>
      </c>
    </row>
    <row r="57">
      <c r="A57" s="2" t="n">
        <v>56</v>
      </c>
      <c r="B57" s="2" t="inlineStr">
        <is>
          <t>214018</t>
        </is>
      </c>
      <c r="C57" s="2" t="inlineStr">
        <is>
          <t>KIT CABIDE VELUDO PARA ROUPAS ADULTO - CINZA - 100</t>
        </is>
      </c>
      <c r="D57" s="4" t="n">
        <v>0</v>
      </c>
      <c r="E57" s="4" t="n">
        <v>127</v>
      </c>
      <c r="F57" s="4" t="n">
        <v>135</v>
      </c>
      <c r="G57" s="4">
        <f>SUM(D57:F57)</f>
        <v/>
      </c>
      <c r="H57" s="5" t="n">
        <v>0</v>
      </c>
      <c r="I57" s="5" t="n">
        <v>23490.83</v>
      </c>
      <c r="J57" s="5" t="n">
        <v>24387.98</v>
      </c>
      <c r="K57" s="5">
        <f>SUM(H57:J57)</f>
        <v/>
      </c>
      <c r="L57" s="6">
        <f>IF($K$622=0,0,K57/$K$622)</f>
        <v/>
      </c>
      <c r="M57" s="6">
        <f>M56+L57</f>
        <v/>
      </c>
      <c r="N57" s="8">
        <f>IF(M57&lt;=0.8,"A",IF(M57&lt;=0.95,"B","C"))</f>
        <v/>
      </c>
    </row>
    <row r="58">
      <c r="A58" s="2" t="n">
        <v>57</v>
      </c>
      <c r="B58" s="2" t="inlineStr">
        <is>
          <t>215521</t>
        </is>
      </c>
      <c r="C58" s="2" t="inlineStr">
        <is>
          <t>KIT AREIA HIGIÊNCIA ESPAÇO DE BICHO - GRÃOS GROSSOS - 12KG</t>
        </is>
      </c>
      <c r="D58" s="4" t="n">
        <v>0</v>
      </c>
      <c r="E58" s="4" t="n">
        <v>102</v>
      </c>
      <c r="F58" s="4" t="n">
        <v>211</v>
      </c>
      <c r="G58" s="4">
        <f>SUM(D58:F58)</f>
        <v/>
      </c>
      <c r="H58" s="5" t="n">
        <v>0</v>
      </c>
      <c r="I58" s="5" t="n">
        <v>16215.1</v>
      </c>
      <c r="J58" s="5" t="n">
        <v>29779.25</v>
      </c>
      <c r="K58" s="5">
        <f>SUM(H58:J58)</f>
        <v/>
      </c>
      <c r="L58" s="6">
        <f>IF($K$622=0,0,K58/$K$622)</f>
        <v/>
      </c>
      <c r="M58" s="6">
        <f>M57+L58</f>
        <v/>
      </c>
      <c r="N58" s="8">
        <f>IF(M58&lt;=0.8,"A",IF(M58&lt;=0.95,"B","C"))</f>
        <v/>
      </c>
    </row>
    <row r="59">
      <c r="A59" s="2" t="n">
        <v>58</v>
      </c>
      <c r="B59" s="2" t="inlineStr">
        <is>
          <t>215945</t>
        </is>
      </c>
      <c r="C59" s="2" t="inlineStr">
        <is>
          <t>KIT POTE DE VIDRO MARMITA - 370ML - AZUL - 10 POTES</t>
        </is>
      </c>
      <c r="D59" s="4" t="n">
        <v>0</v>
      </c>
      <c r="E59" s="4" t="n">
        <v>36</v>
      </c>
      <c r="F59" s="4" t="n">
        <v>251</v>
      </c>
      <c r="G59" s="4">
        <f>SUM(D59:F59)</f>
        <v/>
      </c>
      <c r="H59" s="5" t="n">
        <v>0</v>
      </c>
      <c r="I59" s="5" t="n">
        <v>5756.4</v>
      </c>
      <c r="J59" s="5" t="n">
        <v>38680.99</v>
      </c>
      <c r="K59" s="5">
        <f>SUM(H59:J59)</f>
        <v/>
      </c>
      <c r="L59" s="6">
        <f>IF($K$622=0,0,K59/$K$622)</f>
        <v/>
      </c>
      <c r="M59" s="6">
        <f>M58+L59</f>
        <v/>
      </c>
      <c r="N59" s="8">
        <f>IF(M59&lt;=0.8,"A",IF(M59&lt;=0.95,"B","C"))</f>
        <v/>
      </c>
    </row>
    <row r="60">
      <c r="A60" s="2" t="n">
        <v>59</v>
      </c>
      <c r="B60" s="2" t="inlineStr">
        <is>
          <t>214030</t>
        </is>
      </c>
      <c r="C60" s="2" t="inlineStr">
        <is>
          <t>ESCORREDOR DE LOUÇA - MODELO 1 - 65X31.5X44CM</t>
        </is>
      </c>
      <c r="D60" s="4" t="n">
        <v>0</v>
      </c>
      <c r="E60" s="4" t="n">
        <v>6</v>
      </c>
      <c r="F60" s="4" t="n">
        <v>527</v>
      </c>
      <c r="G60" s="4">
        <f>SUM(D60:F60)</f>
        <v/>
      </c>
      <c r="H60" s="5" t="n">
        <v>0</v>
      </c>
      <c r="I60" s="5" t="n">
        <v>624.39</v>
      </c>
      <c r="J60" s="5" t="n">
        <v>40732.51</v>
      </c>
      <c r="K60" s="5">
        <f>SUM(H60:J60)</f>
        <v/>
      </c>
      <c r="L60" s="6">
        <f>IF($K$622=0,0,K60/$K$622)</f>
        <v/>
      </c>
      <c r="M60" s="6">
        <f>M59+L60</f>
        <v/>
      </c>
      <c r="N60" s="8">
        <f>IF(M60&lt;=0.8,"A",IF(M60&lt;=0.95,"B","C"))</f>
        <v/>
      </c>
    </row>
    <row r="61">
      <c r="A61" s="2" t="n">
        <v>60</v>
      </c>
      <c r="B61" s="2" t="inlineStr">
        <is>
          <t>213814</t>
        </is>
      </c>
      <c r="C61" s="2" t="inlineStr">
        <is>
          <t>KIT TAPETE HIG SHOPITO 60X60 50UN - 100 UNIDADES</t>
        </is>
      </c>
      <c r="D61" s="4" t="n">
        <v>0</v>
      </c>
      <c r="E61" s="4" t="n">
        <v>167</v>
      </c>
      <c r="F61" s="4" t="n">
        <v>165</v>
      </c>
      <c r="G61" s="4">
        <f>SUM(D61:F61)</f>
        <v/>
      </c>
      <c r="H61" s="5" t="n">
        <v>0</v>
      </c>
      <c r="I61" s="5" t="n">
        <v>20243.75</v>
      </c>
      <c r="J61" s="5" t="n">
        <v>19537.5</v>
      </c>
      <c r="K61" s="5">
        <f>SUM(H61:J61)</f>
        <v/>
      </c>
      <c r="L61" s="6">
        <f>IF($K$622=0,0,K61/$K$622)</f>
        <v/>
      </c>
      <c r="M61" s="6">
        <f>M60+L61</f>
        <v/>
      </c>
      <c r="N61" s="8">
        <f>IF(M61&lt;=0.8,"A",IF(M61&lt;=0.95,"B","C"))</f>
        <v/>
      </c>
    </row>
    <row r="62">
      <c r="A62" s="2" t="n">
        <v>61</v>
      </c>
      <c r="B62" s="2" t="inlineStr">
        <is>
          <t>215969</t>
        </is>
      </c>
      <c r="C62" s="2" t="inlineStr">
        <is>
          <t>KIT POTE DE VIDRO MARMITA - 640ML - BRANCO - 10 POTES</t>
        </is>
      </c>
      <c r="D62" s="4" t="n">
        <v>0</v>
      </c>
      <c r="E62" s="4" t="n">
        <v>220</v>
      </c>
      <c r="F62" s="4" t="n">
        <v>0</v>
      </c>
      <c r="G62" s="4">
        <f>SUM(D62:F62)</f>
        <v/>
      </c>
      <c r="H62" s="5" t="n">
        <v>0</v>
      </c>
      <c r="I62" s="5" t="n">
        <v>39499.2</v>
      </c>
      <c r="J62" s="5" t="n">
        <v>0</v>
      </c>
      <c r="K62" s="5">
        <f>SUM(H62:J62)</f>
        <v/>
      </c>
      <c r="L62" s="6">
        <f>IF($K$622=0,0,K62/$K$622)</f>
        <v/>
      </c>
      <c r="M62" s="6">
        <f>M61+L62</f>
        <v/>
      </c>
      <c r="N62" s="8">
        <f>IF(M62&lt;=0.8,"A",IF(M62&lt;=0.95,"B","C"))</f>
        <v/>
      </c>
    </row>
    <row r="63">
      <c r="A63" s="2" t="n">
        <v>62</v>
      </c>
      <c r="B63" s="2" t="inlineStr">
        <is>
          <t>215993</t>
        </is>
      </c>
      <c r="C63" s="2" t="inlineStr">
        <is>
          <t>KIT POTE DE VIDRO MARMITA - 640ML - SORTIDO - 10 POTES</t>
        </is>
      </c>
      <c r="D63" s="4" t="n">
        <v>0</v>
      </c>
      <c r="E63" s="4" t="n">
        <v>63</v>
      </c>
      <c r="F63" s="4" t="n">
        <v>171</v>
      </c>
      <c r="G63" s="4">
        <f>SUM(D63:F63)</f>
        <v/>
      </c>
      <c r="H63" s="5" t="n">
        <v>0</v>
      </c>
      <c r="I63" s="5" t="n">
        <v>11553.9</v>
      </c>
      <c r="J63" s="5" t="n">
        <v>27342.9</v>
      </c>
      <c r="K63" s="5">
        <f>SUM(H63:J63)</f>
        <v/>
      </c>
      <c r="L63" s="6">
        <f>IF($K$622=0,0,K63/$K$622)</f>
        <v/>
      </c>
      <c r="M63" s="6">
        <f>M62+L63</f>
        <v/>
      </c>
      <c r="N63" s="8">
        <f>IF(M63&lt;=0.8,"A",IF(M63&lt;=0.95,"B","C"))</f>
        <v/>
      </c>
    </row>
    <row r="64">
      <c r="A64" s="2" t="n">
        <v>63</v>
      </c>
      <c r="B64" s="2" t="inlineStr">
        <is>
          <t>213861</t>
        </is>
      </c>
      <c r="C64" s="2" t="inlineStr">
        <is>
          <t>CHALEIRA ELETRICA INOX E MODERNA - BRANCO - 220V</t>
        </is>
      </c>
      <c r="D64" s="4" t="n">
        <v>0</v>
      </c>
      <c r="E64" s="4" t="n">
        <v>269</v>
      </c>
      <c r="F64" s="4" t="n">
        <v>398</v>
      </c>
      <c r="G64" s="4">
        <f>SUM(D64:F64)</f>
        <v/>
      </c>
      <c r="H64" s="5" t="n">
        <v>0</v>
      </c>
      <c r="I64" s="5" t="n">
        <v>15686.78</v>
      </c>
      <c r="J64" s="5" t="n">
        <v>22985.07</v>
      </c>
      <c r="K64" s="5">
        <f>SUM(H64:J64)</f>
        <v/>
      </c>
      <c r="L64" s="6">
        <f>IF($K$622=0,0,K64/$K$622)</f>
        <v/>
      </c>
      <c r="M64" s="6">
        <f>M63+L64</f>
        <v/>
      </c>
      <c r="N64" s="8">
        <f>IF(M64&lt;=0.8,"A",IF(M64&lt;=0.95,"B","C"))</f>
        <v/>
      </c>
    </row>
    <row r="65">
      <c r="A65" s="2" t="n">
        <v>64</v>
      </c>
      <c r="B65" s="2" t="inlineStr">
        <is>
          <t>214009</t>
        </is>
      </c>
      <c r="C65" s="2" t="inlineStr">
        <is>
          <t>KIT CABIDE VELUDO PARA ROUPAS ADULTO - PRETO - 30</t>
        </is>
      </c>
      <c r="D65" s="4" t="n">
        <v>0</v>
      </c>
      <c r="E65" s="4" t="n">
        <v>218</v>
      </c>
      <c r="F65" s="4" t="n">
        <v>420</v>
      </c>
      <c r="G65" s="4">
        <f>SUM(D65:F65)</f>
        <v/>
      </c>
      <c r="H65" s="5" t="n">
        <v>0</v>
      </c>
      <c r="I65" s="5" t="n">
        <v>12423.11</v>
      </c>
      <c r="J65" s="5" t="n">
        <v>25185.84</v>
      </c>
      <c r="K65" s="5">
        <f>SUM(H65:J65)</f>
        <v/>
      </c>
      <c r="L65" s="6">
        <f>IF($K$622=0,0,K65/$K$622)</f>
        <v/>
      </c>
      <c r="M65" s="6">
        <f>M64+L65</f>
        <v/>
      </c>
      <c r="N65" s="8">
        <f>IF(M65&lt;=0.8,"A",IF(M65&lt;=0.95,"B","C"))</f>
        <v/>
      </c>
    </row>
    <row r="66">
      <c r="A66" s="2" t="n">
        <v>65</v>
      </c>
      <c r="B66" s="2" t="inlineStr">
        <is>
          <t>215523</t>
        </is>
      </c>
      <c r="C66" s="2" t="inlineStr">
        <is>
          <t>KIT AREIA HIGIÊNCIA ESPAÇO DE BICHO - GRÃOS GROSSOS - 20KG</t>
        </is>
      </c>
      <c r="D66" s="4" t="n">
        <v>0</v>
      </c>
      <c r="E66" s="4" t="n">
        <v>74</v>
      </c>
      <c r="F66" s="4" t="n">
        <v>83</v>
      </c>
      <c r="G66" s="4">
        <f>SUM(D66:F66)</f>
        <v/>
      </c>
      <c r="H66" s="5" t="n">
        <v>0</v>
      </c>
      <c r="I66" s="5" t="n">
        <v>17869.6</v>
      </c>
      <c r="J66" s="5" t="n">
        <v>19353.69</v>
      </c>
      <c r="K66" s="5">
        <f>SUM(H66:J66)</f>
        <v/>
      </c>
      <c r="L66" s="6">
        <f>IF($K$622=0,0,K66/$K$622)</f>
        <v/>
      </c>
      <c r="M66" s="6">
        <f>M65+L66</f>
        <v/>
      </c>
      <c r="N66" s="8">
        <f>IF(M66&lt;=0.8,"A",IF(M66&lt;=0.95,"B","C"))</f>
        <v/>
      </c>
    </row>
    <row r="67">
      <c r="A67" s="2" t="n">
        <v>66</v>
      </c>
      <c r="B67" s="2" t="inlineStr">
        <is>
          <t>215937</t>
        </is>
      </c>
      <c r="C67" s="2" t="inlineStr">
        <is>
          <t>KIT POTE DE VIDRO MARMITA - 370ML - BRANCO - 10 POTES</t>
        </is>
      </c>
      <c r="D67" s="4" t="n">
        <v>0</v>
      </c>
      <c r="E67" s="4" t="n">
        <v>58</v>
      </c>
      <c r="F67" s="4" t="n">
        <v>185</v>
      </c>
      <c r="G67" s="4">
        <f>SUM(D67:F67)</f>
        <v/>
      </c>
      <c r="H67" s="5" t="n">
        <v>0</v>
      </c>
      <c r="I67" s="5" t="n">
        <v>9274.200000000001</v>
      </c>
      <c r="J67" s="5" t="n">
        <v>27639.81</v>
      </c>
      <c r="K67" s="5">
        <f>SUM(H67:J67)</f>
        <v/>
      </c>
      <c r="L67" s="6">
        <f>IF($K$622=0,0,K67/$K$622)</f>
        <v/>
      </c>
      <c r="M67" s="6">
        <f>M66+L67</f>
        <v/>
      </c>
      <c r="N67" s="8">
        <f>IF(M67&lt;=0.8,"A",IF(M67&lt;=0.95,"B","C"))</f>
        <v/>
      </c>
    </row>
    <row r="68">
      <c r="A68" s="2" t="n">
        <v>67</v>
      </c>
      <c r="B68" s="2" t="inlineStr">
        <is>
          <t>213824</t>
        </is>
      </c>
      <c r="C68" s="2" t="inlineStr">
        <is>
          <t>KIT TAPETE HIG GOOD PAD 80X60 30UN - 90 UNIDADES</t>
        </is>
      </c>
      <c r="D68" s="4" t="n">
        <v>0</v>
      </c>
      <c r="E68" s="4" t="n">
        <v>0</v>
      </c>
      <c r="F68" s="4" t="n">
        <v>259</v>
      </c>
      <c r="G68" s="4">
        <f>SUM(D68:F68)</f>
        <v/>
      </c>
      <c r="H68" s="5" t="n">
        <v>0</v>
      </c>
      <c r="I68" s="5" t="n">
        <v>0</v>
      </c>
      <c r="J68" s="5" t="n">
        <v>36672.71</v>
      </c>
      <c r="K68" s="5">
        <f>SUM(H68:J68)</f>
        <v/>
      </c>
      <c r="L68" s="6">
        <f>IF($K$622=0,0,K68/$K$622)</f>
        <v/>
      </c>
      <c r="M68" s="6">
        <f>M67+L68</f>
        <v/>
      </c>
      <c r="N68" s="8">
        <f>IF(M68&lt;=0.8,"A",IF(M68&lt;=0.95,"B","C"))</f>
        <v/>
      </c>
    </row>
    <row r="69">
      <c r="A69" s="2" t="n">
        <v>68</v>
      </c>
      <c r="B69" s="2" t="inlineStr">
        <is>
          <t>212967</t>
        </is>
      </c>
      <c r="C69" s="2" t="inlineStr">
        <is>
          <t>TAPETE HIG ULTRA PADS LAVANDA 80X60 30UN</t>
        </is>
      </c>
      <c r="D69" s="4" t="n">
        <v>6</v>
      </c>
      <c r="E69" s="4" t="n">
        <v>490</v>
      </c>
      <c r="F69" s="4" t="n">
        <v>178</v>
      </c>
      <c r="G69" s="4">
        <f>SUM(D69:F69)</f>
        <v/>
      </c>
      <c r="H69" s="5" t="n">
        <v>392.4</v>
      </c>
      <c r="I69" s="5" t="n">
        <v>24754.68</v>
      </c>
      <c r="J69" s="5" t="n">
        <v>10820.18</v>
      </c>
      <c r="K69" s="5">
        <f>SUM(H69:J69)</f>
        <v/>
      </c>
      <c r="L69" s="6">
        <f>IF($K$622=0,0,K69/$K$622)</f>
        <v/>
      </c>
      <c r="M69" s="6">
        <f>M68+L69</f>
        <v/>
      </c>
      <c r="N69" s="8">
        <f>IF(M69&lt;=0.8,"A",IF(M69&lt;=0.95,"B","C"))</f>
        <v/>
      </c>
    </row>
    <row r="70">
      <c r="A70" s="2" t="n">
        <v>69</v>
      </c>
      <c r="B70" s="2" t="inlineStr">
        <is>
          <t>213808</t>
        </is>
      </c>
      <c r="C70" s="2" t="inlineStr">
        <is>
          <t>KIT TAPETE HIG ULTRA PADS LAVANDA 80X60 - 60 UNIDADES</t>
        </is>
      </c>
      <c r="D70" s="4" t="n">
        <v>0</v>
      </c>
      <c r="E70" s="4" t="n">
        <v>131</v>
      </c>
      <c r="F70" s="4" t="n">
        <v>129</v>
      </c>
      <c r="G70" s="4">
        <f>SUM(D70:F70)</f>
        <v/>
      </c>
      <c r="H70" s="5" t="n">
        <v>0</v>
      </c>
      <c r="I70" s="5" t="n">
        <v>17032.71</v>
      </c>
      <c r="J70" s="5" t="n">
        <v>17393.1</v>
      </c>
      <c r="K70" s="5">
        <f>SUM(H70:J70)</f>
        <v/>
      </c>
      <c r="L70" s="6">
        <f>IF($K$622=0,0,K70/$K$622)</f>
        <v/>
      </c>
      <c r="M70" s="6">
        <f>M69+L70</f>
        <v/>
      </c>
      <c r="N70" s="8">
        <f>IF(M70&lt;=0.8,"A",IF(M70&lt;=0.95,"B","C"))</f>
        <v/>
      </c>
    </row>
    <row r="71">
      <c r="A71" s="2" t="n">
        <v>70</v>
      </c>
      <c r="B71" s="2" t="inlineStr">
        <is>
          <t>213840</t>
        </is>
      </c>
      <c r="C71" s="2" t="inlineStr">
        <is>
          <t>KIT TAPETE HIG ESPACO DE BICHO 60X60 - 60 UNIDADES</t>
        </is>
      </c>
      <c r="D71" s="4" t="n">
        <v>1</v>
      </c>
      <c r="E71" s="4" t="n">
        <v>187</v>
      </c>
      <c r="F71" s="4" t="n">
        <v>246</v>
      </c>
      <c r="G71" s="4">
        <f>SUM(D71:F71)</f>
        <v/>
      </c>
      <c r="H71" s="5" t="n">
        <v>79.98999999999999</v>
      </c>
      <c r="I71" s="5" t="n">
        <v>14558.32</v>
      </c>
      <c r="J71" s="5" t="n">
        <v>18956.03</v>
      </c>
      <c r="K71" s="5">
        <f>SUM(H71:J71)</f>
        <v/>
      </c>
      <c r="L71" s="6">
        <f>IF($K$622=0,0,K71/$K$622)</f>
        <v/>
      </c>
      <c r="M71" s="6">
        <f>M70+L71</f>
        <v/>
      </c>
      <c r="N71" s="8">
        <f>IF(M71&lt;=0.8,"A",IF(M71&lt;=0.95,"B","C"))</f>
        <v/>
      </c>
    </row>
    <row r="72">
      <c r="A72" s="2" t="n">
        <v>71</v>
      </c>
      <c r="B72" s="2" t="inlineStr">
        <is>
          <t>215961</t>
        </is>
      </c>
      <c r="C72" s="2" t="inlineStr">
        <is>
          <t>KIT POTE DE VIDRO MARMITA - 370ML - SORTIDO - 10 POTES</t>
        </is>
      </c>
      <c r="D72" s="4" t="n">
        <v>0</v>
      </c>
      <c r="E72" s="4" t="n">
        <v>20</v>
      </c>
      <c r="F72" s="4" t="n">
        <v>219</v>
      </c>
      <c r="G72" s="4">
        <f>SUM(D72:F72)</f>
        <v/>
      </c>
      <c r="H72" s="5" t="n">
        <v>0</v>
      </c>
      <c r="I72" s="5" t="n">
        <v>3198</v>
      </c>
      <c r="J72" s="5" t="n">
        <v>30353.12</v>
      </c>
      <c r="K72" s="5">
        <f>SUM(H72:J72)</f>
        <v/>
      </c>
      <c r="L72" s="6">
        <f>IF($K$622=0,0,K72/$K$622)</f>
        <v/>
      </c>
      <c r="M72" s="6">
        <f>M71+L72</f>
        <v/>
      </c>
      <c r="N72" s="8">
        <f>IF(M72&lt;=0.8,"A",IF(M72&lt;=0.95,"B","C"))</f>
        <v/>
      </c>
    </row>
    <row r="73">
      <c r="A73" s="2" t="n">
        <v>72</v>
      </c>
      <c r="B73" s="2" t="inlineStr">
        <is>
          <t>213950</t>
        </is>
      </c>
      <c r="C73" s="2" t="inlineStr">
        <is>
          <t>KIT POTE DE VIDRO MARMITA - 640ML - BRANCO - 5 POTES</t>
        </is>
      </c>
      <c r="D73" s="4" t="n">
        <v>0</v>
      </c>
      <c r="E73" s="4" t="n">
        <v>168</v>
      </c>
      <c r="F73" s="4" t="n">
        <v>248</v>
      </c>
      <c r="G73" s="4">
        <f>SUM(D73:F73)</f>
        <v/>
      </c>
      <c r="H73" s="5" t="n">
        <v>0</v>
      </c>
      <c r="I73" s="5" t="n">
        <v>15238.8</v>
      </c>
      <c r="J73" s="5" t="n">
        <v>17462.92</v>
      </c>
      <c r="K73" s="5">
        <f>SUM(H73:J73)</f>
        <v/>
      </c>
      <c r="L73" s="6">
        <f>IF($K$622=0,0,K73/$K$622)</f>
        <v/>
      </c>
      <c r="M73" s="6">
        <f>M72+L73</f>
        <v/>
      </c>
      <c r="N73" s="8">
        <f>IF(M73&lt;=0.8,"A",IF(M73&lt;=0.95,"B","C"))</f>
        <v/>
      </c>
    </row>
    <row r="74">
      <c r="A74" s="2" t="n">
        <v>73</v>
      </c>
      <c r="B74" s="2" t="inlineStr">
        <is>
          <t>214019</t>
        </is>
      </c>
      <c r="C74" s="2" t="inlineStr">
        <is>
          <t>KIT CABIDE VELUDO PARA ROUPAS ADULTO - BEGE - 100</t>
        </is>
      </c>
      <c r="D74" s="4" t="n">
        <v>0</v>
      </c>
      <c r="E74" s="4" t="n">
        <v>116</v>
      </c>
      <c r="F74" s="4" t="n">
        <v>58</v>
      </c>
      <c r="G74" s="4">
        <f>SUM(D74:F74)</f>
        <v/>
      </c>
      <c r="H74" s="5" t="n">
        <v>0</v>
      </c>
      <c r="I74" s="5" t="n">
        <v>23152.02</v>
      </c>
      <c r="J74" s="5" t="n">
        <v>8018.23</v>
      </c>
      <c r="K74" s="5">
        <f>SUM(H74:J74)</f>
        <v/>
      </c>
      <c r="L74" s="6">
        <f>IF($K$622=0,0,K74/$K$622)</f>
        <v/>
      </c>
      <c r="M74" s="6">
        <f>M73+L74</f>
        <v/>
      </c>
      <c r="N74" s="8">
        <f>IF(M74&lt;=0.8,"A",IF(M74&lt;=0.95,"B","C"))</f>
        <v/>
      </c>
    </row>
    <row r="75">
      <c r="A75" s="2" t="n">
        <v>74</v>
      </c>
      <c r="B75" s="2" t="inlineStr">
        <is>
          <t>213952</t>
        </is>
      </c>
      <c r="C75" s="2" t="inlineStr">
        <is>
          <t>KIT POTE DE VIDRO MARMITA - 1040ML - BRANCO - 5 POTES</t>
        </is>
      </c>
      <c r="D75" s="4" t="n">
        <v>0</v>
      </c>
      <c r="E75" s="4" t="n">
        <v>301</v>
      </c>
      <c r="F75" s="4" t="n">
        <v>83</v>
      </c>
      <c r="G75" s="4">
        <f>SUM(D75:F75)</f>
        <v/>
      </c>
      <c r="H75" s="5" t="n">
        <v>0</v>
      </c>
      <c r="I75" s="5" t="n">
        <v>24142.7</v>
      </c>
      <c r="J75" s="5" t="n">
        <v>6634.1</v>
      </c>
      <c r="K75" s="5">
        <f>SUM(H75:J75)</f>
        <v/>
      </c>
      <c r="L75" s="6">
        <f>IF($K$622=0,0,K75/$K$622)</f>
        <v/>
      </c>
      <c r="M75" s="6">
        <f>M74+L75</f>
        <v/>
      </c>
      <c r="N75" s="8">
        <f>IF(M75&lt;=0.8,"A",IF(M75&lt;=0.95,"B","C"))</f>
        <v/>
      </c>
    </row>
    <row r="76">
      <c r="A76" s="2" t="n">
        <v>75</v>
      </c>
      <c r="B76" s="2" t="inlineStr">
        <is>
          <t>212923</t>
        </is>
      </c>
      <c r="C76" s="2" t="inlineStr">
        <is>
          <t>CANNIS GLOBULIN POLIVALENTE SORO 5ML DECHRA</t>
        </is>
      </c>
      <c r="D76" s="4" t="n">
        <v>2</v>
      </c>
      <c r="E76" s="4" t="n">
        <v>198</v>
      </c>
      <c r="F76" s="4" t="n">
        <v>203</v>
      </c>
      <c r="G76" s="4">
        <f>SUM(D76:F76)</f>
        <v/>
      </c>
      <c r="H76" s="5" t="n">
        <v>157.8</v>
      </c>
      <c r="I76" s="5" t="n">
        <v>14265.2</v>
      </c>
      <c r="J76" s="5" t="n">
        <v>15214.7</v>
      </c>
      <c r="K76" s="5">
        <f>SUM(H76:J76)</f>
        <v/>
      </c>
      <c r="L76" s="6">
        <f>IF($K$622=0,0,K76/$K$622)</f>
        <v/>
      </c>
      <c r="M76" s="6">
        <f>M75+L76</f>
        <v/>
      </c>
      <c r="N76" s="8">
        <f>IF(M76&lt;=0.8,"A",IF(M76&lt;=0.95,"B","C"))</f>
        <v/>
      </c>
    </row>
    <row r="77">
      <c r="A77" s="2" t="n">
        <v>76</v>
      </c>
      <c r="B77" s="2" t="inlineStr">
        <is>
          <t>214005</t>
        </is>
      </c>
      <c r="C77" s="2" t="inlineStr">
        <is>
          <t>KIT CABIDE VELUDO PARA ROUPAS ADULTO - PRETO - 20</t>
        </is>
      </c>
      <c r="D77" s="4" t="n">
        <v>0</v>
      </c>
      <c r="E77" s="4" t="n">
        <v>169</v>
      </c>
      <c r="F77" s="4" t="n">
        <v>362</v>
      </c>
      <c r="G77" s="4">
        <f>SUM(D77:F77)</f>
        <v/>
      </c>
      <c r="H77" s="5" t="n">
        <v>0</v>
      </c>
      <c r="I77" s="5" t="n">
        <v>7500.68</v>
      </c>
      <c r="J77" s="5" t="n">
        <v>21748.56</v>
      </c>
      <c r="K77" s="5">
        <f>SUM(H77:J77)</f>
        <v/>
      </c>
      <c r="L77" s="6">
        <f>IF($K$622=0,0,K77/$K$622)</f>
        <v/>
      </c>
      <c r="M77" s="6">
        <f>M76+L77</f>
        <v/>
      </c>
      <c r="N77" s="8">
        <f>IF(M77&lt;=0.8,"A",IF(M77&lt;=0.95,"B","C"))</f>
        <v/>
      </c>
    </row>
    <row r="78">
      <c r="A78" s="2" t="n">
        <v>77</v>
      </c>
      <c r="B78" s="2" t="inlineStr">
        <is>
          <t>213992</t>
        </is>
      </c>
      <c r="C78" s="2" t="inlineStr">
        <is>
          <t>KIT BALANÇAS - BIOIMPEDÂNCIA</t>
        </is>
      </c>
      <c r="D78" s="4" t="n">
        <v>0</v>
      </c>
      <c r="E78" s="4" t="n">
        <v>3</v>
      </c>
      <c r="F78" s="4" t="n">
        <v>942</v>
      </c>
      <c r="G78" s="4">
        <f>SUM(D78:F78)</f>
        <v/>
      </c>
      <c r="H78" s="5" t="n">
        <v>0</v>
      </c>
      <c r="I78" s="5" t="n">
        <v>119.7</v>
      </c>
      <c r="J78" s="5" t="n">
        <v>29105.76</v>
      </c>
      <c r="K78" s="5">
        <f>SUM(H78:J78)</f>
        <v/>
      </c>
      <c r="L78" s="6">
        <f>IF($K$622=0,0,K78/$K$622)</f>
        <v/>
      </c>
      <c r="M78" s="6">
        <f>M77+L78</f>
        <v/>
      </c>
      <c r="N78" s="8">
        <f>IF(M78&lt;=0.8,"A",IF(M78&lt;=0.95,"B","C"))</f>
        <v/>
      </c>
    </row>
    <row r="79">
      <c r="A79" s="2" t="n">
        <v>78</v>
      </c>
      <c r="B79" s="2" t="inlineStr">
        <is>
          <t>216001</t>
        </is>
      </c>
      <c r="C79" s="2" t="inlineStr">
        <is>
          <t>KIT POTE DE VIDRO MARMITA - 1040ML - BRANCO - 10 POTES</t>
        </is>
      </c>
      <c r="D79" s="4" t="n">
        <v>0</v>
      </c>
      <c r="E79" s="4" t="n">
        <v>84</v>
      </c>
      <c r="F79" s="4" t="n">
        <v>0</v>
      </c>
      <c r="G79" s="4">
        <f>SUM(D79:F79)</f>
        <v/>
      </c>
      <c r="H79" s="5" t="n">
        <v>0</v>
      </c>
      <c r="I79" s="5" t="n">
        <v>24351.6</v>
      </c>
      <c r="J79" s="5" t="n">
        <v>0</v>
      </c>
      <c r="K79" s="5">
        <f>SUM(H79:J79)</f>
        <v/>
      </c>
      <c r="L79" s="6">
        <f>IF($K$622=0,0,K79/$K$622)</f>
        <v/>
      </c>
      <c r="M79" s="6">
        <f>M78+L79</f>
        <v/>
      </c>
      <c r="N79" s="8">
        <f>IF(M79&lt;=0.8,"A",IF(M79&lt;=0.95,"B","C"))</f>
        <v/>
      </c>
    </row>
    <row r="80">
      <c r="A80" s="2" t="n">
        <v>79</v>
      </c>
      <c r="B80" s="2" t="inlineStr">
        <is>
          <t>213834</t>
        </is>
      </c>
      <c r="C80" s="2" t="inlineStr">
        <is>
          <t>KIT TAPETE HIG GOOD PAD 60X60 - 200 UNIDADES</t>
        </is>
      </c>
      <c r="D80" s="4" t="n">
        <v>0</v>
      </c>
      <c r="E80" s="4" t="n">
        <v>67</v>
      </c>
      <c r="F80" s="4" t="n">
        <v>46</v>
      </c>
      <c r="G80" s="4">
        <f>SUM(D80:F80)</f>
        <v/>
      </c>
      <c r="H80" s="5" t="n">
        <v>0</v>
      </c>
      <c r="I80" s="5" t="n">
        <v>14398.3</v>
      </c>
      <c r="J80" s="5" t="n">
        <v>9885.4</v>
      </c>
      <c r="K80" s="5">
        <f>SUM(H80:J80)</f>
        <v/>
      </c>
      <c r="L80" s="6">
        <f>IF($K$622=0,0,K80/$K$622)</f>
        <v/>
      </c>
      <c r="M80" s="6">
        <f>M79+L80</f>
        <v/>
      </c>
      <c r="N80" s="8">
        <f>IF(M80&lt;=0.8,"A",IF(M80&lt;=0.95,"B","C"))</f>
        <v/>
      </c>
    </row>
    <row r="81">
      <c r="A81" s="2" t="n">
        <v>80</v>
      </c>
      <c r="B81" s="2" t="inlineStr">
        <is>
          <t>214035</t>
        </is>
      </c>
      <c r="C81" s="2" t="inlineStr">
        <is>
          <t>JOGO DE TAÇA DE VIDRO 340ML 16,5CM - 6 TAÇAS</t>
        </is>
      </c>
      <c r="D81" s="4" t="n">
        <v>1</v>
      </c>
      <c r="E81" s="4" t="n">
        <v>214</v>
      </c>
      <c r="F81" s="4" t="n">
        <v>357</v>
      </c>
      <c r="G81" s="4">
        <f>SUM(D81:F81)</f>
        <v/>
      </c>
      <c r="H81" s="5" t="n">
        <v>34.9</v>
      </c>
      <c r="I81" s="5" t="n">
        <v>11359.44</v>
      </c>
      <c r="J81" s="5" t="n">
        <v>12586.01</v>
      </c>
      <c r="K81" s="5">
        <f>SUM(H81:J81)</f>
        <v/>
      </c>
      <c r="L81" s="6">
        <f>IF($K$622=0,0,K81/$K$622)</f>
        <v/>
      </c>
      <c r="M81" s="6">
        <f>M80+L81</f>
        <v/>
      </c>
      <c r="N81" s="8">
        <f>IF(M81&lt;=0.8,"A",IF(M81&lt;=0.95,"B","C"))</f>
        <v/>
      </c>
    </row>
    <row r="82">
      <c r="A82" s="2" t="n">
        <v>81</v>
      </c>
      <c r="B82" s="2" t="inlineStr">
        <is>
          <t>215977</t>
        </is>
      </c>
      <c r="C82" s="2" t="inlineStr">
        <is>
          <t>KIT POTE DE VIDRO MARMITA - 640ML - AZUL - 10 POTES</t>
        </is>
      </c>
      <c r="D82" s="4" t="n">
        <v>0</v>
      </c>
      <c r="E82" s="4" t="n">
        <v>128</v>
      </c>
      <c r="F82" s="4" t="n">
        <v>0</v>
      </c>
      <c r="G82" s="4">
        <f>SUM(D82:F82)</f>
        <v/>
      </c>
      <c r="H82" s="5" t="n">
        <v>0</v>
      </c>
      <c r="I82" s="5" t="n">
        <v>23927.4</v>
      </c>
      <c r="J82" s="5" t="n">
        <v>0</v>
      </c>
      <c r="K82" s="5">
        <f>SUM(H82:J82)</f>
        <v/>
      </c>
      <c r="L82" s="6">
        <f>IF($K$622=0,0,K82/$K$622)</f>
        <v/>
      </c>
      <c r="M82" s="6">
        <f>M81+L82</f>
        <v/>
      </c>
      <c r="N82" s="8">
        <f>IF(M82&lt;=0.8,"A",IF(M82&lt;=0.95,"B","C"))</f>
        <v/>
      </c>
    </row>
    <row r="83">
      <c r="A83" s="2" t="n">
        <v>82</v>
      </c>
      <c r="B83" s="2" t="inlineStr">
        <is>
          <t>214749</t>
        </is>
      </c>
      <c r="C83" s="2" t="inlineStr">
        <is>
          <t>TAPETE DE ATIVIDADES INTERATIVO INFANTIL COM SOM E LUZES - ROSA</t>
        </is>
      </c>
      <c r="D83" s="4" t="n">
        <v>0</v>
      </c>
      <c r="E83" s="4" t="n">
        <v>35</v>
      </c>
      <c r="F83" s="4" t="n">
        <v>330</v>
      </c>
      <c r="G83" s="4">
        <f>SUM(D83:F83)</f>
        <v/>
      </c>
      <c r="H83" s="5" t="n">
        <v>0</v>
      </c>
      <c r="I83" s="5" t="n">
        <v>2273.1</v>
      </c>
      <c r="J83" s="5" t="n">
        <v>20191</v>
      </c>
      <c r="K83" s="5">
        <f>SUM(H83:J83)</f>
        <v/>
      </c>
      <c r="L83" s="6">
        <f>IF($K$622=0,0,K83/$K$622)</f>
        <v/>
      </c>
      <c r="M83" s="6">
        <f>M82+L83</f>
        <v/>
      </c>
      <c r="N83" s="8">
        <f>IF(M83&lt;=0.8,"A",IF(M83&lt;=0.95,"B","C"))</f>
        <v/>
      </c>
    </row>
    <row r="84">
      <c r="A84" s="2" t="n">
        <v>83</v>
      </c>
      <c r="B84" s="2" t="inlineStr">
        <is>
          <t>213989</t>
        </is>
      </c>
      <c r="C84" s="2" t="inlineStr">
        <is>
          <t>ASSENTO SANITÁRIO ALMOFADADO UNIVERSAL - CINZA</t>
        </is>
      </c>
      <c r="D84" s="4" t="n">
        <v>0</v>
      </c>
      <c r="E84" s="4" t="n">
        <v>157</v>
      </c>
      <c r="F84" s="4" t="n">
        <v>212</v>
      </c>
      <c r="G84" s="4">
        <f>SUM(D84:F84)</f>
        <v/>
      </c>
      <c r="H84" s="5" t="n">
        <v>0</v>
      </c>
      <c r="I84" s="5" t="n">
        <v>9023.25</v>
      </c>
      <c r="J84" s="5" t="n">
        <v>13168.23</v>
      </c>
      <c r="K84" s="5">
        <f>SUM(H84:J84)</f>
        <v/>
      </c>
      <c r="L84" s="6">
        <f>IF($K$622=0,0,K84/$K$622)</f>
        <v/>
      </c>
      <c r="M84" s="6">
        <f>M83+L84</f>
        <v/>
      </c>
      <c r="N84" s="8">
        <f>IF(M84&lt;=0.8,"A",IF(M84&lt;=0.95,"B","C"))</f>
        <v/>
      </c>
    </row>
    <row r="85">
      <c r="A85" s="2" t="n">
        <v>84</v>
      </c>
      <c r="B85" s="2" t="inlineStr">
        <is>
          <t>214020</t>
        </is>
      </c>
      <c r="C85" s="2" t="inlineStr">
        <is>
          <t>KIT CABIDE VELUDO PARA ROUPAS ADULTO - BRANCO - 100</t>
        </is>
      </c>
      <c r="D85" s="4" t="n">
        <v>0</v>
      </c>
      <c r="E85" s="4" t="n">
        <v>64</v>
      </c>
      <c r="F85" s="4" t="n">
        <v>43</v>
      </c>
      <c r="G85" s="4">
        <f>SUM(D85:F85)</f>
        <v/>
      </c>
      <c r="H85" s="5" t="n">
        <v>0</v>
      </c>
      <c r="I85" s="5" t="n">
        <v>13208.42</v>
      </c>
      <c r="J85" s="5" t="n">
        <v>8886.9</v>
      </c>
      <c r="K85" s="5">
        <f>SUM(H85:J85)</f>
        <v/>
      </c>
      <c r="L85" s="6">
        <f>IF($K$622=0,0,K85/$K$622)</f>
        <v/>
      </c>
      <c r="M85" s="6">
        <f>M84+L85</f>
        <v/>
      </c>
      <c r="N85" s="8">
        <f>IF(M85&lt;=0.8,"A",IF(M85&lt;=0.95,"B","C"))</f>
        <v/>
      </c>
    </row>
    <row r="86">
      <c r="A86" s="2" t="n">
        <v>85</v>
      </c>
      <c r="B86" s="2" t="inlineStr">
        <is>
          <t>213990</t>
        </is>
      </c>
      <c r="C86" s="2" t="inlineStr">
        <is>
          <t>ASSENTO SANITÁRIO ALMOFADADO UNIVERSAL - PRETO</t>
        </is>
      </c>
      <c r="D86" s="4" t="n">
        <v>0</v>
      </c>
      <c r="E86" s="4" t="n">
        <v>177</v>
      </c>
      <c r="F86" s="4" t="n">
        <v>225</v>
      </c>
      <c r="G86" s="4">
        <f>SUM(D86:F86)</f>
        <v/>
      </c>
      <c r="H86" s="5" t="n">
        <v>0</v>
      </c>
      <c r="I86" s="5" t="n">
        <v>9547.290000000001</v>
      </c>
      <c r="J86" s="5" t="n">
        <v>12491.52</v>
      </c>
      <c r="K86" s="5">
        <f>SUM(H86:J86)</f>
        <v/>
      </c>
      <c r="L86" s="6">
        <f>IF($K$622=0,0,K86/$K$622)</f>
        <v/>
      </c>
      <c r="M86" s="6">
        <f>M85+L86</f>
        <v/>
      </c>
      <c r="N86" s="8">
        <f>IF(M86&lt;=0.8,"A",IF(M86&lt;=0.95,"B","C"))</f>
        <v/>
      </c>
    </row>
    <row r="87">
      <c r="A87" s="2" t="n">
        <v>86</v>
      </c>
      <c r="B87" s="2" t="inlineStr">
        <is>
          <t>213943</t>
        </is>
      </c>
      <c r="C87" s="2" t="inlineStr">
        <is>
          <t>KIT POTE DE VIDRO MARMITA - 370ML - BRANCO - 3 POTES</t>
        </is>
      </c>
      <c r="D87" s="4" t="n">
        <v>0</v>
      </c>
      <c r="E87" s="4" t="n">
        <v>220</v>
      </c>
      <c r="F87" s="4" t="n">
        <v>454</v>
      </c>
      <c r="G87" s="4">
        <f>SUM(D87:F87)</f>
        <v/>
      </c>
      <c r="H87" s="5" t="n">
        <v>0</v>
      </c>
      <c r="I87" s="5" t="n">
        <v>7777.81</v>
      </c>
      <c r="J87" s="5" t="n">
        <v>14090.92</v>
      </c>
      <c r="K87" s="5">
        <f>SUM(H87:J87)</f>
        <v/>
      </c>
      <c r="L87" s="6">
        <f>IF($K$622=0,0,K87/$K$622)</f>
        <v/>
      </c>
      <c r="M87" s="6">
        <f>M86+L87</f>
        <v/>
      </c>
      <c r="N87" s="8">
        <f>IF(M87&lt;=0.8,"A",IF(M87&lt;=0.95,"B","C"))</f>
        <v/>
      </c>
    </row>
    <row r="88">
      <c r="A88" s="2" t="n">
        <v>87</v>
      </c>
      <c r="B88" s="2" t="inlineStr">
        <is>
          <t>215988</t>
        </is>
      </c>
      <c r="C88" s="2" t="inlineStr">
        <is>
          <t>KIT POTE DE VIDRO MARMITA - 640ML - SORTIDO - 2 POTES</t>
        </is>
      </c>
      <c r="D88" s="4" t="n">
        <v>0</v>
      </c>
      <c r="E88" s="4" t="n">
        <v>3</v>
      </c>
      <c r="F88" s="4" t="n">
        <v>272</v>
      </c>
      <c r="G88" s="4">
        <f>SUM(D88:F88)</f>
        <v/>
      </c>
      <c r="H88" s="5" t="n">
        <v>0</v>
      </c>
      <c r="I88" s="5" t="n">
        <v>224.7</v>
      </c>
      <c r="J88" s="5" t="n">
        <v>20372.8</v>
      </c>
      <c r="K88" s="5">
        <f>SUM(H88:J88)</f>
        <v/>
      </c>
      <c r="L88" s="6">
        <f>IF($K$622=0,0,K88/$K$622)</f>
        <v/>
      </c>
      <c r="M88" s="6">
        <f>M87+L88</f>
        <v/>
      </c>
      <c r="N88" s="8">
        <f>IF(M88&lt;=0.8,"A",IF(M88&lt;=0.95,"B","C"))</f>
        <v/>
      </c>
    </row>
    <row r="89">
      <c r="A89" s="2" t="n">
        <v>88</v>
      </c>
      <c r="B89" s="2" t="inlineStr">
        <is>
          <t>213958</t>
        </is>
      </c>
      <c r="C89" s="2" t="inlineStr">
        <is>
          <t>KIT POTE DE VIDRO MARMITA - 1040ML - BRANCO - 10 POTES</t>
        </is>
      </c>
      <c r="D89" s="4" t="n">
        <v>1</v>
      </c>
      <c r="E89" s="4" t="n">
        <v>92</v>
      </c>
      <c r="F89" s="4" t="n">
        <v>17</v>
      </c>
      <c r="G89" s="4">
        <f>SUM(D89:F89)</f>
        <v/>
      </c>
      <c r="H89" s="5" t="n">
        <v>184.8</v>
      </c>
      <c r="I89" s="5" t="n">
        <v>17533.8</v>
      </c>
      <c r="J89" s="5" t="n">
        <v>2701.3</v>
      </c>
      <c r="K89" s="5">
        <f>SUM(H89:J89)</f>
        <v/>
      </c>
      <c r="L89" s="6">
        <f>IF($K$622=0,0,K89/$K$622)</f>
        <v/>
      </c>
      <c r="M89" s="6">
        <f>M88+L89</f>
        <v/>
      </c>
      <c r="N89" s="8">
        <f>IF(M89&lt;=0.8,"A",IF(M89&lt;=0.95,"B","C"))</f>
        <v/>
      </c>
    </row>
    <row r="90">
      <c r="A90" s="2" t="n">
        <v>89</v>
      </c>
      <c r="B90" s="2" t="inlineStr">
        <is>
          <t>214077</t>
        </is>
      </c>
      <c r="C90" s="2" t="inlineStr">
        <is>
          <t>MOP GIRATORIO  - 14 LITROS - PRETO/VERMELHO</t>
        </is>
      </c>
      <c r="D90" s="4" t="n">
        <v>0</v>
      </c>
      <c r="E90" s="4" t="n">
        <v>230</v>
      </c>
      <c r="F90" s="4" t="n">
        <v>0</v>
      </c>
      <c r="G90" s="4">
        <f>SUM(D90:F90)</f>
        <v/>
      </c>
      <c r="H90" s="5" t="n">
        <v>0</v>
      </c>
      <c r="I90" s="5" t="n">
        <v>20354.6</v>
      </c>
      <c r="J90" s="5" t="n">
        <v>0</v>
      </c>
      <c r="K90" s="5">
        <f>SUM(H90:J90)</f>
        <v/>
      </c>
      <c r="L90" s="6">
        <f>IF($K$622=0,0,K90/$K$622)</f>
        <v/>
      </c>
      <c r="M90" s="6">
        <f>M89+L90</f>
        <v/>
      </c>
      <c r="N90" s="8">
        <f>IF(M90&lt;=0.8,"A",IF(M90&lt;=0.95,"B","C"))</f>
        <v/>
      </c>
    </row>
    <row r="91">
      <c r="A91" s="2" t="n">
        <v>90</v>
      </c>
      <c r="B91" s="2" t="inlineStr">
        <is>
          <t>214286</t>
        </is>
      </c>
      <c r="C91" s="2" t="inlineStr">
        <is>
          <t>CALCA LEG. MAX LUPO - 71053 - LUPO - PRETO - M</t>
        </is>
      </c>
      <c r="D91" s="4" t="n">
        <v>0</v>
      </c>
      <c r="E91" s="4" t="n">
        <v>52</v>
      </c>
      <c r="F91" s="4" t="n">
        <v>63</v>
      </c>
      <c r="G91" s="4">
        <f>SUM(D91:F91)</f>
        <v/>
      </c>
      <c r="H91" s="5" t="n">
        <v>0</v>
      </c>
      <c r="I91" s="5" t="n">
        <v>8845.219999999999</v>
      </c>
      <c r="J91" s="5" t="n">
        <v>10733.7</v>
      </c>
      <c r="K91" s="5">
        <f>SUM(H91:J91)</f>
        <v/>
      </c>
      <c r="L91" s="6">
        <f>IF($K$622=0,0,K91/$K$622)</f>
        <v/>
      </c>
      <c r="M91" s="6">
        <f>M90+L91</f>
        <v/>
      </c>
      <c r="N91" s="8">
        <f>IF(M91&lt;=0.8,"A",IF(M91&lt;=0.95,"B","C"))</f>
        <v/>
      </c>
    </row>
    <row r="92">
      <c r="A92" s="2" t="n">
        <v>91</v>
      </c>
      <c r="B92" s="2" t="inlineStr">
        <is>
          <t>0771_2</t>
        </is>
      </c>
      <c r="C92" s="2" t="inlineStr">
        <is>
          <t>Tapetinho Higiênico Muita Absorção- 50 Un Kit 2 Pct Petlike Good Pad - Branco - Liso</t>
        </is>
      </c>
      <c r="D92" s="4" t="n">
        <v>0</v>
      </c>
      <c r="E92" s="4" t="n">
        <v>79</v>
      </c>
      <c r="F92" s="4" t="n">
        <v>46</v>
      </c>
      <c r="G92" s="4">
        <f>SUM(D92:F92)</f>
        <v/>
      </c>
      <c r="H92" s="5" t="n">
        <v>0</v>
      </c>
      <c r="I92" s="5" t="n">
        <v>11052.1</v>
      </c>
      <c r="J92" s="5" t="n">
        <v>6435.4</v>
      </c>
      <c r="K92" s="5">
        <f>SUM(H92:J92)</f>
        <v/>
      </c>
      <c r="L92" s="6">
        <f>IF($K$622=0,0,K92/$K$622)</f>
        <v/>
      </c>
      <c r="M92" s="6">
        <f>M91+L92</f>
        <v/>
      </c>
      <c r="N92" s="8">
        <f>IF(M92&lt;=0.8,"A",IF(M92&lt;=0.95,"B","C"))</f>
        <v/>
      </c>
    </row>
    <row r="93">
      <c r="A93" s="2" t="n">
        <v>92</v>
      </c>
      <c r="B93" s="2" t="inlineStr">
        <is>
          <t>213979</t>
        </is>
      </c>
      <c r="C93" s="2" t="inlineStr">
        <is>
          <t>KIT POTE DE VIDRO MARMITA - 1040ML - SORTIDO - 10 POTES</t>
        </is>
      </c>
      <c r="D93" s="4" t="n">
        <v>0</v>
      </c>
      <c r="E93" s="4" t="n">
        <v>77</v>
      </c>
      <c r="F93" s="4" t="n">
        <v>4</v>
      </c>
      <c r="G93" s="4">
        <f>SUM(D93:F93)</f>
        <v/>
      </c>
      <c r="H93" s="5" t="n">
        <v>0</v>
      </c>
      <c r="I93" s="5" t="n">
        <v>16612.3</v>
      </c>
      <c r="J93" s="5" t="n">
        <v>635.6</v>
      </c>
      <c r="K93" s="5">
        <f>SUM(H93:J93)</f>
        <v/>
      </c>
      <c r="L93" s="6">
        <f>IF($K$622=0,0,K93/$K$622)</f>
        <v/>
      </c>
      <c r="M93" s="6">
        <f>M92+L93</f>
        <v/>
      </c>
      <c r="N93" s="8">
        <f>IF(M93&lt;=0.8,"A",IF(M93&lt;=0.95,"B","C"))</f>
        <v/>
      </c>
    </row>
    <row r="94">
      <c r="A94" s="2" t="n">
        <v>93</v>
      </c>
      <c r="B94" s="2" t="inlineStr">
        <is>
          <t>214036</t>
        </is>
      </c>
      <c r="C94" s="2" t="inlineStr">
        <is>
          <t>JOGO DE TAÇA DE VIDRO 340ML 16,5CM - 12 TAÇAS</t>
        </is>
      </c>
      <c r="D94" s="4" t="n">
        <v>0</v>
      </c>
      <c r="E94" s="4" t="n">
        <v>90</v>
      </c>
      <c r="F94" s="4" t="n">
        <v>154</v>
      </c>
      <c r="G94" s="4">
        <f>SUM(D94:F94)</f>
        <v/>
      </c>
      <c r="H94" s="5" t="n">
        <v>0</v>
      </c>
      <c r="I94" s="5" t="n">
        <v>6188.63</v>
      </c>
      <c r="J94" s="5" t="n">
        <v>10815.1</v>
      </c>
      <c r="K94" s="5">
        <f>SUM(H94:J94)</f>
        <v/>
      </c>
      <c r="L94" s="6">
        <f>IF($K$622=0,0,K94/$K$622)</f>
        <v/>
      </c>
      <c r="M94" s="6">
        <f>M93+L94</f>
        <v/>
      </c>
      <c r="N94" s="8">
        <f>IF(M94&lt;=0.8,"A",IF(M94&lt;=0.95,"B","C"))</f>
        <v/>
      </c>
    </row>
    <row r="95">
      <c r="A95" s="2" t="n">
        <v>94</v>
      </c>
      <c r="B95" s="2" t="inlineStr">
        <is>
          <t>213944</t>
        </is>
      </c>
      <c r="C95" s="2" t="inlineStr">
        <is>
          <t>KIT POTE DE VIDRO MARMITA - 370ML - AZUL - 3 POTES</t>
        </is>
      </c>
      <c r="D95" s="4" t="n">
        <v>1</v>
      </c>
      <c r="E95" s="4" t="n">
        <v>192</v>
      </c>
      <c r="F95" s="4" t="n">
        <v>296</v>
      </c>
      <c r="G95" s="4">
        <f>SUM(D95:F95)</f>
        <v/>
      </c>
      <c r="H95" s="5" t="n">
        <v>29.9</v>
      </c>
      <c r="I95" s="5" t="n">
        <v>6330.56</v>
      </c>
      <c r="J95" s="5" t="n">
        <v>9106.110000000001</v>
      </c>
      <c r="K95" s="5">
        <f>SUM(H95:J95)</f>
        <v/>
      </c>
      <c r="L95" s="6">
        <f>IF($K$622=0,0,K95/$K$622)</f>
        <v/>
      </c>
      <c r="M95" s="6">
        <f>M94+L95</f>
        <v/>
      </c>
      <c r="N95" s="8">
        <f>IF(M95&lt;=0.8,"A",IF(M95&lt;=0.95,"B","C"))</f>
        <v/>
      </c>
    </row>
    <row r="96">
      <c r="A96" s="2" t="n">
        <v>95</v>
      </c>
      <c r="B96" s="2" t="inlineStr">
        <is>
          <t>216009</t>
        </is>
      </c>
      <c r="C96" s="2" t="inlineStr">
        <is>
          <t>KIT POTE DE VIDRO MARMITA - 1040ML - AZUL - 10 POTES</t>
        </is>
      </c>
      <c r="D96" s="4" t="n">
        <v>0</v>
      </c>
      <c r="E96" s="4" t="n">
        <v>50</v>
      </c>
      <c r="F96" s="4" t="n">
        <v>0</v>
      </c>
      <c r="G96" s="4">
        <f>SUM(D96:F96)</f>
        <v/>
      </c>
      <c r="H96" s="5" t="n">
        <v>0</v>
      </c>
      <c r="I96" s="5" t="n">
        <v>14495</v>
      </c>
      <c r="J96" s="5" t="n">
        <v>0</v>
      </c>
      <c r="K96" s="5">
        <f>SUM(H96:J96)</f>
        <v/>
      </c>
      <c r="L96" s="6">
        <f>IF($K$622=0,0,K96/$K$622)</f>
        <v/>
      </c>
      <c r="M96" s="6">
        <f>M95+L96</f>
        <v/>
      </c>
      <c r="N96" s="8">
        <f>IF(M96&lt;=0.8,"A",IF(M96&lt;=0.95,"B","C"))</f>
        <v/>
      </c>
    </row>
    <row r="97">
      <c r="A97" s="2" t="n">
        <v>96</v>
      </c>
      <c r="B97" s="2" t="inlineStr">
        <is>
          <t>215958</t>
        </is>
      </c>
      <c r="C97" s="2" t="inlineStr">
        <is>
          <t>KIT POTE DE VIDRO MARMITA - 370ML - SORTIDO - 5 POTES</t>
        </is>
      </c>
      <c r="D97" s="4" t="n">
        <v>0</v>
      </c>
      <c r="E97" s="4" t="n">
        <v>10</v>
      </c>
      <c r="F97" s="4" t="n">
        <v>141</v>
      </c>
      <c r="G97" s="4">
        <f>SUM(D97:F97)</f>
        <v/>
      </c>
      <c r="H97" s="5" t="n">
        <v>0</v>
      </c>
      <c r="I97" s="5" t="n">
        <v>999</v>
      </c>
      <c r="J97" s="5" t="n">
        <v>12755.9</v>
      </c>
      <c r="K97" s="5">
        <f>SUM(H97:J97)</f>
        <v/>
      </c>
      <c r="L97" s="6">
        <f>IF($K$622=0,0,K97/$K$622)</f>
        <v/>
      </c>
      <c r="M97" s="6">
        <f>M96+L97</f>
        <v/>
      </c>
      <c r="N97" s="8">
        <f>IF(M97&lt;=0.8,"A",IF(M97&lt;=0.95,"B","C"))</f>
        <v/>
      </c>
    </row>
    <row r="98">
      <c r="A98" s="2" t="n">
        <v>97</v>
      </c>
      <c r="B98" s="2" t="inlineStr">
        <is>
          <t>KIT4-AREIA-EDB-4KG-GF</t>
        </is>
      </c>
      <c r="C98" s="2" t="inlineStr">
        <is>
          <t>Kit 4 Areia Higiênica Biodegradável Grãos Finos Milho e Mandioca (100% Natural) - Espaço De Bicho - Grãos Finos</t>
        </is>
      </c>
      <c r="D98" s="4" t="n">
        <v>0</v>
      </c>
      <c r="E98" s="4" t="n">
        <v>18</v>
      </c>
      <c r="F98" s="4" t="n">
        <v>39</v>
      </c>
      <c r="G98" s="4">
        <f>SUM(D98:F98)</f>
        <v/>
      </c>
      <c r="H98" s="5" t="n">
        <v>0</v>
      </c>
      <c r="I98" s="5" t="n">
        <v>3955.09</v>
      </c>
      <c r="J98" s="5" t="n">
        <v>9566.059999999999</v>
      </c>
      <c r="K98" s="5">
        <f>SUM(H98:J98)</f>
        <v/>
      </c>
      <c r="L98" s="6">
        <f>IF($K$622=0,0,K98/$K$622)</f>
        <v/>
      </c>
      <c r="M98" s="6">
        <f>M97+L98</f>
        <v/>
      </c>
      <c r="N98" s="8">
        <f>IF(M98&lt;=0.8,"A",IF(M98&lt;=0.95,"B","C"))</f>
        <v/>
      </c>
    </row>
    <row r="99">
      <c r="A99" s="2" t="n">
        <v>98</v>
      </c>
      <c r="B99" s="2" t="inlineStr">
        <is>
          <t>214010</t>
        </is>
      </c>
      <c r="C99" s="2" t="inlineStr">
        <is>
          <t>KIT CABIDE VELUDO PARA ROUPAS ADULTO - CINZA - 30</t>
        </is>
      </c>
      <c r="D99" s="4" t="n">
        <v>0</v>
      </c>
      <c r="E99" s="4" t="n">
        <v>60</v>
      </c>
      <c r="F99" s="4" t="n">
        <v>148</v>
      </c>
      <c r="G99" s="4">
        <f>SUM(D99:F99)</f>
        <v/>
      </c>
      <c r="H99" s="5" t="n">
        <v>0</v>
      </c>
      <c r="I99" s="5" t="n">
        <v>3214.95</v>
      </c>
      <c r="J99" s="5" t="n">
        <v>10118.12</v>
      </c>
      <c r="K99" s="5">
        <f>SUM(H99:J99)</f>
        <v/>
      </c>
      <c r="L99" s="6">
        <f>IF($K$622=0,0,K99/$K$622)</f>
        <v/>
      </c>
      <c r="M99" s="6">
        <f>M98+L99</f>
        <v/>
      </c>
      <c r="N99" s="8">
        <f>IF(M99&lt;=0.8,"A",IF(M99&lt;=0.95,"B","C"))</f>
        <v/>
      </c>
    </row>
    <row r="100">
      <c r="A100" s="2" t="n">
        <v>99</v>
      </c>
      <c r="B100" s="2" t="inlineStr">
        <is>
          <t>214061</t>
        </is>
      </c>
      <c r="C100" s="2" t="inlineStr">
        <is>
          <t>KIT CABIDE DE MADEIRA - 100 UNIDADES</t>
        </is>
      </c>
      <c r="D100" s="4" t="n">
        <v>0</v>
      </c>
      <c r="E100" s="4" t="n">
        <v>35</v>
      </c>
      <c r="F100" s="4" t="n">
        <v>1</v>
      </c>
      <c r="G100" s="4">
        <f>SUM(D100:F100)</f>
        <v/>
      </c>
      <c r="H100" s="5" t="n">
        <v>0</v>
      </c>
      <c r="I100" s="5" t="n">
        <v>12587.7</v>
      </c>
      <c r="J100" s="5" t="n">
        <v>399.9</v>
      </c>
      <c r="K100" s="5">
        <f>SUM(H100:J100)</f>
        <v/>
      </c>
      <c r="L100" s="6">
        <f>IF($K$622=0,0,K100/$K$622)</f>
        <v/>
      </c>
      <c r="M100" s="6">
        <f>M99+L100</f>
        <v/>
      </c>
      <c r="N100" s="8">
        <f>IF(M100&lt;=0.8,"A",IF(M100&lt;=0.95,"B","C"))</f>
        <v/>
      </c>
    </row>
    <row r="101">
      <c r="A101" s="2" t="n">
        <v>100</v>
      </c>
      <c r="B101" s="2" t="inlineStr">
        <is>
          <t>214109</t>
        </is>
      </c>
      <c r="C101" s="2" t="inlineStr">
        <is>
          <t>BOMBA SUBMERSA - 200L/H - 110V</t>
        </is>
      </c>
      <c r="D101" s="4" t="n">
        <v>0</v>
      </c>
      <c r="E101" s="4" t="n">
        <v>388</v>
      </c>
      <c r="F101" s="4" t="n">
        <v>160</v>
      </c>
      <c r="G101" s="4">
        <f>SUM(D101:F101)</f>
        <v/>
      </c>
      <c r="H101" s="5" t="n">
        <v>0</v>
      </c>
      <c r="I101" s="5" t="n">
        <v>9090.200000000001</v>
      </c>
      <c r="J101" s="5" t="n">
        <v>3777.28</v>
      </c>
      <c r="K101" s="5">
        <f>SUM(H101:J101)</f>
        <v/>
      </c>
      <c r="L101" s="6">
        <f>IF($K$622=0,0,K101/$K$622)</f>
        <v/>
      </c>
      <c r="M101" s="6">
        <f>M100+L101</f>
        <v/>
      </c>
      <c r="N101" s="8">
        <f>IF(M101&lt;=0.8,"A",IF(M101&lt;=0.95,"B","C"))</f>
        <v/>
      </c>
    </row>
    <row r="102">
      <c r="A102" s="2" t="n">
        <v>101</v>
      </c>
      <c r="B102" s="2" t="inlineStr">
        <is>
          <t>213978</t>
        </is>
      </c>
      <c r="C102" s="2" t="inlineStr">
        <is>
          <t>KIT POTE DE VIDRO MARMITA - 1040ML - SORTIDO - 5 POTES</t>
        </is>
      </c>
      <c r="D102" s="4" t="n">
        <v>1</v>
      </c>
      <c r="E102" s="4" t="n">
        <v>89</v>
      </c>
      <c r="F102" s="4" t="n">
        <v>19</v>
      </c>
      <c r="G102" s="4">
        <f>SUM(D102:F102)</f>
        <v/>
      </c>
      <c r="H102" s="5" t="n">
        <v>109.9</v>
      </c>
      <c r="I102" s="5" t="n">
        <v>10958.9</v>
      </c>
      <c r="J102" s="5" t="n">
        <v>1514.9</v>
      </c>
      <c r="K102" s="5">
        <f>SUM(H102:J102)</f>
        <v/>
      </c>
      <c r="L102" s="6">
        <f>IF($K$622=0,0,K102/$K$622)</f>
        <v/>
      </c>
      <c r="M102" s="6">
        <f>M101+L102</f>
        <v/>
      </c>
      <c r="N102" s="8">
        <f>IF(M102&lt;=0.8,"A",IF(M102&lt;=0.95,"B","C"))</f>
        <v/>
      </c>
    </row>
    <row r="103">
      <c r="A103" s="2" t="n">
        <v>102</v>
      </c>
      <c r="B103" s="2" t="inlineStr">
        <is>
          <t>213168</t>
        </is>
      </c>
      <c r="C103" s="2" t="inlineStr">
        <is>
          <t>TAPETE HIG ESPACO DE BICHO 50X60 30UN</t>
        </is>
      </c>
      <c r="D103" s="4" t="n">
        <v>1</v>
      </c>
      <c r="E103" s="4" t="n">
        <v>172</v>
      </c>
      <c r="F103" s="4" t="n">
        <v>135</v>
      </c>
      <c r="G103" s="4">
        <f>SUM(D103:F103)</f>
        <v/>
      </c>
      <c r="H103" s="5" t="n">
        <v>39.9</v>
      </c>
      <c r="I103" s="5" t="n">
        <v>6982.8</v>
      </c>
      <c r="J103" s="5" t="n">
        <v>5505.73</v>
      </c>
      <c r="K103" s="5">
        <f>SUM(H103:J103)</f>
        <v/>
      </c>
      <c r="L103" s="6">
        <f>IF($K$622=0,0,K103/$K$622)</f>
        <v/>
      </c>
      <c r="M103" s="6">
        <f>M102+L103</f>
        <v/>
      </c>
      <c r="N103" s="8">
        <f>IF(M103&lt;=0.8,"A",IF(M103&lt;=0.95,"B","C"))</f>
        <v/>
      </c>
    </row>
    <row r="104">
      <c r="A104" s="2" t="n">
        <v>103</v>
      </c>
      <c r="B104" s="2" t="inlineStr">
        <is>
          <t>213625</t>
        </is>
      </c>
      <c r="C104" s="2" t="inlineStr">
        <is>
          <t>GAIOLA TUBO SUPER LUXO 3 ANDARES - AZUL</t>
        </is>
      </c>
      <c r="D104" s="4" t="n">
        <v>0</v>
      </c>
      <c r="E104" s="4" t="n">
        <v>34</v>
      </c>
      <c r="F104" s="4" t="n">
        <v>47</v>
      </c>
      <c r="G104" s="4">
        <f>SUM(D104:F104)</f>
        <v/>
      </c>
      <c r="H104" s="5" t="n">
        <v>0</v>
      </c>
      <c r="I104" s="5" t="n">
        <v>4796.6</v>
      </c>
      <c r="J104" s="5" t="n">
        <v>6645.3</v>
      </c>
      <c r="K104" s="5">
        <f>SUM(H104:J104)</f>
        <v/>
      </c>
      <c r="L104" s="6">
        <f>IF($K$622=0,0,K104/$K$622)</f>
        <v/>
      </c>
      <c r="M104" s="6">
        <f>M103+L104</f>
        <v/>
      </c>
      <c r="N104" s="8">
        <f>IF(M104&lt;=0.8,"A",IF(M104&lt;=0.95,"B","C"))</f>
        <v/>
      </c>
    </row>
    <row r="105">
      <c r="A105" s="2" t="n">
        <v>104</v>
      </c>
      <c r="B105" s="2" t="inlineStr">
        <is>
          <t>213516</t>
        </is>
      </c>
      <c r="C105" s="2" t="inlineStr">
        <is>
          <t>GRANULADO HIGIÊNICO DE MADEIRA IPET WOOD'S - 20KG</t>
        </is>
      </c>
      <c r="D105" s="4" t="n">
        <v>0</v>
      </c>
      <c r="E105" s="4" t="n">
        <v>50</v>
      </c>
      <c r="F105" s="4" t="n">
        <v>80</v>
      </c>
      <c r="G105" s="4">
        <f>SUM(D105:F105)</f>
        <v/>
      </c>
      <c r="H105" s="5" t="n">
        <v>0</v>
      </c>
      <c r="I105" s="5" t="n">
        <v>4062.89</v>
      </c>
      <c r="J105" s="5" t="n">
        <v>6411.66</v>
      </c>
      <c r="K105" s="5">
        <f>SUM(H105:J105)</f>
        <v/>
      </c>
      <c r="L105" s="6">
        <f>IF($K$622=0,0,K105/$K$622)</f>
        <v/>
      </c>
      <c r="M105" s="6">
        <f>M104+L105</f>
        <v/>
      </c>
      <c r="N105" s="8">
        <f>IF(M105&lt;=0.8,"A",IF(M105&lt;=0.95,"B","C"))</f>
        <v/>
      </c>
    </row>
    <row r="106">
      <c r="A106" s="2" t="n">
        <v>105</v>
      </c>
      <c r="B106" s="2" t="inlineStr">
        <is>
          <t>216025</t>
        </is>
      </c>
      <c r="C106" s="2" t="inlineStr">
        <is>
          <t>KIT POTE DE VIDRO MARMITA - 1040ML - SORTIDO - 10 POTES</t>
        </is>
      </c>
      <c r="D106" s="4" t="n">
        <v>0</v>
      </c>
      <c r="E106" s="4" t="n">
        <v>29</v>
      </c>
      <c r="F106" s="4" t="n">
        <v>10</v>
      </c>
      <c r="G106" s="4">
        <f>SUM(D106:F106)</f>
        <v/>
      </c>
      <c r="H106" s="5" t="n">
        <v>0</v>
      </c>
      <c r="I106" s="5" t="n">
        <v>8407.1</v>
      </c>
      <c r="J106" s="5" t="n">
        <v>1999</v>
      </c>
      <c r="K106" s="5">
        <f>SUM(H106:J106)</f>
        <v/>
      </c>
      <c r="L106" s="6">
        <f>IF($K$622=0,0,K106/$K$622)</f>
        <v/>
      </c>
      <c r="M106" s="6">
        <f>M105+L106</f>
        <v/>
      </c>
      <c r="N106" s="8">
        <f>IF(M106&lt;=0.8,"A",IF(M106&lt;=0.95,"B","C"))</f>
        <v/>
      </c>
    </row>
    <row r="107">
      <c r="A107" s="2" t="n">
        <v>106</v>
      </c>
      <c r="B107" s="2" t="inlineStr">
        <is>
          <t>214270</t>
        </is>
      </c>
      <c r="C107" s="2" t="inlineStr">
        <is>
          <t>CALCA LEG. MAX LUPO - 71053 - LUPO - PRETO - P</t>
        </is>
      </c>
      <c r="D107" s="4" t="n">
        <v>0</v>
      </c>
      <c r="E107" s="4" t="n">
        <v>22</v>
      </c>
      <c r="F107" s="4" t="n">
        <v>38</v>
      </c>
      <c r="G107" s="4">
        <f>SUM(D107:F107)</f>
        <v/>
      </c>
      <c r="H107" s="5" t="n">
        <v>0</v>
      </c>
      <c r="I107" s="5" t="n">
        <v>3782.8</v>
      </c>
      <c r="J107" s="5" t="n">
        <v>6471.2</v>
      </c>
      <c r="K107" s="5">
        <f>SUM(H107:J107)</f>
        <v/>
      </c>
      <c r="L107" s="6">
        <f>IF($K$622=0,0,K107/$K$622)</f>
        <v/>
      </c>
      <c r="M107" s="6">
        <f>M106+L107</f>
        <v/>
      </c>
      <c r="N107" s="8">
        <f>IF(M107&lt;=0.8,"A",IF(M107&lt;=0.95,"B","C"))</f>
        <v/>
      </c>
    </row>
    <row r="108">
      <c r="A108" s="2" t="n">
        <v>107</v>
      </c>
      <c r="B108" s="2" t="inlineStr">
        <is>
          <t>213799</t>
        </is>
      </c>
      <c r="C108" s="2" t="inlineStr">
        <is>
          <t>KIT TAPETE HIG ESPAÇO DE BICHO LAVANDA 80X60 - 30 UNIDADES</t>
        </is>
      </c>
      <c r="D108" s="4" t="n">
        <v>0</v>
      </c>
      <c r="E108" s="4" t="n">
        <v>26</v>
      </c>
      <c r="F108" s="4" t="n">
        <v>78</v>
      </c>
      <c r="G108" s="4">
        <f>SUM(D108:F108)</f>
        <v/>
      </c>
      <c r="H108" s="5" t="n">
        <v>0</v>
      </c>
      <c r="I108" s="5" t="n">
        <v>2369.4</v>
      </c>
      <c r="J108" s="5" t="n">
        <v>7792.2</v>
      </c>
      <c r="K108" s="5">
        <f>SUM(H108:J108)</f>
        <v/>
      </c>
      <c r="L108" s="6">
        <f>IF($K$622=0,0,K108/$K$622)</f>
        <v/>
      </c>
      <c r="M108" s="6">
        <f>M107+L108</f>
        <v/>
      </c>
      <c r="N108" s="8">
        <f>IF(M108&lt;=0.8,"A",IF(M108&lt;=0.95,"B","C"))</f>
        <v/>
      </c>
    </row>
    <row r="109">
      <c r="A109" s="2" t="n">
        <v>108</v>
      </c>
      <c r="B109" s="2" t="inlineStr">
        <is>
          <t>214059</t>
        </is>
      </c>
      <c r="C109" s="2" t="inlineStr">
        <is>
          <t>KIT CABIDE DE MADEIRA - 60 UNIDADES</t>
        </is>
      </c>
      <c r="D109" s="4" t="n">
        <v>0</v>
      </c>
      <c r="E109" s="4" t="n">
        <v>22</v>
      </c>
      <c r="F109" s="4" t="n">
        <v>17</v>
      </c>
      <c r="G109" s="4">
        <f>SUM(D109:F109)</f>
        <v/>
      </c>
      <c r="H109" s="5" t="n">
        <v>0</v>
      </c>
      <c r="I109" s="5" t="n">
        <v>4837.8</v>
      </c>
      <c r="J109" s="5" t="n">
        <v>5076.3</v>
      </c>
      <c r="K109" s="5">
        <f>SUM(H109:J109)</f>
        <v/>
      </c>
      <c r="L109" s="6">
        <f>IF($K$622=0,0,K109/$K$622)</f>
        <v/>
      </c>
      <c r="M109" s="6">
        <f>M108+L109</f>
        <v/>
      </c>
      <c r="N109" s="8">
        <f>IF(M109&lt;=0.8,"A",IF(M109&lt;=0.95,"B","C"))</f>
        <v/>
      </c>
    </row>
    <row r="110">
      <c r="A110" s="2" t="n">
        <v>109</v>
      </c>
      <c r="B110" s="2" t="inlineStr">
        <is>
          <t>214060</t>
        </is>
      </c>
      <c r="C110" s="2" t="inlineStr">
        <is>
          <t>KIT CABIDE DE MADEIRA - 90 UNIDADES</t>
        </is>
      </c>
      <c r="D110" s="4" t="n">
        <v>0</v>
      </c>
      <c r="E110" s="4" t="n">
        <v>17</v>
      </c>
      <c r="F110" s="4" t="n">
        <v>10</v>
      </c>
      <c r="G110" s="4">
        <f>SUM(D110:F110)</f>
        <v/>
      </c>
      <c r="H110" s="5" t="n">
        <v>0</v>
      </c>
      <c r="I110" s="5" t="n">
        <v>5558.3</v>
      </c>
      <c r="J110" s="5" t="n">
        <v>4339</v>
      </c>
      <c r="K110" s="5">
        <f>SUM(H110:J110)</f>
        <v/>
      </c>
      <c r="L110" s="6">
        <f>IF($K$622=0,0,K110/$K$622)</f>
        <v/>
      </c>
      <c r="M110" s="6">
        <f>M109+L110</f>
        <v/>
      </c>
      <c r="N110" s="8">
        <f>IF(M110&lt;=0.8,"A",IF(M110&lt;=0.95,"B","C"))</f>
        <v/>
      </c>
    </row>
    <row r="111">
      <c r="A111" s="2" t="n">
        <v>110</v>
      </c>
      <c r="B111" s="2" t="inlineStr">
        <is>
          <t>212968</t>
        </is>
      </c>
      <c r="C111" s="2" t="inlineStr">
        <is>
          <t>TAPETE HIG ULTRA PADS AROMA NATURAL 80X60 30UN</t>
        </is>
      </c>
      <c r="D111" s="4" t="n">
        <v>0</v>
      </c>
      <c r="E111" s="4" t="n">
        <v>49</v>
      </c>
      <c r="F111" s="4" t="n">
        <v>144</v>
      </c>
      <c r="G111" s="4">
        <f>SUM(D111:F111)</f>
        <v/>
      </c>
      <c r="H111" s="5" t="n">
        <v>0</v>
      </c>
      <c r="I111" s="5" t="n">
        <v>2525.86</v>
      </c>
      <c r="J111" s="5" t="n">
        <v>7350.61</v>
      </c>
      <c r="K111" s="5">
        <f>SUM(H111:J111)</f>
        <v/>
      </c>
      <c r="L111" s="6">
        <f>IF($K$622=0,0,K111/$K$622)</f>
        <v/>
      </c>
      <c r="M111" s="6">
        <f>M110+L111</f>
        <v/>
      </c>
      <c r="N111" s="8">
        <f>IF(M111&lt;=0.8,"A",IF(M111&lt;=0.95,"B","C"))</f>
        <v/>
      </c>
    </row>
    <row r="112">
      <c r="A112" s="2" t="n">
        <v>111</v>
      </c>
      <c r="B112" s="2" t="inlineStr">
        <is>
          <t>214040</t>
        </is>
      </c>
      <c r="C112" s="2" t="inlineStr">
        <is>
          <t>KIT CANNIS GLOBULIN POLIVALENTE SORO 5ML DECHRA - 12 UNIDADES</t>
        </is>
      </c>
      <c r="D112" s="4" t="n">
        <v>0</v>
      </c>
      <c r="E112" s="4" t="n">
        <v>3</v>
      </c>
      <c r="F112" s="4" t="n">
        <v>12</v>
      </c>
      <c r="G112" s="4">
        <f>SUM(D112:F112)</f>
        <v/>
      </c>
      <c r="H112" s="5" t="n">
        <v>0</v>
      </c>
      <c r="I112" s="5" t="n">
        <v>1799.7</v>
      </c>
      <c r="J112" s="5" t="n">
        <v>7798.8</v>
      </c>
      <c r="K112" s="5">
        <f>SUM(H112:J112)</f>
        <v/>
      </c>
      <c r="L112" s="6">
        <f>IF($K$622=0,0,K112/$K$622)</f>
        <v/>
      </c>
      <c r="M112" s="6">
        <f>M111+L112</f>
        <v/>
      </c>
      <c r="N112" s="8">
        <f>IF(M112&lt;=0.8,"A",IF(M112&lt;=0.95,"B","C"))</f>
        <v/>
      </c>
    </row>
    <row r="113">
      <c r="A113" s="2" t="n">
        <v>112</v>
      </c>
      <c r="B113" s="2" t="inlineStr">
        <is>
          <t>214284</t>
        </is>
      </c>
      <c r="C113" s="2" t="inlineStr">
        <is>
          <t>CALCA LEG. MAX LUPO - 71053 - LUPO - GRAFITE - M</t>
        </is>
      </c>
      <c r="D113" s="4" t="n">
        <v>0</v>
      </c>
      <c r="E113" s="4" t="n">
        <v>19</v>
      </c>
      <c r="F113" s="4" t="n">
        <v>36</v>
      </c>
      <c r="G113" s="4">
        <f>SUM(D113:F113)</f>
        <v/>
      </c>
      <c r="H113" s="5" t="n">
        <v>0</v>
      </c>
      <c r="I113" s="5" t="n">
        <v>3268.17</v>
      </c>
      <c r="J113" s="5" t="n">
        <v>6131.4</v>
      </c>
      <c r="K113" s="5">
        <f>SUM(H113:J113)</f>
        <v/>
      </c>
      <c r="L113" s="6">
        <f>IF($K$622=0,0,K113/$K$622)</f>
        <v/>
      </c>
      <c r="M113" s="6">
        <f>M112+L113</f>
        <v/>
      </c>
      <c r="N113" s="8">
        <f>IF(M113&lt;=0.8,"A",IF(M113&lt;=0.95,"B","C"))</f>
        <v/>
      </c>
    </row>
    <row r="114">
      <c r="A114" s="2" t="n">
        <v>113</v>
      </c>
      <c r="B114" s="2" t="inlineStr">
        <is>
          <t>215956</t>
        </is>
      </c>
      <c r="C114" s="2" t="inlineStr">
        <is>
          <t>KIT POTE DE VIDRO MARMITA - 370ML - SORTIDO - 2 POTES</t>
        </is>
      </c>
      <c r="D114" s="4" t="n">
        <v>0</v>
      </c>
      <c r="E114" s="4" t="n">
        <v>5</v>
      </c>
      <c r="F114" s="4" t="n">
        <v>129</v>
      </c>
      <c r="G114" s="4">
        <f>SUM(D114:F114)</f>
        <v/>
      </c>
      <c r="H114" s="5" t="n">
        <v>0</v>
      </c>
      <c r="I114" s="5" t="n">
        <v>349.5</v>
      </c>
      <c r="J114" s="5" t="n">
        <v>9017.1</v>
      </c>
      <c r="K114" s="5">
        <f>SUM(H114:J114)</f>
        <v/>
      </c>
      <c r="L114" s="6">
        <f>IF($K$622=0,0,K114/$K$622)</f>
        <v/>
      </c>
      <c r="M114" s="6">
        <f>M113+L114</f>
        <v/>
      </c>
      <c r="N114" s="8">
        <f>IF(M114&lt;=0.8,"A",IF(M114&lt;=0.95,"B","C"))</f>
        <v/>
      </c>
    </row>
    <row r="115">
      <c r="A115" s="2" t="n">
        <v>114</v>
      </c>
      <c r="B115" s="2" t="inlineStr">
        <is>
          <t>214112</t>
        </is>
      </c>
      <c r="C115" s="2" t="inlineStr">
        <is>
          <t>BOMBA SUBMERSA - 200L/H - 220V</t>
        </is>
      </c>
      <c r="D115" s="4" t="n">
        <v>0</v>
      </c>
      <c r="E115" s="4" t="n">
        <v>275</v>
      </c>
      <c r="F115" s="4" t="n">
        <v>120</v>
      </c>
      <c r="G115" s="4">
        <f>SUM(D115:F115)</f>
        <v/>
      </c>
      <c r="H115" s="5" t="n">
        <v>0</v>
      </c>
      <c r="I115" s="5" t="n">
        <v>6238.81</v>
      </c>
      <c r="J115" s="5" t="n">
        <v>2757.3</v>
      </c>
      <c r="K115" s="5">
        <f>SUM(H115:J115)</f>
        <v/>
      </c>
      <c r="L115" s="6">
        <f>IF($K$622=0,0,K115/$K$622)</f>
        <v/>
      </c>
      <c r="M115" s="6">
        <f>M114+L115</f>
        <v/>
      </c>
      <c r="N115" s="8">
        <f>IF(M115&lt;=0.8,"A",IF(M115&lt;=0.95,"B","C"))</f>
        <v/>
      </c>
    </row>
    <row r="116">
      <c r="A116" s="2" t="n">
        <v>115</v>
      </c>
      <c r="B116" s="2" t="inlineStr">
        <is>
          <t>214055</t>
        </is>
      </c>
      <c r="C116" s="2" t="inlineStr">
        <is>
          <t>KIT CABIDE DE MADEIRA - 30 UNIDADES</t>
        </is>
      </c>
      <c r="D116" s="4" t="n">
        <v>0</v>
      </c>
      <c r="E116" s="4" t="n">
        <v>47</v>
      </c>
      <c r="F116" s="4" t="n">
        <v>21</v>
      </c>
      <c r="G116" s="4">
        <f>SUM(D116:F116)</f>
        <v/>
      </c>
      <c r="H116" s="5" t="n">
        <v>0</v>
      </c>
      <c r="I116" s="5" t="n">
        <v>5455.3</v>
      </c>
      <c r="J116" s="5" t="n">
        <v>3424.34</v>
      </c>
      <c r="K116" s="5">
        <f>SUM(H116:J116)</f>
        <v/>
      </c>
      <c r="L116" s="6">
        <f>IF($K$622=0,0,K116/$K$622)</f>
        <v/>
      </c>
      <c r="M116" s="6">
        <f>M115+L116</f>
        <v/>
      </c>
      <c r="N116" s="8">
        <f>IF(M116&lt;=0.8,"A",IF(M116&lt;=0.95,"B","C"))</f>
        <v/>
      </c>
    </row>
    <row r="117">
      <c r="A117" s="2" t="n">
        <v>116</v>
      </c>
      <c r="B117" s="2" t="inlineStr">
        <is>
          <t>213823</t>
        </is>
      </c>
      <c r="C117" s="2" t="inlineStr">
        <is>
          <t>KIT TAPETE HIG GOOD PAD 80X60 30UN - 60 UNIDADES</t>
        </is>
      </c>
      <c r="D117" s="4" t="n">
        <v>0</v>
      </c>
      <c r="E117" s="4" t="n">
        <v>39</v>
      </c>
      <c r="F117" s="4" t="n">
        <v>41</v>
      </c>
      <c r="G117" s="4">
        <f>SUM(D117:F117)</f>
        <v/>
      </c>
      <c r="H117" s="5" t="n">
        <v>0</v>
      </c>
      <c r="I117" s="5" t="n">
        <v>4301.1</v>
      </c>
      <c r="J117" s="5" t="n">
        <v>4566.4</v>
      </c>
      <c r="K117" s="5">
        <f>SUM(H117:J117)</f>
        <v/>
      </c>
      <c r="L117" s="6">
        <f>IF($K$622=0,0,K117/$K$622)</f>
        <v/>
      </c>
      <c r="M117" s="6">
        <f>M116+L117</f>
        <v/>
      </c>
      <c r="N117" s="8">
        <f>IF(M117&lt;=0.8,"A",IF(M117&lt;=0.95,"B","C"))</f>
        <v/>
      </c>
    </row>
    <row r="118">
      <c r="A118" s="2" t="n">
        <v>117</v>
      </c>
      <c r="B118" s="2" t="inlineStr">
        <is>
          <t>214748</t>
        </is>
      </c>
      <c r="C118" s="2" t="inlineStr">
        <is>
          <t>TAPETE DE ATIVIDADES INTERATIVO INFANTIL COM SOM E LUZES - VERDE</t>
        </is>
      </c>
      <c r="D118" s="4" t="n">
        <v>0</v>
      </c>
      <c r="E118" s="4" t="n">
        <v>20</v>
      </c>
      <c r="F118" s="4" t="n">
        <v>123</v>
      </c>
      <c r="G118" s="4">
        <f>SUM(D118:F118)</f>
        <v/>
      </c>
      <c r="H118" s="5" t="n">
        <v>0</v>
      </c>
      <c r="I118" s="5" t="n">
        <v>1298.95</v>
      </c>
      <c r="J118" s="5" t="n">
        <v>7532.7</v>
      </c>
      <c r="K118" s="5">
        <f>SUM(H118:J118)</f>
        <v/>
      </c>
      <c r="L118" s="6">
        <f>IF($K$622=0,0,K118/$K$622)</f>
        <v/>
      </c>
      <c r="M118" s="6">
        <f>M117+L118</f>
        <v/>
      </c>
      <c r="N118" s="8">
        <f>IF(M118&lt;=0.8,"A",IF(M118&lt;=0.95,"B","C"))</f>
        <v/>
      </c>
    </row>
    <row r="119">
      <c r="A119" s="2" t="n">
        <v>118</v>
      </c>
      <c r="B119" s="2" t="inlineStr">
        <is>
          <t>213971</t>
        </is>
      </c>
      <c r="C119" s="2" t="inlineStr">
        <is>
          <t>KIT POTE DE VIDRO MARMITA - 370ML - SORTIDO - 3 POTES</t>
        </is>
      </c>
      <c r="D119" s="4" t="n">
        <v>0</v>
      </c>
      <c r="E119" s="4" t="n">
        <v>80</v>
      </c>
      <c r="F119" s="4" t="n">
        <v>165</v>
      </c>
      <c r="G119" s="4">
        <f>SUM(D119:F119)</f>
        <v/>
      </c>
      <c r="H119" s="5" t="n">
        <v>0</v>
      </c>
      <c r="I119" s="5" t="n">
        <v>3249.59</v>
      </c>
      <c r="J119" s="5" t="n">
        <v>5408.22</v>
      </c>
      <c r="K119" s="5">
        <f>SUM(H119:J119)</f>
        <v/>
      </c>
      <c r="L119" s="6">
        <f>IF($K$622=0,0,K119/$K$622)</f>
        <v/>
      </c>
      <c r="M119" s="6">
        <f>M118+L119</f>
        <v/>
      </c>
      <c r="N119" s="8">
        <f>IF(M119&lt;=0.8,"A",IF(M119&lt;=0.95,"B","C"))</f>
        <v/>
      </c>
    </row>
    <row r="120">
      <c r="A120" s="2" t="n">
        <v>119</v>
      </c>
      <c r="B120" s="2" t="inlineStr">
        <is>
          <t>212959</t>
        </is>
      </c>
      <c r="C120" s="2" t="inlineStr">
        <is>
          <t>TAPETE HIG GOOD PAD 80X60 30UN</t>
        </is>
      </c>
      <c r="D120" s="4" t="n">
        <v>0</v>
      </c>
      <c r="E120" s="4" t="n">
        <v>149</v>
      </c>
      <c r="F120" s="4" t="n">
        <v>35</v>
      </c>
      <c r="G120" s="4">
        <f>SUM(D120:F120)</f>
        <v/>
      </c>
      <c r="H120" s="5" t="n">
        <v>0</v>
      </c>
      <c r="I120" s="5" t="n">
        <v>6661.01</v>
      </c>
      <c r="J120" s="5" t="n">
        <v>1934</v>
      </c>
      <c r="K120" s="5">
        <f>SUM(H120:J120)</f>
        <v/>
      </c>
      <c r="L120" s="6">
        <f>IF($K$622=0,0,K120/$K$622)</f>
        <v/>
      </c>
      <c r="M120" s="6">
        <f>M119+L120</f>
        <v/>
      </c>
      <c r="N120" s="8">
        <f>IF(M120&lt;=0.8,"A",IF(M120&lt;=0.95,"B","C"))</f>
        <v/>
      </c>
    </row>
    <row r="121">
      <c r="A121" s="2" t="n">
        <v>120</v>
      </c>
      <c r="B121" s="2" t="inlineStr">
        <is>
          <t>215998</t>
        </is>
      </c>
      <c r="C121" s="2" t="inlineStr">
        <is>
          <t>KIT POTE DE VIDRO MARMITA - 1040ML - BRANCO - 5 POTES</t>
        </is>
      </c>
      <c r="D121" s="4" t="n">
        <v>0</v>
      </c>
      <c r="E121" s="4" t="n">
        <v>48</v>
      </c>
      <c r="F121" s="4" t="n">
        <v>0</v>
      </c>
      <c r="G121" s="4">
        <f>SUM(D121:F121)</f>
        <v/>
      </c>
      <c r="H121" s="5" t="n">
        <v>0</v>
      </c>
      <c r="I121" s="5" t="n">
        <v>8155.2</v>
      </c>
      <c r="J121" s="5" t="n">
        <v>0</v>
      </c>
      <c r="K121" s="5">
        <f>SUM(H121:J121)</f>
        <v/>
      </c>
      <c r="L121" s="6">
        <f>IF($K$622=0,0,K121/$K$622)</f>
        <v/>
      </c>
      <c r="M121" s="6">
        <f>M120+L121</f>
        <v/>
      </c>
      <c r="N121" s="9">
        <f>IF(M121&lt;=0.8,"A",IF(M121&lt;=0.95,"B","C"))</f>
        <v/>
      </c>
    </row>
    <row r="122">
      <c r="A122" s="2" t="n">
        <v>121</v>
      </c>
      <c r="B122" s="2" t="inlineStr">
        <is>
          <t>215132</t>
        </is>
      </c>
      <c r="C122" s="2" t="inlineStr">
        <is>
          <t>ALICATE CORTADOR DE UNHAS PET C/ LIXA - VERMELHO</t>
        </is>
      </c>
      <c r="D122" s="4" t="n">
        <v>0</v>
      </c>
      <c r="E122" s="4" t="n">
        <v>10</v>
      </c>
      <c r="F122" s="4" t="n">
        <v>7506</v>
      </c>
      <c r="G122" s="4">
        <f>SUM(D122:F122)</f>
        <v/>
      </c>
      <c r="H122" s="5" t="n">
        <v>0</v>
      </c>
      <c r="I122" s="5" t="n">
        <v>239</v>
      </c>
      <c r="J122" s="5" t="n">
        <v>7619.36</v>
      </c>
      <c r="K122" s="5">
        <f>SUM(H122:J122)</f>
        <v/>
      </c>
      <c r="L122" s="6">
        <f>IF($K$622=0,0,K122/$K$622)</f>
        <v/>
      </c>
      <c r="M122" s="6">
        <f>M121+L122</f>
        <v/>
      </c>
      <c r="N122" s="9">
        <f>IF(M122&lt;=0.8,"A",IF(M122&lt;=0.95,"B","C"))</f>
        <v/>
      </c>
    </row>
    <row r="123">
      <c r="A123" s="2" t="n">
        <v>122</v>
      </c>
      <c r="B123" s="2" t="inlineStr">
        <is>
          <t>214156</t>
        </is>
      </c>
      <c r="C123" s="2" t="inlineStr">
        <is>
          <t>KIT CABIDE PARA CALÇA C/5 DIVISORIAS - PRETO - 3 UNIDADES</t>
        </is>
      </c>
      <c r="D123" s="4" t="n">
        <v>0</v>
      </c>
      <c r="E123" s="4" t="n">
        <v>48</v>
      </c>
      <c r="F123" s="4" t="n">
        <v>161</v>
      </c>
      <c r="G123" s="4">
        <f>SUM(D123:F123)</f>
        <v/>
      </c>
      <c r="H123" s="5" t="n">
        <v>0</v>
      </c>
      <c r="I123" s="5" t="n">
        <v>2076.13</v>
      </c>
      <c r="J123" s="5" t="n">
        <v>5742.08</v>
      </c>
      <c r="K123" s="5">
        <f>SUM(H123:J123)</f>
        <v/>
      </c>
      <c r="L123" s="6">
        <f>IF($K$622=0,0,K123/$K$622)</f>
        <v/>
      </c>
      <c r="M123" s="6">
        <f>M122+L123</f>
        <v/>
      </c>
      <c r="N123" s="9">
        <f>IF(M123&lt;=0.8,"A",IF(M123&lt;=0.95,"B","C"))</f>
        <v/>
      </c>
    </row>
    <row r="124">
      <c r="A124" s="2" t="n">
        <v>123</v>
      </c>
      <c r="B124" s="2" t="inlineStr">
        <is>
          <t>214272</t>
        </is>
      </c>
      <c r="C124" s="2" t="inlineStr">
        <is>
          <t>CALCA LEG. MAX LUPO - 71053 - LUPO - GOIABA - P</t>
        </is>
      </c>
      <c r="D124" s="4" t="n">
        <v>0</v>
      </c>
      <c r="E124" s="4" t="n">
        <v>19</v>
      </c>
      <c r="F124" s="4" t="n">
        <v>23</v>
      </c>
      <c r="G124" s="4">
        <f>SUM(D124:F124)</f>
        <v/>
      </c>
      <c r="H124" s="5" t="n">
        <v>0</v>
      </c>
      <c r="I124" s="5" t="n">
        <v>3413.17</v>
      </c>
      <c r="J124" s="5" t="n">
        <v>4102.7</v>
      </c>
      <c r="K124" s="5">
        <f>SUM(H124:J124)</f>
        <v/>
      </c>
      <c r="L124" s="6">
        <f>IF($K$622=0,0,K124/$K$622)</f>
        <v/>
      </c>
      <c r="M124" s="6">
        <f>M123+L124</f>
        <v/>
      </c>
      <c r="N124" s="9">
        <f>IF(M124&lt;=0.8,"A",IF(M124&lt;=0.95,"B","C"))</f>
        <v/>
      </c>
    </row>
    <row r="125">
      <c r="A125" s="2" t="n">
        <v>124</v>
      </c>
      <c r="B125" s="2" t="inlineStr">
        <is>
          <t>10 potes 370 branco</t>
        </is>
      </c>
      <c r="C125" s="2" t="inlineStr">
        <is>
          <t>Este conjunto de 10 potes de vidro hermético, cada um com capacidade de 370 ml, é ideal para quem busca praticidade e qu</t>
        </is>
      </c>
      <c r="D125" s="4" t="n">
        <v>0</v>
      </c>
      <c r="E125" s="4" t="n">
        <v>39</v>
      </c>
      <c r="F125" s="4" t="n">
        <v>53</v>
      </c>
      <c r="G125" s="4">
        <f>SUM(D125:F125)</f>
        <v/>
      </c>
      <c r="H125" s="5" t="n">
        <v>0</v>
      </c>
      <c r="I125" s="5" t="n">
        <v>3115.71</v>
      </c>
      <c r="J125" s="5" t="n">
        <v>4234.22</v>
      </c>
      <c r="K125" s="5">
        <f>SUM(H125:J125)</f>
        <v/>
      </c>
      <c r="L125" s="6">
        <f>IF($K$622=0,0,K125/$K$622)</f>
        <v/>
      </c>
      <c r="M125" s="6">
        <f>M124+L125</f>
        <v/>
      </c>
      <c r="N125" s="9">
        <f>IF(M125&lt;=0.8,"A",IF(M125&lt;=0.95,"B","C"))</f>
        <v/>
      </c>
    </row>
    <row r="126">
      <c r="A126" s="2" t="n">
        <v>125</v>
      </c>
      <c r="B126" s="2" t="inlineStr">
        <is>
          <t>50UNI-TAPETE-EPCBICHO-60X50-FULL</t>
        </is>
      </c>
      <c r="C126" s="2" t="inlineStr">
        <is>
          <t>Tapete Higiênico Espaço De Bicho Para Cães 50x60cm 50 Uni Branco - Branco - Liso</t>
        </is>
      </c>
      <c r="D126" s="4" t="n">
        <v>0</v>
      </c>
      <c r="E126" s="4" t="n">
        <v>2</v>
      </c>
      <c r="F126" s="4" t="n">
        <v>126</v>
      </c>
      <c r="G126" s="4">
        <f>SUM(D126:F126)</f>
        <v/>
      </c>
      <c r="H126" s="5" t="n">
        <v>0</v>
      </c>
      <c r="I126" s="5" t="n">
        <v>157.8</v>
      </c>
      <c r="J126" s="5" t="n">
        <v>7107.92</v>
      </c>
      <c r="K126" s="5">
        <f>SUM(H126:J126)</f>
        <v/>
      </c>
      <c r="L126" s="6">
        <f>IF($K$622=0,0,K126/$K$622)</f>
        <v/>
      </c>
      <c r="M126" s="6">
        <f>M125+L126</f>
        <v/>
      </c>
      <c r="N126" s="9">
        <f>IF(M126&lt;=0.8,"A",IF(M126&lt;=0.95,"B","C"))</f>
        <v/>
      </c>
    </row>
    <row r="127">
      <c r="A127" s="2" t="n">
        <v>126</v>
      </c>
      <c r="B127" s="2" t="inlineStr">
        <is>
          <t>212996</t>
        </is>
      </c>
      <c r="C127" s="2" t="inlineStr">
        <is>
          <t>PORTA PÃES COM TAMPA RETRÁTIL EM BAMBU</t>
        </is>
      </c>
      <c r="D127" s="4" t="n">
        <v>0</v>
      </c>
      <c r="E127" s="4" t="n">
        <v>73</v>
      </c>
      <c r="F127" s="4" t="n">
        <v>0</v>
      </c>
      <c r="G127" s="4">
        <f>SUM(D127:F127)</f>
        <v/>
      </c>
      <c r="H127" s="5" t="n">
        <v>0</v>
      </c>
      <c r="I127" s="5" t="n">
        <v>7184.79</v>
      </c>
      <c r="J127" s="5" t="n">
        <v>0</v>
      </c>
      <c r="K127" s="5">
        <f>SUM(H127:J127)</f>
        <v/>
      </c>
      <c r="L127" s="6">
        <f>IF($K$622=0,0,K127/$K$622)</f>
        <v/>
      </c>
      <c r="M127" s="6">
        <f>M126+L127</f>
        <v/>
      </c>
      <c r="N127" s="9">
        <f>IF(M127&lt;=0.8,"A",IF(M127&lt;=0.95,"B","C"))</f>
        <v/>
      </c>
    </row>
    <row r="128">
      <c r="A128" s="2" t="n">
        <v>127</v>
      </c>
      <c r="B128" s="2" t="inlineStr">
        <is>
          <t>214011</t>
        </is>
      </c>
      <c r="C128" s="2" t="inlineStr">
        <is>
          <t>KIT CABIDE VELUDO PARA ROUPAS ADULTO - BEGE - 30</t>
        </is>
      </c>
      <c r="D128" s="4" t="n">
        <v>0</v>
      </c>
      <c r="E128" s="4" t="n">
        <v>54</v>
      </c>
      <c r="F128" s="4" t="n">
        <v>75</v>
      </c>
      <c r="G128" s="4">
        <f>SUM(D128:F128)</f>
        <v/>
      </c>
      <c r="H128" s="5" t="n">
        <v>0</v>
      </c>
      <c r="I128" s="5" t="n">
        <v>3519.03</v>
      </c>
      <c r="J128" s="5" t="n">
        <v>3582.86</v>
      </c>
      <c r="K128" s="5">
        <f>SUM(H128:J128)</f>
        <v/>
      </c>
      <c r="L128" s="6">
        <f>IF($K$622=0,0,K128/$K$622)</f>
        <v/>
      </c>
      <c r="M128" s="6">
        <f>M127+L128</f>
        <v/>
      </c>
      <c r="N128" s="9">
        <f>IF(M128&lt;=0.8,"A",IF(M128&lt;=0.95,"B","C"))</f>
        <v/>
      </c>
    </row>
    <row r="129">
      <c r="A129" s="2" t="n">
        <v>128</v>
      </c>
      <c r="B129" s="2" t="inlineStr">
        <is>
          <t>215182</t>
        </is>
      </c>
      <c r="C129" s="2" t="inlineStr">
        <is>
          <t>CALCA LEG. MAX LUPO - 71053 - LUPO - AZUL MARINHO - M</t>
        </is>
      </c>
      <c r="D129" s="4" t="n">
        <v>0</v>
      </c>
      <c r="E129" s="4" t="n">
        <v>20</v>
      </c>
      <c r="F129" s="4" t="n">
        <v>20</v>
      </c>
      <c r="G129" s="4">
        <f>SUM(D129:F129)</f>
        <v/>
      </c>
      <c r="H129" s="5" t="n">
        <v>0</v>
      </c>
      <c r="I129" s="5" t="n">
        <v>3378.28</v>
      </c>
      <c r="J129" s="5" t="n">
        <v>3498</v>
      </c>
      <c r="K129" s="5">
        <f>SUM(H129:J129)</f>
        <v/>
      </c>
      <c r="L129" s="6">
        <f>IF($K$622=0,0,K129/$K$622)</f>
        <v/>
      </c>
      <c r="M129" s="6">
        <f>M128+L129</f>
        <v/>
      </c>
      <c r="N129" s="9">
        <f>IF(M129&lt;=0.8,"A",IF(M129&lt;=0.95,"B","C"))</f>
        <v/>
      </c>
    </row>
    <row r="130">
      <c r="A130" s="2" t="n">
        <v>129</v>
      </c>
      <c r="B130" s="2" t="inlineStr">
        <is>
          <t>214123</t>
        </is>
      </c>
      <c r="C130" s="2" t="inlineStr">
        <is>
          <t>ÁRVORE DE NATAL - 2.1M - 850 GALHOS</t>
        </is>
      </c>
      <c r="D130" s="4" t="n">
        <v>0</v>
      </c>
      <c r="E130" s="4" t="n">
        <v>9</v>
      </c>
      <c r="F130" s="4" t="n">
        <v>21</v>
      </c>
      <c r="G130" s="4">
        <f>SUM(D130:F130)</f>
        <v/>
      </c>
      <c r="H130" s="5" t="n">
        <v>0</v>
      </c>
      <c r="I130" s="5" t="n">
        <v>1979.1</v>
      </c>
      <c r="J130" s="5" t="n">
        <v>4609.1</v>
      </c>
      <c r="K130" s="5">
        <f>SUM(H130:J130)</f>
        <v/>
      </c>
      <c r="L130" s="6">
        <f>IF($K$622=0,0,K130/$K$622)</f>
        <v/>
      </c>
      <c r="M130" s="6">
        <f>M129+L130</f>
        <v/>
      </c>
      <c r="N130" s="9">
        <f>IF(M130&lt;=0.8,"A",IF(M130&lt;=0.95,"B","C"))</f>
        <v/>
      </c>
    </row>
    <row r="131">
      <c r="A131" s="2" t="n">
        <v>130</v>
      </c>
      <c r="B131" s="2" t="inlineStr">
        <is>
          <t>0835</t>
        </is>
      </c>
      <c r="C131" s="2" t="inlineStr">
        <is>
          <t>Tapete Higienico Espaço De Bicho Cães E Gatos 60x60 Com 80un</t>
        </is>
      </c>
      <c r="D131" s="4" t="n">
        <v>0</v>
      </c>
      <c r="E131" s="4" t="n">
        <v>31</v>
      </c>
      <c r="F131" s="4" t="n">
        <v>22</v>
      </c>
      <c r="G131" s="4">
        <f>SUM(D131:F131)</f>
        <v/>
      </c>
      <c r="H131" s="5" t="n">
        <v>0</v>
      </c>
      <c r="I131" s="5" t="n">
        <v>3819.51</v>
      </c>
      <c r="J131" s="5" t="n">
        <v>2710.62</v>
      </c>
      <c r="K131" s="5">
        <f>SUM(H131:J131)</f>
        <v/>
      </c>
      <c r="L131" s="6">
        <f>IF($K$622=0,0,K131/$K$622)</f>
        <v/>
      </c>
      <c r="M131" s="6">
        <f>M130+L131</f>
        <v/>
      </c>
      <c r="N131" s="9">
        <f>IF(M131&lt;=0.8,"A",IF(M131&lt;=0.95,"B","C"))</f>
        <v/>
      </c>
    </row>
    <row r="132">
      <c r="A132" s="2" t="n">
        <v>131</v>
      </c>
      <c r="B132" s="2" t="inlineStr">
        <is>
          <t>212955</t>
        </is>
      </c>
      <c r="C132" s="2" t="inlineStr">
        <is>
          <t>TAPETE HIG SHOPITO 60X60 50UN</t>
        </is>
      </c>
      <c r="D132" s="4" t="n">
        <v>0</v>
      </c>
      <c r="E132" s="4" t="n">
        <v>37</v>
      </c>
      <c r="F132" s="4" t="n">
        <v>67</v>
      </c>
      <c r="G132" s="4">
        <f>SUM(D132:F132)</f>
        <v/>
      </c>
      <c r="H132" s="5" t="n">
        <v>0</v>
      </c>
      <c r="I132" s="5" t="n">
        <v>2290.3</v>
      </c>
      <c r="J132" s="5" t="n">
        <v>4147.3</v>
      </c>
      <c r="K132" s="5">
        <f>SUM(H132:J132)</f>
        <v/>
      </c>
      <c r="L132" s="6">
        <f>IF($K$622=0,0,K132/$K$622)</f>
        <v/>
      </c>
      <c r="M132" s="6">
        <f>M131+L132</f>
        <v/>
      </c>
      <c r="N132" s="9">
        <f>IF(M132&lt;=0.8,"A",IF(M132&lt;=0.95,"B","C"))</f>
        <v/>
      </c>
    </row>
    <row r="133">
      <c r="A133" s="2" t="n">
        <v>132</v>
      </c>
      <c r="B133" s="2" t="inlineStr">
        <is>
          <t>213801</t>
        </is>
      </c>
      <c r="C133" s="2" t="inlineStr">
        <is>
          <t>KIT TAPETE HIG ESPAÇO DE BICHO LAVANDA 80X60 - 90 UNIDADES</t>
        </is>
      </c>
      <c r="D133" s="4" t="n">
        <v>0</v>
      </c>
      <c r="E133" s="4" t="n">
        <v>15</v>
      </c>
      <c r="F133" s="4" t="n">
        <v>22</v>
      </c>
      <c r="G133" s="4">
        <f>SUM(D133:F133)</f>
        <v/>
      </c>
      <c r="H133" s="5" t="n">
        <v>0</v>
      </c>
      <c r="I133" s="5" t="n">
        <v>2558.5</v>
      </c>
      <c r="J133" s="5" t="n">
        <v>3852.8</v>
      </c>
      <c r="K133" s="5">
        <f>SUM(H133:J133)</f>
        <v/>
      </c>
      <c r="L133" s="6">
        <f>IF($K$622=0,0,K133/$K$622)</f>
        <v/>
      </c>
      <c r="M133" s="6">
        <f>M132+L133</f>
        <v/>
      </c>
      <c r="N133" s="9">
        <f>IF(M133&lt;=0.8,"A",IF(M133&lt;=0.95,"B","C"))</f>
        <v/>
      </c>
    </row>
    <row r="134">
      <c r="A134" s="2" t="n">
        <v>133</v>
      </c>
      <c r="B134" s="2" t="inlineStr">
        <is>
          <t>213946</t>
        </is>
      </c>
      <c r="C134" s="2" t="inlineStr">
        <is>
          <t>KIT POTE DE VIDRO MARMITA - 1040ML - BRANCO - 3 POTES</t>
        </is>
      </c>
      <c r="D134" s="4" t="n">
        <v>1</v>
      </c>
      <c r="E134" s="4" t="n">
        <v>50</v>
      </c>
      <c r="F134" s="4" t="n">
        <v>38</v>
      </c>
      <c r="G134" s="4">
        <f>SUM(D134:F134)</f>
        <v/>
      </c>
      <c r="H134" s="5" t="n">
        <v>68.90000000000001</v>
      </c>
      <c r="I134" s="5" t="n">
        <v>4011.2</v>
      </c>
      <c r="J134" s="5" t="n">
        <v>2179.6</v>
      </c>
      <c r="K134" s="5">
        <f>SUM(H134:J134)</f>
        <v/>
      </c>
      <c r="L134" s="6">
        <f>IF($K$622=0,0,K134/$K$622)</f>
        <v/>
      </c>
      <c r="M134" s="6">
        <f>M133+L134</f>
        <v/>
      </c>
      <c r="N134" s="9">
        <f>IF(M134&lt;=0.8,"A",IF(M134&lt;=0.95,"B","C"))</f>
        <v/>
      </c>
    </row>
    <row r="135">
      <c r="A135" s="2" t="n">
        <v>134</v>
      </c>
      <c r="B135" s="2" t="inlineStr">
        <is>
          <t>213848</t>
        </is>
      </c>
      <c r="C135" s="2" t="inlineStr">
        <is>
          <t>KIT TAPETE HIG ESPACO DE BICHO 50X60 - 60 UNIDADES</t>
        </is>
      </c>
      <c r="D135" s="4" t="n">
        <v>0</v>
      </c>
      <c r="E135" s="4" t="n">
        <v>47</v>
      </c>
      <c r="F135" s="4" t="n">
        <v>32</v>
      </c>
      <c r="G135" s="4">
        <f>SUM(D135:F135)</f>
        <v/>
      </c>
      <c r="H135" s="5" t="n">
        <v>0</v>
      </c>
      <c r="I135" s="5" t="n">
        <v>3661.3</v>
      </c>
      <c r="J135" s="5" t="n">
        <v>2532.8</v>
      </c>
      <c r="K135" s="5">
        <f>SUM(H135:J135)</f>
        <v/>
      </c>
      <c r="L135" s="6">
        <f>IF($K$622=0,0,K135/$K$622)</f>
        <v/>
      </c>
      <c r="M135" s="6">
        <f>M134+L135</f>
        <v/>
      </c>
      <c r="N135" s="9">
        <f>IF(M135&lt;=0.8,"A",IF(M135&lt;=0.95,"B","C"))</f>
        <v/>
      </c>
    </row>
    <row r="136">
      <c r="A136" s="2" t="n">
        <v>135</v>
      </c>
      <c r="B136" s="2" t="inlineStr">
        <is>
          <t>213845</t>
        </is>
      </c>
      <c r="C136" s="2" t="inlineStr">
        <is>
          <t>KIT TAPETE HIG ESPACO DE BICHO 60X60 - 200 UNIDADES</t>
        </is>
      </c>
      <c r="D136" s="4" t="n">
        <v>0</v>
      </c>
      <c r="E136" s="4" t="n">
        <v>24</v>
      </c>
      <c r="F136" s="4" t="n">
        <v>6</v>
      </c>
      <c r="G136" s="4">
        <f>SUM(D136:F136)</f>
        <v/>
      </c>
      <c r="H136" s="5" t="n">
        <v>0</v>
      </c>
      <c r="I136" s="5" t="n">
        <v>4797.6</v>
      </c>
      <c r="J136" s="5" t="n">
        <v>1199.4</v>
      </c>
      <c r="K136" s="5">
        <f>SUM(H136:J136)</f>
        <v/>
      </c>
      <c r="L136" s="6">
        <f>IF($K$622=0,0,K136/$K$622)</f>
        <v/>
      </c>
      <c r="M136" s="6">
        <f>M135+L136</f>
        <v/>
      </c>
      <c r="N136" s="9">
        <f>IF(M136&lt;=0.8,"A",IF(M136&lt;=0.95,"B","C"))</f>
        <v/>
      </c>
    </row>
    <row r="137">
      <c r="A137" s="2" t="n">
        <v>136</v>
      </c>
      <c r="B137" s="2" t="inlineStr">
        <is>
          <t>10 potes 370 Sortido</t>
        </is>
      </c>
      <c r="C137" s="2" t="inlineStr">
        <is>
          <t>10 Potes Vidro Hermético mantimentos marmita 370ml - Pote Hermético - Oliver Home - 10 Potes,Sortido</t>
        </is>
      </c>
      <c r="D137" s="4" t="n">
        <v>0</v>
      </c>
      <c r="E137" s="4" t="n">
        <v>0</v>
      </c>
      <c r="F137" s="4" t="n">
        <v>75</v>
      </c>
      <c r="G137" s="4">
        <f>SUM(D137:F137)</f>
        <v/>
      </c>
      <c r="H137" s="5" t="n">
        <v>0</v>
      </c>
      <c r="I137" s="5" t="n">
        <v>0</v>
      </c>
      <c r="J137" s="5" t="n">
        <v>5842.08</v>
      </c>
      <c r="K137" s="5">
        <f>SUM(H137:J137)</f>
        <v/>
      </c>
      <c r="L137" s="6">
        <f>IF($K$622=0,0,K137/$K$622)</f>
        <v/>
      </c>
      <c r="M137" s="6">
        <f>M136+L137</f>
        <v/>
      </c>
      <c r="N137" s="9">
        <f>IF(M137&lt;=0.8,"A",IF(M137&lt;=0.95,"B","C"))</f>
        <v/>
      </c>
    </row>
    <row r="138">
      <c r="A138" s="2" t="n">
        <v>137</v>
      </c>
      <c r="B138" s="2" t="inlineStr">
        <is>
          <t>214028</t>
        </is>
      </c>
      <c r="C138" s="2" t="inlineStr">
        <is>
          <t>PISTOLA PULVERIZAÇÃO ELÉTRICA 800ML - 110V</t>
        </is>
      </c>
      <c r="D138" s="4" t="n">
        <v>0</v>
      </c>
      <c r="E138" s="4" t="n">
        <v>24</v>
      </c>
      <c r="F138" s="4" t="n">
        <v>0</v>
      </c>
      <c r="G138" s="4">
        <f>SUM(D138:F138)</f>
        <v/>
      </c>
      <c r="H138" s="5" t="n">
        <v>0</v>
      </c>
      <c r="I138" s="5" t="n">
        <v>5774.61</v>
      </c>
      <c r="J138" s="5" t="n">
        <v>0</v>
      </c>
      <c r="K138" s="5">
        <f>SUM(H138:J138)</f>
        <v/>
      </c>
      <c r="L138" s="6">
        <f>IF($K$622=0,0,K138/$K$622)</f>
        <v/>
      </c>
      <c r="M138" s="6">
        <f>M137+L138</f>
        <v/>
      </c>
      <c r="N138" s="9">
        <f>IF(M138&lt;=0.8,"A",IF(M138&lt;=0.95,"B","C"))</f>
        <v/>
      </c>
    </row>
    <row r="139">
      <c r="A139" s="2" t="n">
        <v>138</v>
      </c>
      <c r="B139" s="2" t="inlineStr">
        <is>
          <t>213561</t>
        </is>
      </c>
      <c r="C139" s="2" t="inlineStr">
        <is>
          <t>KIT 2 BEBEDOURO PARA BEIJA FLOR AVES PASSARO POLEIRO 250ML - 2</t>
        </is>
      </c>
      <c r="D139" s="4" t="n">
        <v>0</v>
      </c>
      <c r="E139" s="4" t="n">
        <v>36</v>
      </c>
      <c r="F139" s="4" t="n">
        <v>162</v>
      </c>
      <c r="G139" s="4">
        <f>SUM(D139:F139)</f>
        <v/>
      </c>
      <c r="H139" s="5" t="n">
        <v>0</v>
      </c>
      <c r="I139" s="5" t="n">
        <v>1855.5</v>
      </c>
      <c r="J139" s="5" t="n">
        <v>3863.8</v>
      </c>
      <c r="K139" s="5">
        <f>SUM(H139:J139)</f>
        <v/>
      </c>
      <c r="L139" s="6">
        <f>IF($K$622=0,0,K139/$K$622)</f>
        <v/>
      </c>
      <c r="M139" s="6">
        <f>M138+L139</f>
        <v/>
      </c>
      <c r="N139" s="9">
        <f>IF(M139&lt;=0.8,"A",IF(M139&lt;=0.95,"B","C"))</f>
        <v/>
      </c>
    </row>
    <row r="140">
      <c r="A140" s="2" t="n">
        <v>139</v>
      </c>
      <c r="B140" s="2" t="inlineStr">
        <is>
          <t>214146</t>
        </is>
      </c>
      <c r="C140" s="2" t="inlineStr">
        <is>
          <t>JOGO DE TALHERES INOX 25 PEÇAS  - PRETO</t>
        </is>
      </c>
      <c r="D140" s="4" t="n">
        <v>0</v>
      </c>
      <c r="E140" s="4" t="n">
        <v>11</v>
      </c>
      <c r="F140" s="4" t="n">
        <v>224</v>
      </c>
      <c r="G140" s="4">
        <f>SUM(D140:F140)</f>
        <v/>
      </c>
      <c r="H140" s="5" t="n">
        <v>0</v>
      </c>
      <c r="I140" s="5" t="n">
        <v>326.33</v>
      </c>
      <c r="J140" s="5" t="n">
        <v>5292.56</v>
      </c>
      <c r="K140" s="5">
        <f>SUM(H140:J140)</f>
        <v/>
      </c>
      <c r="L140" s="6">
        <f>IF($K$622=0,0,K140/$K$622)</f>
        <v/>
      </c>
      <c r="M140" s="6">
        <f>M139+L140</f>
        <v/>
      </c>
      <c r="N140" s="9">
        <f>IF(M140&lt;=0.8,"A",IF(M140&lt;=0.95,"B","C"))</f>
        <v/>
      </c>
    </row>
    <row r="141">
      <c r="A141" s="2" t="n">
        <v>140</v>
      </c>
      <c r="B141" s="2" t="inlineStr">
        <is>
          <t>1624</t>
        </is>
      </c>
      <c r="C141" s="2" t="inlineStr">
        <is>
          <t>Tapete Higiênico Espaço De Bicho Para Cães 50x60cm 200 Unidades - Envio Imediato - 200 Unidades</t>
        </is>
      </c>
      <c r="D141" s="4" t="n">
        <v>0</v>
      </c>
      <c r="E141" s="4" t="n">
        <v>24</v>
      </c>
      <c r="F141" s="4" t="n">
        <v>4</v>
      </c>
      <c r="G141" s="4">
        <f>SUM(D141:F141)</f>
        <v/>
      </c>
      <c r="H141" s="5" t="n">
        <v>0</v>
      </c>
      <c r="I141" s="5" t="n">
        <v>4797.6</v>
      </c>
      <c r="J141" s="5" t="n">
        <v>799.6</v>
      </c>
      <c r="K141" s="5">
        <f>SUM(H141:J141)</f>
        <v/>
      </c>
      <c r="L141" s="6">
        <f>IF($K$622=0,0,K141/$K$622)</f>
        <v/>
      </c>
      <c r="M141" s="6">
        <f>M140+L141</f>
        <v/>
      </c>
      <c r="N141" s="9">
        <f>IF(M141&lt;=0.8,"A",IF(M141&lt;=0.95,"B","C"))</f>
        <v/>
      </c>
    </row>
    <row r="142">
      <c r="A142" s="2" t="n">
        <v>141</v>
      </c>
      <c r="B142" s="2" t="inlineStr">
        <is>
          <t>215221</t>
        </is>
      </c>
      <c r="C142" s="2" t="inlineStr">
        <is>
          <t>CALCA LEG. MAX LUPO - 71053 - LUPO - PURPLE - M</t>
        </is>
      </c>
      <c r="D142" s="4" t="n">
        <v>0</v>
      </c>
      <c r="E142" s="4" t="n">
        <v>16</v>
      </c>
      <c r="F142" s="4" t="n">
        <v>16</v>
      </c>
      <c r="G142" s="4">
        <f>SUM(D142:F142)</f>
        <v/>
      </c>
      <c r="H142" s="5" t="n">
        <v>0</v>
      </c>
      <c r="I142" s="5" t="n">
        <v>2703.54</v>
      </c>
      <c r="J142" s="5" t="n">
        <v>2813.4</v>
      </c>
      <c r="K142" s="5">
        <f>SUM(H142:J142)</f>
        <v/>
      </c>
      <c r="L142" s="6">
        <f>IF($K$622=0,0,K142/$K$622)</f>
        <v/>
      </c>
      <c r="M142" s="6">
        <f>M141+L142</f>
        <v/>
      </c>
      <c r="N142" s="9">
        <f>IF(M142&lt;=0.8,"A",IF(M142&lt;=0.95,"B","C"))</f>
        <v/>
      </c>
    </row>
    <row r="143">
      <c r="A143" s="2" t="n">
        <v>142</v>
      </c>
      <c r="B143" s="2" t="inlineStr">
        <is>
          <t>214155</t>
        </is>
      </c>
      <c r="C143" s="2" t="inlineStr">
        <is>
          <t>KIT CABIDE PARA CALÇA C/5 DIVISORIAS - BRANCO - 3 UNIDADES</t>
        </is>
      </c>
      <c r="D143" s="4" t="n">
        <v>0</v>
      </c>
      <c r="E143" s="4" t="n">
        <v>42</v>
      </c>
      <c r="F143" s="4" t="n">
        <v>70</v>
      </c>
      <c r="G143" s="4">
        <f>SUM(D143:F143)</f>
        <v/>
      </c>
      <c r="H143" s="5" t="n">
        <v>0</v>
      </c>
      <c r="I143" s="5" t="n">
        <v>1918.22</v>
      </c>
      <c r="J143" s="5" t="n">
        <v>3365.76</v>
      </c>
      <c r="K143" s="5">
        <f>SUM(H143:J143)</f>
        <v/>
      </c>
      <c r="L143" s="6">
        <f>IF($K$622=0,0,K143/$K$622)</f>
        <v/>
      </c>
      <c r="M143" s="6">
        <f>M142+L143</f>
        <v/>
      </c>
      <c r="N143" s="9">
        <f>IF(M143&lt;=0.8,"A",IF(M143&lt;=0.95,"B","C"))</f>
        <v/>
      </c>
    </row>
    <row r="144">
      <c r="A144" s="2" t="n">
        <v>143</v>
      </c>
      <c r="B144" s="2" t="inlineStr">
        <is>
          <t>10 potes 370 azul</t>
        </is>
      </c>
      <c r="C144" s="2" t="inlineStr">
        <is>
          <t>Este conjunto de 10 potes de vidro hermético, cada um com capacidade de 370 ml, é ideal para quem busca praticidade e qu</t>
        </is>
      </c>
      <c r="D144" s="4" t="n">
        <v>0</v>
      </c>
      <c r="E144" s="4" t="n">
        <v>32</v>
      </c>
      <c r="F144" s="4" t="n">
        <v>34</v>
      </c>
      <c r="G144" s="4">
        <f>SUM(D144:F144)</f>
        <v/>
      </c>
      <c r="H144" s="5" t="n">
        <v>0</v>
      </c>
      <c r="I144" s="5" t="n">
        <v>2556.48</v>
      </c>
      <c r="J144" s="5" t="n">
        <v>2716.28</v>
      </c>
      <c r="K144" s="5">
        <f>SUM(H144:J144)</f>
        <v/>
      </c>
      <c r="L144" s="6">
        <f>IF($K$622=0,0,K144/$K$622)</f>
        <v/>
      </c>
      <c r="M144" s="6">
        <f>M143+L144</f>
        <v/>
      </c>
      <c r="N144" s="9">
        <f>IF(M144&lt;=0.8,"A",IF(M144&lt;=0.95,"B","C"))</f>
        <v/>
      </c>
    </row>
    <row r="145">
      <c r="A145" s="2" t="n">
        <v>144</v>
      </c>
      <c r="B145" s="2" t="inlineStr">
        <is>
          <t>214031</t>
        </is>
      </c>
      <c r="C145" s="2" t="inlineStr">
        <is>
          <t>ESCORREDOR DE LOUÇA - MODELO 2 - 33X42X33CM</t>
        </is>
      </c>
      <c r="D145" s="4" t="n">
        <v>0</v>
      </c>
      <c r="E145" s="4" t="n">
        <v>0</v>
      </c>
      <c r="F145" s="4" t="n">
        <v>66</v>
      </c>
      <c r="G145" s="4">
        <f>SUM(D145:F145)</f>
        <v/>
      </c>
      <c r="H145" s="5" t="n">
        <v>0</v>
      </c>
      <c r="I145" s="5" t="n">
        <v>0</v>
      </c>
      <c r="J145" s="5" t="n">
        <v>5271.48</v>
      </c>
      <c r="K145" s="5">
        <f>SUM(H145:J145)</f>
        <v/>
      </c>
      <c r="L145" s="6">
        <f>IF($K$622=0,0,K145/$K$622)</f>
        <v/>
      </c>
      <c r="M145" s="6">
        <f>M144+L145</f>
        <v/>
      </c>
      <c r="N145" s="9">
        <f>IF(M145&lt;=0.8,"A",IF(M145&lt;=0.95,"B","C"))</f>
        <v/>
      </c>
    </row>
    <row r="146">
      <c r="A146" s="2" t="n">
        <v>145</v>
      </c>
      <c r="B146" s="2" t="inlineStr">
        <is>
          <t>214145</t>
        </is>
      </c>
      <c r="C146" s="2" t="inlineStr">
        <is>
          <t>JOGO DE TALHERES INOX 25 PEÇAS  - ROSA</t>
        </is>
      </c>
      <c r="D146" s="4" t="n">
        <v>0</v>
      </c>
      <c r="E146" s="4" t="n">
        <v>20</v>
      </c>
      <c r="F146" s="4" t="n">
        <v>184</v>
      </c>
      <c r="G146" s="4">
        <f>SUM(D146:F146)</f>
        <v/>
      </c>
      <c r="H146" s="5" t="n">
        <v>0</v>
      </c>
      <c r="I146" s="5" t="n">
        <v>625.71</v>
      </c>
      <c r="J146" s="5" t="n">
        <v>4615.5</v>
      </c>
      <c r="K146" s="5">
        <f>SUM(H146:J146)</f>
        <v/>
      </c>
      <c r="L146" s="6">
        <f>IF($K$622=0,0,K146/$K$622)</f>
        <v/>
      </c>
      <c r="M146" s="6">
        <f>M145+L146</f>
        <v/>
      </c>
      <c r="N146" s="9">
        <f>IF(M146&lt;=0.8,"A",IF(M146&lt;=0.95,"B","C"))</f>
        <v/>
      </c>
    </row>
    <row r="147">
      <c r="A147" s="2" t="n">
        <v>146</v>
      </c>
      <c r="B147" s="2" t="inlineStr">
        <is>
          <t>213831</t>
        </is>
      </c>
      <c r="C147" s="2" t="inlineStr">
        <is>
          <t>KIT TAPETE HIG GOOD PAD 60X60 - 60 UNIDADES</t>
        </is>
      </c>
      <c r="D147" s="4" t="n">
        <v>0</v>
      </c>
      <c r="E147" s="4" t="n">
        <v>15</v>
      </c>
      <c r="F147" s="4" t="n">
        <v>58</v>
      </c>
      <c r="G147" s="4">
        <f>SUM(D147:F147)</f>
        <v/>
      </c>
      <c r="H147" s="5" t="n">
        <v>0</v>
      </c>
      <c r="I147" s="5" t="n">
        <v>1058.5</v>
      </c>
      <c r="J147" s="5" t="n">
        <v>4119.29</v>
      </c>
      <c r="K147" s="5">
        <f>SUM(H147:J147)</f>
        <v/>
      </c>
      <c r="L147" s="6">
        <f>IF($K$622=0,0,K147/$K$622)</f>
        <v/>
      </c>
      <c r="M147" s="6">
        <f>M146+L147</f>
        <v/>
      </c>
      <c r="N147" s="9">
        <f>IF(M147&lt;=0.8,"A",IF(M147&lt;=0.95,"B","C"))</f>
        <v/>
      </c>
    </row>
    <row r="148">
      <c r="A148" s="2" t="n">
        <v>147</v>
      </c>
      <c r="B148" s="2" t="inlineStr">
        <is>
          <t>215934</t>
        </is>
      </c>
      <c r="C148" s="2" t="inlineStr">
        <is>
          <t>KIT POTE DE VIDRO MARMITA - 370ML - BRANCO - 5 POTES</t>
        </is>
      </c>
      <c r="D148" s="4" t="n">
        <v>0</v>
      </c>
      <c r="E148" s="4" t="n">
        <v>42</v>
      </c>
      <c r="F148" s="4" t="n">
        <v>11</v>
      </c>
      <c r="G148" s="4">
        <f>SUM(D148:F148)</f>
        <v/>
      </c>
      <c r="H148" s="5" t="n">
        <v>0</v>
      </c>
      <c r="I148" s="5" t="n">
        <v>3996</v>
      </c>
      <c r="J148" s="5" t="n">
        <v>1098.9</v>
      </c>
      <c r="K148" s="5">
        <f>SUM(H148:J148)</f>
        <v/>
      </c>
      <c r="L148" s="6">
        <f>IF($K$622=0,0,K148/$K$622)</f>
        <v/>
      </c>
      <c r="M148" s="6">
        <f>M147+L148</f>
        <v/>
      </c>
      <c r="N148" s="9">
        <f>IF(M148&lt;=0.8,"A",IF(M148&lt;=0.95,"B","C"))</f>
        <v/>
      </c>
    </row>
    <row r="149">
      <c r="A149" s="2" t="n">
        <v>148</v>
      </c>
      <c r="B149" s="2" t="inlineStr">
        <is>
          <t>213134</t>
        </is>
      </c>
      <c r="C149" s="2" t="inlineStr">
        <is>
          <t>DEDEIRA PARA LIMPEZA DENTAL PET CLEAN PARA CÃES E GATOS</t>
        </is>
      </c>
      <c r="D149" s="4" t="n">
        <v>7</v>
      </c>
      <c r="E149" s="4" t="n">
        <v>620</v>
      </c>
      <c r="F149" s="4" t="n">
        <v>397</v>
      </c>
      <c r="G149" s="4">
        <f>SUM(D149:F149)</f>
        <v/>
      </c>
      <c r="H149" s="5" t="n">
        <v>5.9</v>
      </c>
      <c r="I149" s="5" t="n">
        <v>2241.1</v>
      </c>
      <c r="J149" s="5" t="n">
        <v>2770.1</v>
      </c>
      <c r="K149" s="5">
        <f>SUM(H149:J149)</f>
        <v/>
      </c>
      <c r="L149" s="6">
        <f>IF($K$622=0,0,K149/$K$622)</f>
        <v/>
      </c>
      <c r="M149" s="6">
        <f>M148+L149</f>
        <v/>
      </c>
      <c r="N149" s="9">
        <f>IF(M149&lt;=0.8,"A",IF(M149&lt;=0.95,"B","C"))</f>
        <v/>
      </c>
    </row>
    <row r="150">
      <c r="A150" s="2" t="n">
        <v>149</v>
      </c>
      <c r="B150" s="2" t="inlineStr">
        <is>
          <t>215212</t>
        </is>
      </c>
      <c r="C150" s="2" t="inlineStr">
        <is>
          <t>CALCA LEG. MAX LUPO - 71053 - LUPO - BLUSH - M</t>
        </is>
      </c>
      <c r="D150" s="4" t="n">
        <v>0</v>
      </c>
      <c r="E150" s="4" t="n">
        <v>10</v>
      </c>
      <c r="F150" s="4" t="n">
        <v>19</v>
      </c>
      <c r="G150" s="4">
        <f>SUM(D150:F150)</f>
        <v/>
      </c>
      <c r="H150" s="5" t="n">
        <v>0</v>
      </c>
      <c r="I150" s="5" t="n">
        <v>1674.14</v>
      </c>
      <c r="J150" s="5" t="n">
        <v>3338.1</v>
      </c>
      <c r="K150" s="5">
        <f>SUM(H150:J150)</f>
        <v/>
      </c>
      <c r="L150" s="6">
        <f>IF($K$622=0,0,K150/$K$622)</f>
        <v/>
      </c>
      <c r="M150" s="6">
        <f>M149+L150</f>
        <v/>
      </c>
      <c r="N150" s="9">
        <f>IF(M150&lt;=0.8,"A",IF(M150&lt;=0.95,"B","C"))</f>
        <v/>
      </c>
    </row>
    <row r="151">
      <c r="A151" s="2" t="n">
        <v>150</v>
      </c>
      <c r="B151" s="2" t="inlineStr">
        <is>
          <t>213242</t>
        </is>
      </c>
      <c r="C151" s="2" t="inlineStr">
        <is>
          <t>BALANÇA PARA COZINHA</t>
        </is>
      </c>
      <c r="D151" s="4" t="n">
        <v>0</v>
      </c>
      <c r="E151" s="4" t="n">
        <v>32</v>
      </c>
      <c r="F151" s="4" t="n">
        <v>197</v>
      </c>
      <c r="G151" s="4">
        <f>SUM(D151:F151)</f>
        <v/>
      </c>
      <c r="H151" s="5" t="n">
        <v>0</v>
      </c>
      <c r="I151" s="5" t="n">
        <v>866.46</v>
      </c>
      <c r="J151" s="5" t="n">
        <v>4088.06</v>
      </c>
      <c r="K151" s="5">
        <f>SUM(H151:J151)</f>
        <v/>
      </c>
      <c r="L151" s="6">
        <f>IF($K$622=0,0,K151/$K$622)</f>
        <v/>
      </c>
      <c r="M151" s="6">
        <f>M150+L151</f>
        <v/>
      </c>
      <c r="N151" s="9">
        <f>IF(M151&lt;=0.8,"A",IF(M151&lt;=0.95,"B","C"))</f>
        <v/>
      </c>
    </row>
    <row r="152">
      <c r="A152" s="2" t="n">
        <v>151</v>
      </c>
      <c r="B152" s="2" t="inlineStr">
        <is>
          <t>214006</t>
        </is>
      </c>
      <c r="C152" s="2" t="inlineStr">
        <is>
          <t>KIT CABIDE VELUDO PARA ROUPAS ADULTO - CINZA - 20</t>
        </is>
      </c>
      <c r="D152" s="4" t="n">
        <v>0</v>
      </c>
      <c r="E152" s="4" t="n">
        <v>13</v>
      </c>
      <c r="F152" s="4" t="n">
        <v>61</v>
      </c>
      <c r="G152" s="4">
        <f>SUM(D152:F152)</f>
        <v/>
      </c>
      <c r="H152" s="5" t="n">
        <v>0</v>
      </c>
      <c r="I152" s="5" t="n">
        <v>629.3</v>
      </c>
      <c r="J152" s="5" t="n">
        <v>4297.41</v>
      </c>
      <c r="K152" s="5">
        <f>SUM(H152:J152)</f>
        <v/>
      </c>
      <c r="L152" s="6">
        <f>IF($K$622=0,0,K152/$K$622)</f>
        <v/>
      </c>
      <c r="M152" s="6">
        <f>M151+L152</f>
        <v/>
      </c>
      <c r="N152" s="9">
        <f>IF(M152&lt;=0.8,"A",IF(M152&lt;=0.95,"B","C"))</f>
        <v/>
      </c>
    </row>
    <row r="153">
      <c r="A153" s="2" t="n">
        <v>152</v>
      </c>
      <c r="B153" s="2" t="inlineStr">
        <is>
          <t>213819</t>
        </is>
      </c>
      <c r="C153" s="2" t="inlineStr">
        <is>
          <t>KIT TAPETE HIG SHOPITO AROMA BEBE 80X60CM - 90 UNIDADES</t>
        </is>
      </c>
      <c r="D153" s="4" t="n">
        <v>0</v>
      </c>
      <c r="E153" s="4" t="n">
        <v>14</v>
      </c>
      <c r="F153" s="4" t="n">
        <v>12</v>
      </c>
      <c r="G153" s="4">
        <f>SUM(D153:F153)</f>
        <v/>
      </c>
      <c r="H153" s="5" t="n">
        <v>0</v>
      </c>
      <c r="I153" s="5" t="n">
        <v>2588.6</v>
      </c>
      <c r="J153" s="5" t="n">
        <v>2218.8</v>
      </c>
      <c r="K153" s="5">
        <f>SUM(H153:J153)</f>
        <v/>
      </c>
      <c r="L153" s="6">
        <f>IF($K$622=0,0,K153/$K$622)</f>
        <v/>
      </c>
      <c r="M153" s="6">
        <f>M152+L153</f>
        <v/>
      </c>
      <c r="N153" s="9">
        <f>IF(M153&lt;=0.8,"A",IF(M153&lt;=0.95,"B","C"))</f>
        <v/>
      </c>
    </row>
    <row r="154">
      <c r="A154" s="2" t="n">
        <v>153</v>
      </c>
      <c r="B154" s="2" t="inlineStr">
        <is>
          <t>215987</t>
        </is>
      </c>
      <c r="C154" s="2" t="inlineStr">
        <is>
          <t>KIT POTE DE VIDRO MARMITA - 640ML - SORTIDO - 1 POTE</t>
        </is>
      </c>
      <c r="D154" s="4" t="n">
        <v>0</v>
      </c>
      <c r="E154" s="4" t="n">
        <v>2</v>
      </c>
      <c r="F154" s="4" t="n">
        <v>118</v>
      </c>
      <c r="G154" s="4">
        <f>SUM(D154:F154)</f>
        <v/>
      </c>
      <c r="H154" s="5" t="n">
        <v>0</v>
      </c>
      <c r="I154" s="5" t="n">
        <v>79.8</v>
      </c>
      <c r="J154" s="5" t="n">
        <v>4708.2</v>
      </c>
      <c r="K154" s="5">
        <f>SUM(H154:J154)</f>
        <v/>
      </c>
      <c r="L154" s="6">
        <f>IF($K$622=0,0,K154/$K$622)</f>
        <v/>
      </c>
      <c r="M154" s="6">
        <f>M153+L154</f>
        <v/>
      </c>
      <c r="N154" s="9">
        <f>IF(M154&lt;=0.8,"A",IF(M154&lt;=0.95,"B","C"))</f>
        <v/>
      </c>
    </row>
    <row r="155">
      <c r="A155" s="2" t="n">
        <v>154</v>
      </c>
      <c r="B155" s="2" t="inlineStr">
        <is>
          <t>214574</t>
        </is>
      </c>
      <c r="C155" s="2" t="inlineStr">
        <is>
          <t>KIT CUECAS BOXER MICROFIBRA - 000436-088 - LUPO - M - 42 A 44 - PRETO/AZUL ESCURO - 10 UNIDADES (5 PACOTES)</t>
        </is>
      </c>
      <c r="D155" s="4" t="n">
        <v>0</v>
      </c>
      <c r="E155" s="4" t="n">
        <v>15</v>
      </c>
      <c r="F155" s="4" t="n">
        <v>7</v>
      </c>
      <c r="G155" s="4">
        <f>SUM(D155:F155)</f>
        <v/>
      </c>
      <c r="H155" s="5" t="n">
        <v>0</v>
      </c>
      <c r="I155" s="5" t="n">
        <v>3249.16</v>
      </c>
      <c r="J155" s="5" t="n">
        <v>1518.3</v>
      </c>
      <c r="K155" s="5">
        <f>SUM(H155:J155)</f>
        <v/>
      </c>
      <c r="L155" s="6">
        <f>IF($K$622=0,0,K155/$K$622)</f>
        <v/>
      </c>
      <c r="M155" s="6">
        <f>M154+L155</f>
        <v/>
      </c>
      <c r="N155" s="9">
        <f>IF(M155&lt;=0.8,"A",IF(M155&lt;=0.95,"B","C"))</f>
        <v/>
      </c>
    </row>
    <row r="156">
      <c r="A156" s="2" t="n">
        <v>155</v>
      </c>
      <c r="B156" s="2" t="inlineStr">
        <is>
          <t>215811</t>
        </is>
      </c>
      <c r="C156" s="2" t="inlineStr">
        <is>
          <t>KIT POTE DE VIDRO MARMITA - 640ML - SORTIDO - 2 POTE</t>
        </is>
      </c>
      <c r="D156" s="4" t="n">
        <v>0</v>
      </c>
      <c r="E156" s="4" t="n">
        <v>82</v>
      </c>
      <c r="F156" s="4" t="n">
        <v>0</v>
      </c>
      <c r="G156" s="4">
        <f>SUM(D156:F156)</f>
        <v/>
      </c>
      <c r="H156" s="5" t="n">
        <v>0</v>
      </c>
      <c r="I156" s="5" t="n">
        <v>4623.8</v>
      </c>
      <c r="J156" s="5" t="n">
        <v>0</v>
      </c>
      <c r="K156" s="5">
        <f>SUM(H156:J156)</f>
        <v/>
      </c>
      <c r="L156" s="6">
        <f>IF($K$622=0,0,K156/$K$622)</f>
        <v/>
      </c>
      <c r="M156" s="6">
        <f>M155+L156</f>
        <v/>
      </c>
      <c r="N156" s="9">
        <f>IF(M156&lt;=0.8,"A",IF(M156&lt;=0.95,"B","C"))</f>
        <v/>
      </c>
    </row>
    <row r="157">
      <c r="A157" s="2" t="n">
        <v>156</v>
      </c>
      <c r="B157" s="2" t="inlineStr">
        <is>
          <t>214153</t>
        </is>
      </c>
      <c r="C157" s="2" t="inlineStr">
        <is>
          <t>KIT CABIDE PARA CALÇA C/5 DIVISORIAS - BRANCO - 2 UNIDADES</t>
        </is>
      </c>
      <c r="D157" s="4" t="n">
        <v>0</v>
      </c>
      <c r="E157" s="4" t="n">
        <v>52</v>
      </c>
      <c r="F157" s="4" t="n">
        <v>92</v>
      </c>
      <c r="G157" s="4">
        <f>SUM(D157:F157)</f>
        <v/>
      </c>
      <c r="H157" s="5" t="n">
        <v>0</v>
      </c>
      <c r="I157" s="5" t="n">
        <v>1602.08</v>
      </c>
      <c r="J157" s="5" t="n">
        <v>3010.2</v>
      </c>
      <c r="K157" s="5">
        <f>SUM(H157:J157)</f>
        <v/>
      </c>
      <c r="L157" s="6">
        <f>IF($K$622=0,0,K157/$K$622)</f>
        <v/>
      </c>
      <c r="M157" s="6">
        <f>M156+L157</f>
        <v/>
      </c>
      <c r="N157" s="9">
        <f>IF(M157&lt;=0.8,"A",IF(M157&lt;=0.95,"B","C"))</f>
        <v/>
      </c>
    </row>
    <row r="158">
      <c r="A158" s="2" t="n">
        <v>157</v>
      </c>
      <c r="B158" s="2" t="inlineStr">
        <is>
          <t>214034</t>
        </is>
      </c>
      <c r="C158" s="2" t="inlineStr">
        <is>
          <t>JOGO DE TAÇA DE VIDRO 340ML 16,5CM - 4 TAÇAS</t>
        </is>
      </c>
      <c r="D158" s="4" t="n">
        <v>0</v>
      </c>
      <c r="E158" s="4" t="n">
        <v>52</v>
      </c>
      <c r="F158" s="4" t="n">
        <v>83</v>
      </c>
      <c r="G158" s="4">
        <f>SUM(D158:F158)</f>
        <v/>
      </c>
      <c r="H158" s="5" t="n">
        <v>0</v>
      </c>
      <c r="I158" s="5" t="n">
        <v>2144.4</v>
      </c>
      <c r="J158" s="5" t="n">
        <v>2374.01</v>
      </c>
      <c r="K158" s="5">
        <f>SUM(H158:J158)</f>
        <v/>
      </c>
      <c r="L158" s="6">
        <f>IF($K$622=0,0,K158/$K$622)</f>
        <v/>
      </c>
      <c r="M158" s="6">
        <f>M157+L158</f>
        <v/>
      </c>
      <c r="N158" s="9">
        <f>IF(M158&lt;=0.8,"A",IF(M158&lt;=0.95,"B","C"))</f>
        <v/>
      </c>
    </row>
    <row r="159">
      <c r="A159" s="2" t="n">
        <v>158</v>
      </c>
      <c r="B159" s="2" t="inlineStr">
        <is>
          <t>KIT5-AREIA-EDB-4KG-GF</t>
        </is>
      </c>
      <c r="C159" s="2" t="inlineStr">
        <is>
          <t>Kit 5 Areia Higiênica Biodegradável Grãos Finos Milho e Mandioca (100% Natural) - Espaço De Bicho - Grãos Finos</t>
        </is>
      </c>
      <c r="D159" s="4" t="n">
        <v>0</v>
      </c>
      <c r="E159" s="4" t="n">
        <v>8</v>
      </c>
      <c r="F159" s="4" t="n">
        <v>10</v>
      </c>
      <c r="G159" s="4">
        <f>SUM(D159:F159)</f>
        <v/>
      </c>
      <c r="H159" s="5" t="n">
        <v>0</v>
      </c>
      <c r="I159" s="5" t="n">
        <v>1959.2</v>
      </c>
      <c r="J159" s="5" t="n">
        <v>2448.92</v>
      </c>
      <c r="K159" s="5">
        <f>SUM(H159:J159)</f>
        <v/>
      </c>
      <c r="L159" s="6">
        <f>IF($K$622=0,0,K159/$K$622)</f>
        <v/>
      </c>
      <c r="M159" s="6">
        <f>M158+L159</f>
        <v/>
      </c>
      <c r="N159" s="9">
        <f>IF(M159&lt;=0.8,"A",IF(M159&lt;=0.95,"B","C"))</f>
        <v/>
      </c>
    </row>
    <row r="160">
      <c r="A160" s="2" t="n">
        <v>159</v>
      </c>
      <c r="B160" s="2" t="inlineStr">
        <is>
          <t>213947</t>
        </is>
      </c>
      <c r="C160" s="2" t="inlineStr">
        <is>
          <t>KIT POTE DE VIDRO MARMITA - 1040ML - AZUL - 3 POTES</t>
        </is>
      </c>
      <c r="D160" s="4" t="n">
        <v>0</v>
      </c>
      <c r="E160" s="4" t="n">
        <v>34</v>
      </c>
      <c r="F160" s="4" t="n">
        <v>35</v>
      </c>
      <c r="G160" s="4">
        <f>SUM(D160:F160)</f>
        <v/>
      </c>
      <c r="H160" s="5" t="n">
        <v>0</v>
      </c>
      <c r="I160" s="5" t="n">
        <v>2448.7</v>
      </c>
      <c r="J160" s="5" t="n">
        <v>1926.5</v>
      </c>
      <c r="K160" s="5">
        <f>SUM(H160:J160)</f>
        <v/>
      </c>
      <c r="L160" s="6">
        <f>IF($K$622=0,0,K160/$K$622)</f>
        <v/>
      </c>
      <c r="M160" s="6">
        <f>M159+L160</f>
        <v/>
      </c>
      <c r="N160" s="9">
        <f>IF(M160&lt;=0.8,"A",IF(M160&lt;=0.95,"B","C"))</f>
        <v/>
      </c>
    </row>
    <row r="161">
      <c r="A161" s="2" t="n">
        <v>160</v>
      </c>
      <c r="B161" s="2" t="inlineStr">
        <is>
          <t>213515</t>
        </is>
      </c>
      <c r="C161" s="2" t="inlineStr">
        <is>
          <t>GRANULADO HIGIÊNICO DE MADEIRA IPET WOOD'S - 10KG</t>
        </is>
      </c>
      <c r="D161" s="4" t="n">
        <v>0</v>
      </c>
      <c r="E161" s="4" t="n">
        <v>85</v>
      </c>
      <c r="F161" s="4" t="n">
        <v>38</v>
      </c>
      <c r="G161" s="4">
        <f>SUM(D161:F161)</f>
        <v/>
      </c>
      <c r="H161" s="5" t="n">
        <v>0</v>
      </c>
      <c r="I161" s="5" t="n">
        <v>2545.87</v>
      </c>
      <c r="J161" s="5" t="n">
        <v>1818.06</v>
      </c>
      <c r="K161" s="5">
        <f>SUM(H161:J161)</f>
        <v/>
      </c>
      <c r="L161" s="6">
        <f>IF($K$622=0,0,K161/$K$622)</f>
        <v/>
      </c>
      <c r="M161" s="6">
        <f>M160+L161</f>
        <v/>
      </c>
      <c r="N161" s="9">
        <f>IF(M161&lt;=0.8,"A",IF(M161&lt;=0.95,"B","C"))</f>
        <v/>
      </c>
    </row>
    <row r="162">
      <c r="A162" s="2" t="n">
        <v>161</v>
      </c>
      <c r="B162" s="2" t="inlineStr">
        <is>
          <t>214949</t>
        </is>
      </c>
      <c r="C162" s="2" t="inlineStr">
        <is>
          <t>KERAVIT POMADA OFTALMICA 5G VETNIL</t>
        </is>
      </c>
      <c r="D162" s="4" t="n">
        <v>3</v>
      </c>
      <c r="E162" s="4" t="n">
        <v>12</v>
      </c>
      <c r="F162" s="4" t="n">
        <v>52</v>
      </c>
      <c r="G162" s="4">
        <f>SUM(D162:F162)</f>
        <v/>
      </c>
      <c r="H162" s="5" t="n">
        <v>188.7</v>
      </c>
      <c r="I162" s="5" t="n">
        <v>754.8</v>
      </c>
      <c r="J162" s="5" t="n">
        <v>3303</v>
      </c>
      <c r="K162" s="5">
        <f>SUM(H162:J162)</f>
        <v/>
      </c>
      <c r="L162" s="6">
        <f>IF($K$622=0,0,K162/$K$622)</f>
        <v/>
      </c>
      <c r="M162" s="6">
        <f>M161+L162</f>
        <v/>
      </c>
      <c r="N162" s="9">
        <f>IF(M162&lt;=0.8,"A",IF(M162&lt;=0.95,"B","C"))</f>
        <v/>
      </c>
    </row>
    <row r="163">
      <c r="A163" s="2" t="n">
        <v>162</v>
      </c>
      <c r="B163" s="2" t="inlineStr">
        <is>
          <t>215259</t>
        </is>
      </c>
      <c r="C163" s="2" t="inlineStr">
        <is>
          <t>CALCA LEG. MAX LUPO - 71053 - LUPO - CASTANHO - M</t>
        </is>
      </c>
      <c r="D163" s="4" t="n">
        <v>0</v>
      </c>
      <c r="E163" s="4" t="n">
        <v>18</v>
      </c>
      <c r="F163" s="4" t="n">
        <v>6</v>
      </c>
      <c r="G163" s="4">
        <f>SUM(D163:F163)</f>
        <v/>
      </c>
      <c r="H163" s="5" t="n">
        <v>0</v>
      </c>
      <c r="I163" s="5" t="n">
        <v>3028.41</v>
      </c>
      <c r="J163" s="5" t="n">
        <v>1114.4</v>
      </c>
      <c r="K163" s="5">
        <f>SUM(H163:J163)</f>
        <v/>
      </c>
      <c r="L163" s="6">
        <f>IF($K$622=0,0,K163/$K$622)</f>
        <v/>
      </c>
      <c r="M163" s="6">
        <f>M162+L163</f>
        <v/>
      </c>
      <c r="N163" s="9">
        <f>IF(M163&lt;=0.8,"A",IF(M163&lt;=0.95,"B","C"))</f>
        <v/>
      </c>
    </row>
    <row r="164">
      <c r="A164" s="2" t="n">
        <v>163</v>
      </c>
      <c r="B164" s="2" t="inlineStr">
        <is>
          <t>214043</t>
        </is>
      </c>
      <c r="C164" s="2" t="inlineStr">
        <is>
          <t>KIT TAPETE DE BANHEIRO SOFT 60X40CM - 2 UNIDADES</t>
        </is>
      </c>
      <c r="D164" s="4" t="n">
        <v>0</v>
      </c>
      <c r="E164" s="4" t="n">
        <v>96</v>
      </c>
      <c r="F164" s="4" t="n">
        <v>62</v>
      </c>
      <c r="G164" s="4">
        <f>SUM(D164:F164)</f>
        <v/>
      </c>
      <c r="H164" s="5" t="n">
        <v>0</v>
      </c>
      <c r="I164" s="5" t="n">
        <v>2441.55</v>
      </c>
      <c r="J164" s="5" t="n">
        <v>1693.35</v>
      </c>
      <c r="K164" s="5">
        <f>SUM(H164:J164)</f>
        <v/>
      </c>
      <c r="L164" s="6">
        <f>IF($K$622=0,0,K164/$K$622)</f>
        <v/>
      </c>
      <c r="M164" s="6">
        <f>M163+L164</f>
        <v/>
      </c>
      <c r="N164" s="9">
        <f>IF(M164&lt;=0.8,"A",IF(M164&lt;=0.95,"B","C"))</f>
        <v/>
      </c>
    </row>
    <row r="165">
      <c r="A165" s="2" t="n">
        <v>164</v>
      </c>
      <c r="B165" s="2" t="inlineStr">
        <is>
          <t>215942</t>
        </is>
      </c>
      <c r="C165" s="2" t="inlineStr">
        <is>
          <t>KIT POTE DE VIDRO MARMITA - 370ML - AZUL - 5 POTES</t>
        </is>
      </c>
      <c r="D165" s="4" t="n">
        <v>0</v>
      </c>
      <c r="E165" s="4" t="n">
        <v>21</v>
      </c>
      <c r="F165" s="4" t="n">
        <v>22</v>
      </c>
      <c r="G165" s="4">
        <f>SUM(D165:F165)</f>
        <v/>
      </c>
      <c r="H165" s="5" t="n">
        <v>0</v>
      </c>
      <c r="I165" s="5" t="n">
        <v>1898.1</v>
      </c>
      <c r="J165" s="5" t="n">
        <v>2197.8</v>
      </c>
      <c r="K165" s="5">
        <f>SUM(H165:J165)</f>
        <v/>
      </c>
      <c r="L165" s="6">
        <f>IF($K$622=0,0,K165/$K$622)</f>
        <v/>
      </c>
      <c r="M165" s="6">
        <f>M164+L165</f>
        <v/>
      </c>
      <c r="N165" s="9">
        <f>IF(M165&lt;=0.8,"A",IF(M165&lt;=0.95,"B","C"))</f>
        <v/>
      </c>
    </row>
    <row r="166">
      <c r="A166" s="2" t="n">
        <v>165</v>
      </c>
      <c r="B166" s="2" t="inlineStr">
        <is>
          <t>215211</t>
        </is>
      </c>
      <c r="C166" s="2" t="inlineStr">
        <is>
          <t>CALCA LEG. MAX LUPO - 71053 - LUPO - BLUSH - P</t>
        </is>
      </c>
      <c r="D166" s="4" t="n">
        <v>0</v>
      </c>
      <c r="E166" s="4" t="n">
        <v>6</v>
      </c>
      <c r="F166" s="4" t="n">
        <v>17</v>
      </c>
      <c r="G166" s="4">
        <f>SUM(D166:F166)</f>
        <v/>
      </c>
      <c r="H166" s="5" t="n">
        <v>0</v>
      </c>
      <c r="I166" s="5" t="n">
        <v>1044.4</v>
      </c>
      <c r="J166" s="5" t="n">
        <v>2893.3</v>
      </c>
      <c r="K166" s="5">
        <f>SUM(H166:J166)</f>
        <v/>
      </c>
      <c r="L166" s="6">
        <f>IF($K$622=0,0,K166/$K$622)</f>
        <v/>
      </c>
      <c r="M166" s="6">
        <f>M165+L166</f>
        <v/>
      </c>
      <c r="N166" s="9">
        <f>IF(M166&lt;=0.8,"A",IF(M166&lt;=0.95,"B","C"))</f>
        <v/>
      </c>
    </row>
    <row r="167">
      <c r="A167" s="2" t="n">
        <v>166</v>
      </c>
      <c r="B167" s="2" t="inlineStr">
        <is>
          <t>215997</t>
        </is>
      </c>
      <c r="C167" s="2" t="inlineStr">
        <is>
          <t>KIT POTE DE VIDRO MARMITA - 1040ML - BRANCO - 3 POTES</t>
        </is>
      </c>
      <c r="D167" s="4" t="n">
        <v>0</v>
      </c>
      <c r="E167" s="4" t="n">
        <v>36</v>
      </c>
      <c r="F167" s="4" t="n">
        <v>0</v>
      </c>
      <c r="G167" s="4">
        <f>SUM(D167:F167)</f>
        <v/>
      </c>
      <c r="H167" s="5" t="n">
        <v>0</v>
      </c>
      <c r="I167" s="5" t="n">
        <v>3846.5</v>
      </c>
      <c r="J167" s="5" t="n">
        <v>0</v>
      </c>
      <c r="K167" s="5">
        <f>SUM(H167:J167)</f>
        <v/>
      </c>
      <c r="L167" s="6">
        <f>IF($K$622=0,0,K167/$K$622)</f>
        <v/>
      </c>
      <c r="M167" s="6">
        <f>M166+L167</f>
        <v/>
      </c>
      <c r="N167" s="9">
        <f>IF(M167&lt;=0.8,"A",IF(M167&lt;=0.95,"B","C"))</f>
        <v/>
      </c>
    </row>
    <row r="168">
      <c r="A168" s="2" t="n">
        <v>167</v>
      </c>
      <c r="B168" s="2" t="inlineStr">
        <is>
          <t>216022</t>
        </is>
      </c>
      <c r="C168" s="2" t="inlineStr">
        <is>
          <t>KIT POTE DE VIDRO MARMITA - 1040ML - SORTIDO - 5 POTES</t>
        </is>
      </c>
      <c r="D168" s="4" t="n">
        <v>0</v>
      </c>
      <c r="E168" s="4" t="n">
        <v>10</v>
      </c>
      <c r="F168" s="4" t="n">
        <v>20</v>
      </c>
      <c r="G168" s="4">
        <f>SUM(D168:F168)</f>
        <v/>
      </c>
      <c r="H168" s="5" t="n">
        <v>0</v>
      </c>
      <c r="I168" s="5" t="n">
        <v>1699</v>
      </c>
      <c r="J168" s="5" t="n">
        <v>1998</v>
      </c>
      <c r="K168" s="5">
        <f>SUM(H168:J168)</f>
        <v/>
      </c>
      <c r="L168" s="6">
        <f>IF($K$622=0,0,K168/$K$622)</f>
        <v/>
      </c>
      <c r="M168" s="6">
        <f>M167+L168</f>
        <v/>
      </c>
      <c r="N168" s="9">
        <f>IF(M168&lt;=0.8,"A",IF(M168&lt;=0.95,"B","C"))</f>
        <v/>
      </c>
    </row>
    <row r="169">
      <c r="A169" s="2" t="n">
        <v>168</v>
      </c>
      <c r="B169" s="2" t="inlineStr">
        <is>
          <t>214487</t>
        </is>
      </c>
      <c r="C169" s="2" t="inlineStr">
        <is>
          <t>KIT CABIDE PARA CALÇA C/5 DIVISORIAS - PRETO - 10 UNIDADES</t>
        </is>
      </c>
      <c r="D169" s="4" t="n">
        <v>0</v>
      </c>
      <c r="E169" s="4" t="n">
        <v>14</v>
      </c>
      <c r="F169" s="4" t="n">
        <v>13</v>
      </c>
      <c r="G169" s="4">
        <f>SUM(D169:F169)</f>
        <v/>
      </c>
      <c r="H169" s="5" t="n">
        <v>0</v>
      </c>
      <c r="I169" s="5" t="n">
        <v>1935.95</v>
      </c>
      <c r="J169" s="5" t="n">
        <v>1748.17</v>
      </c>
      <c r="K169" s="5">
        <f>SUM(H169:J169)</f>
        <v/>
      </c>
      <c r="L169" s="6">
        <f>IF($K$622=0,0,K169/$K$622)</f>
        <v/>
      </c>
      <c r="M169" s="6">
        <f>M168+L169</f>
        <v/>
      </c>
      <c r="N169" s="9">
        <f>IF(M169&lt;=0.8,"A",IF(M169&lt;=0.95,"B","C"))</f>
        <v/>
      </c>
    </row>
    <row r="170">
      <c r="A170" s="2" t="n">
        <v>169</v>
      </c>
      <c r="B170" s="2" t="inlineStr">
        <is>
          <t>213976</t>
        </is>
      </c>
      <c r="C170" s="2" t="inlineStr">
        <is>
          <t>KIT POTE DE VIDRO MARMITA - 1040ML - SORTIDO - 3 POTES</t>
        </is>
      </c>
      <c r="D170" s="4" t="n">
        <v>0</v>
      </c>
      <c r="E170" s="4" t="n">
        <v>40</v>
      </c>
      <c r="F170" s="4" t="n">
        <v>12</v>
      </c>
      <c r="G170" s="4">
        <f>SUM(D170:F170)</f>
        <v/>
      </c>
      <c r="H170" s="5" t="n">
        <v>0</v>
      </c>
      <c r="I170" s="5" t="n">
        <v>2946.2</v>
      </c>
      <c r="J170" s="5" t="n">
        <v>658.8</v>
      </c>
      <c r="K170" s="5">
        <f>SUM(H170:J170)</f>
        <v/>
      </c>
      <c r="L170" s="6">
        <f>IF($K$622=0,0,K170/$K$622)</f>
        <v/>
      </c>
      <c r="M170" s="6">
        <f>M169+L170</f>
        <v/>
      </c>
      <c r="N170" s="9">
        <f>IF(M170&lt;=0.8,"A",IF(M170&lt;=0.95,"B","C"))</f>
        <v/>
      </c>
    </row>
    <row r="171">
      <c r="A171" s="2" t="n">
        <v>170</v>
      </c>
      <c r="B171" s="2" t="inlineStr">
        <is>
          <t>216006</t>
        </is>
      </c>
      <c r="C171" s="2" t="inlineStr">
        <is>
          <t>KIT POTE DE VIDRO MARMITA - 1040ML - AZUL - 5 POTES</t>
        </is>
      </c>
      <c r="D171" s="4" t="n">
        <v>0</v>
      </c>
      <c r="E171" s="4" t="n">
        <v>21</v>
      </c>
      <c r="F171" s="4" t="n">
        <v>0</v>
      </c>
      <c r="G171" s="4">
        <f>SUM(D171:F171)</f>
        <v/>
      </c>
      <c r="H171" s="5" t="n">
        <v>0</v>
      </c>
      <c r="I171" s="5" t="n">
        <v>3567.9</v>
      </c>
      <c r="J171" s="5" t="n">
        <v>0</v>
      </c>
      <c r="K171" s="5">
        <f>SUM(H171:J171)</f>
        <v/>
      </c>
      <c r="L171" s="6">
        <f>IF($K$622=0,0,K171/$K$622)</f>
        <v/>
      </c>
      <c r="M171" s="6">
        <f>M170+L171</f>
        <v/>
      </c>
      <c r="N171" s="9">
        <f>IF(M171&lt;=0.8,"A",IF(M171&lt;=0.95,"B","C"))</f>
        <v/>
      </c>
    </row>
    <row r="172">
      <c r="A172" s="2" t="n">
        <v>171</v>
      </c>
      <c r="B172" s="2" t="inlineStr">
        <is>
          <t>AREIA-EDB-4KG-GF</t>
        </is>
      </c>
      <c r="C172" s="2" t="inlineStr">
        <is>
          <t>Areia Sanitária Gatos Milho Mandioca Espaço De Bicho Grãos Finos 4kg</t>
        </is>
      </c>
      <c r="D172" s="4" t="n">
        <v>0</v>
      </c>
      <c r="E172" s="4" t="n">
        <v>0</v>
      </c>
      <c r="F172" s="4" t="n">
        <v>64</v>
      </c>
      <c r="G172" s="4">
        <f>SUM(D172:F172)</f>
        <v/>
      </c>
      <c r="H172" s="5" t="n">
        <v>0</v>
      </c>
      <c r="I172" s="5" t="n">
        <v>0</v>
      </c>
      <c r="J172" s="5" t="n">
        <v>3543.6</v>
      </c>
      <c r="K172" s="5">
        <f>SUM(H172:J172)</f>
        <v/>
      </c>
      <c r="L172" s="6">
        <f>IF($K$622=0,0,K172/$K$622)</f>
        <v/>
      </c>
      <c r="M172" s="6">
        <f>M171+L172</f>
        <v/>
      </c>
      <c r="N172" s="9">
        <f>IF(M172&lt;=0.8,"A",IF(M172&lt;=0.95,"B","C"))</f>
        <v/>
      </c>
    </row>
    <row r="173">
      <c r="A173" s="2" t="n">
        <v>172</v>
      </c>
      <c r="B173" s="2" t="inlineStr">
        <is>
          <t>215955</t>
        </is>
      </c>
      <c r="C173" s="2" t="inlineStr">
        <is>
          <t>KIT POTE DE VIDRO MARMITA - 370ML - SORTIDO - 1 POTE</t>
        </is>
      </c>
      <c r="D173" s="4" t="n">
        <v>0</v>
      </c>
      <c r="E173" s="4" t="n">
        <v>3</v>
      </c>
      <c r="F173" s="4" t="n">
        <v>100</v>
      </c>
      <c r="G173" s="4">
        <f>SUM(D173:F173)</f>
        <v/>
      </c>
      <c r="H173" s="5" t="n">
        <v>0</v>
      </c>
      <c r="I173" s="5" t="n">
        <v>101.7</v>
      </c>
      <c r="J173" s="5" t="n">
        <v>3390</v>
      </c>
      <c r="K173" s="5">
        <f>SUM(H173:J173)</f>
        <v/>
      </c>
      <c r="L173" s="6">
        <f>IF($K$622=0,0,K173/$K$622)</f>
        <v/>
      </c>
      <c r="M173" s="6">
        <f>M172+L173</f>
        <v/>
      </c>
      <c r="N173" s="9">
        <f>IF(M173&lt;=0.8,"A",IF(M173&lt;=0.95,"B","C"))</f>
        <v/>
      </c>
    </row>
    <row r="174">
      <c r="A174" s="2" t="n">
        <v>173</v>
      </c>
      <c r="B174" s="2" t="inlineStr">
        <is>
          <t>215181</t>
        </is>
      </c>
      <c r="C174" s="2" t="inlineStr">
        <is>
          <t>CALCA LEG. MAX LUPO - 71053 - LUPO - AZUL MARINHO - P</t>
        </is>
      </c>
      <c r="D174" s="4" t="n">
        <v>0</v>
      </c>
      <c r="E174" s="4" t="n">
        <v>14</v>
      </c>
      <c r="F174" s="4" t="n">
        <v>6</v>
      </c>
      <c r="G174" s="4">
        <f>SUM(D174:F174)</f>
        <v/>
      </c>
      <c r="H174" s="5" t="n">
        <v>0</v>
      </c>
      <c r="I174" s="5" t="n">
        <v>2418.67</v>
      </c>
      <c r="J174" s="5" t="n">
        <v>1049.4</v>
      </c>
      <c r="K174" s="5">
        <f>SUM(H174:J174)</f>
        <v/>
      </c>
      <c r="L174" s="6">
        <f>IF($K$622=0,0,K174/$K$622)</f>
        <v/>
      </c>
      <c r="M174" s="6">
        <f>M173+L174</f>
        <v/>
      </c>
      <c r="N174" s="9">
        <f>IF(M174&lt;=0.8,"A",IF(M174&lt;=0.95,"B","C"))</f>
        <v/>
      </c>
    </row>
    <row r="175">
      <c r="A175" s="2" t="n">
        <v>174</v>
      </c>
      <c r="B175" s="2" t="inlineStr">
        <is>
          <t>214318</t>
        </is>
      </c>
      <c r="C175" s="2" t="inlineStr">
        <is>
          <t>CALCA LEG. MAX LUPO - 71053 - LUPO - PRETO - GG</t>
        </is>
      </c>
      <c r="D175" s="4" t="n">
        <v>0</v>
      </c>
      <c r="E175" s="4" t="n">
        <v>12</v>
      </c>
      <c r="F175" s="4" t="n">
        <v>8</v>
      </c>
      <c r="G175" s="4">
        <f>SUM(D175:F175)</f>
        <v/>
      </c>
      <c r="H175" s="5" t="n">
        <v>0</v>
      </c>
      <c r="I175" s="5" t="n">
        <v>2048.87</v>
      </c>
      <c r="J175" s="5" t="n">
        <v>1369.2</v>
      </c>
      <c r="K175" s="5">
        <f>SUM(H175:J175)</f>
        <v/>
      </c>
      <c r="L175" s="6">
        <f>IF($K$622=0,0,K175/$K$622)</f>
        <v/>
      </c>
      <c r="M175" s="6">
        <f>M174+L175</f>
        <v/>
      </c>
      <c r="N175" s="9">
        <f>IF(M175&lt;=0.8,"A",IF(M175&lt;=0.95,"B","C"))</f>
        <v/>
      </c>
    </row>
    <row r="176">
      <c r="A176" s="2" t="n">
        <v>175</v>
      </c>
      <c r="B176" s="2" t="inlineStr">
        <is>
          <t>215260</t>
        </is>
      </c>
      <c r="C176" s="2" t="inlineStr">
        <is>
          <t>CALCA LEG. MAX LUPO - 71053 - LUPO - CASTANHO - G</t>
        </is>
      </c>
      <c r="D176" s="4" t="n">
        <v>0</v>
      </c>
      <c r="E176" s="4" t="n">
        <v>9</v>
      </c>
      <c r="F176" s="4" t="n">
        <v>11</v>
      </c>
      <c r="G176" s="4">
        <f>SUM(D176:F176)</f>
        <v/>
      </c>
      <c r="H176" s="5" t="n">
        <v>0</v>
      </c>
      <c r="I176" s="5" t="n">
        <v>1509.24</v>
      </c>
      <c r="J176" s="5" t="n">
        <v>1868.9</v>
      </c>
      <c r="K176" s="5">
        <f>SUM(H176:J176)</f>
        <v/>
      </c>
      <c r="L176" s="6">
        <f>IF($K$622=0,0,K176/$K$622)</f>
        <v/>
      </c>
      <c r="M176" s="6">
        <f>M175+L176</f>
        <v/>
      </c>
      <c r="N176" s="9">
        <f>IF(M176&lt;=0.8,"A",IF(M176&lt;=0.95,"B","C"))</f>
        <v/>
      </c>
    </row>
    <row r="177">
      <c r="A177" s="2" t="n">
        <v>176</v>
      </c>
      <c r="B177" s="2" t="inlineStr">
        <is>
          <t>215258</t>
        </is>
      </c>
      <c r="C177" s="2" t="inlineStr">
        <is>
          <t>CALCA LEG. MAX LUPO - 71053 - LUPO - CASTANHO - P</t>
        </is>
      </c>
      <c r="D177" s="4" t="n">
        <v>0</v>
      </c>
      <c r="E177" s="4" t="n">
        <v>11</v>
      </c>
      <c r="F177" s="4" t="n">
        <v>8</v>
      </c>
      <c r="G177" s="4">
        <f>SUM(D177:F177)</f>
        <v/>
      </c>
      <c r="H177" s="5" t="n">
        <v>0</v>
      </c>
      <c r="I177" s="5" t="n">
        <v>1898.9</v>
      </c>
      <c r="J177" s="5" t="n">
        <v>1359.2</v>
      </c>
      <c r="K177" s="5">
        <f>SUM(H177:J177)</f>
        <v/>
      </c>
      <c r="L177" s="6">
        <f>IF($K$622=0,0,K177/$K$622)</f>
        <v/>
      </c>
      <c r="M177" s="6">
        <f>M176+L177</f>
        <v/>
      </c>
      <c r="N177" s="9">
        <f>IF(M177&lt;=0.8,"A",IF(M177&lt;=0.95,"B","C"))</f>
        <v/>
      </c>
    </row>
    <row r="178">
      <c r="A178" s="2" t="n">
        <v>177</v>
      </c>
      <c r="B178" s="2" t="inlineStr">
        <is>
          <t>214837</t>
        </is>
      </c>
      <c r="C178" s="2" t="inlineStr">
        <is>
          <t>KIT POTE DE VIDRO C/ TAMPA DE BAMBU - 550ML - 3 UNIDADES</t>
        </is>
      </c>
      <c r="D178" s="4" t="n">
        <v>0</v>
      </c>
      <c r="E178" s="4" t="n">
        <v>3</v>
      </c>
      <c r="F178" s="4" t="n">
        <v>61</v>
      </c>
      <c r="G178" s="4">
        <f>SUM(D178:F178)</f>
        <v/>
      </c>
      <c r="H178" s="5" t="n">
        <v>0</v>
      </c>
      <c r="I178" s="5" t="n">
        <v>299.7</v>
      </c>
      <c r="J178" s="5" t="n">
        <v>2846.2</v>
      </c>
      <c r="K178" s="5">
        <f>SUM(H178:J178)</f>
        <v/>
      </c>
      <c r="L178" s="6">
        <f>IF($K$622=0,0,K178/$K$622)</f>
        <v/>
      </c>
      <c r="M178" s="6">
        <f>M177+L178</f>
        <v/>
      </c>
      <c r="N178" s="9">
        <f>IF(M178&lt;=0.8,"A",IF(M178&lt;=0.95,"B","C"))</f>
        <v/>
      </c>
    </row>
    <row r="179">
      <c r="A179" s="2" t="n">
        <v>178</v>
      </c>
      <c r="B179" s="2" t="inlineStr">
        <is>
          <t>214148</t>
        </is>
      </c>
      <c r="C179" s="2" t="inlineStr">
        <is>
          <t>JOGO DE TALHERES INOX 25 PEÇAS  - SORTIDO</t>
        </is>
      </c>
      <c r="D179" s="4" t="n">
        <v>0</v>
      </c>
      <c r="E179" s="4" t="n">
        <v>7</v>
      </c>
      <c r="F179" s="4" t="n">
        <v>137</v>
      </c>
      <c r="G179" s="4">
        <f>SUM(D179:F179)</f>
        <v/>
      </c>
      <c r="H179" s="5" t="n">
        <v>0</v>
      </c>
      <c r="I179" s="5" t="n">
        <v>228.49</v>
      </c>
      <c r="J179" s="5" t="n">
        <v>2841.29</v>
      </c>
      <c r="K179" s="5">
        <f>SUM(H179:J179)</f>
        <v/>
      </c>
      <c r="L179" s="6">
        <f>IF($K$622=0,0,K179/$K$622)</f>
        <v/>
      </c>
      <c r="M179" s="6">
        <f>M178+L179</f>
        <v/>
      </c>
      <c r="N179" s="9">
        <f>IF(M179&lt;=0.8,"A",IF(M179&lt;=0.95,"B","C"))</f>
        <v/>
      </c>
    </row>
    <row r="180">
      <c r="A180" s="2" t="n">
        <v>179</v>
      </c>
      <c r="B180" s="2" t="inlineStr">
        <is>
          <t>AREIA-EDB-4KG-GG</t>
        </is>
      </c>
      <c r="C180" s="2" t="inlineStr">
        <is>
          <t>Areia Sanitária Gatos Milho Mandioca Espaço De Bicho Grãos Grossos 4kg</t>
        </is>
      </c>
      <c r="D180" s="4" t="n">
        <v>4</v>
      </c>
      <c r="E180" s="4" t="n">
        <v>37</v>
      </c>
      <c r="F180" s="4" t="n">
        <v>25</v>
      </c>
      <c r="G180" s="4">
        <f>SUM(D180:F180)</f>
        <v/>
      </c>
      <c r="H180" s="5" t="n">
        <v>171.6</v>
      </c>
      <c r="I180" s="5" t="n">
        <v>1587.3</v>
      </c>
      <c r="J180" s="5" t="n">
        <v>1297.5</v>
      </c>
      <c r="K180" s="5">
        <f>SUM(H180:J180)</f>
        <v/>
      </c>
      <c r="L180" s="6">
        <f>IF($K$622=0,0,K180/$K$622)</f>
        <v/>
      </c>
      <c r="M180" s="6">
        <f>M179+L180</f>
        <v/>
      </c>
      <c r="N180" s="9">
        <f>IF(M180&lt;=0.8,"A",IF(M180&lt;=0.95,"B","C"))</f>
        <v/>
      </c>
    </row>
    <row r="181">
      <c r="A181" s="2" t="n">
        <v>180</v>
      </c>
      <c r="B181" s="2" t="inlineStr">
        <is>
          <t>215933</t>
        </is>
      </c>
      <c r="C181" s="2" t="inlineStr">
        <is>
          <t>KIT POTE DE VIDRO MARMITA - 370ML - BRANCO - 3 POTES</t>
        </is>
      </c>
      <c r="D181" s="4" t="n">
        <v>0</v>
      </c>
      <c r="E181" s="4" t="n">
        <v>33</v>
      </c>
      <c r="F181" s="4" t="n">
        <v>5</v>
      </c>
      <c r="G181" s="4">
        <f>SUM(D181:F181)</f>
        <v/>
      </c>
      <c r="H181" s="5" t="n">
        <v>0</v>
      </c>
      <c r="I181" s="5" t="n">
        <v>2636.7</v>
      </c>
      <c r="J181" s="5" t="n">
        <v>399.5</v>
      </c>
      <c r="K181" s="5">
        <f>SUM(H181:J181)</f>
        <v/>
      </c>
      <c r="L181" s="6">
        <f>IF($K$622=0,0,K181/$K$622)</f>
        <v/>
      </c>
      <c r="M181" s="6">
        <f>M180+L181</f>
        <v/>
      </c>
      <c r="N181" s="9">
        <f>IF(M181&lt;=0.8,"A",IF(M181&lt;=0.95,"B","C"))</f>
        <v/>
      </c>
    </row>
    <row r="182">
      <c r="A182" s="2" t="n">
        <v>181</v>
      </c>
      <c r="B182" s="2" t="inlineStr">
        <is>
          <t>214293</t>
        </is>
      </c>
      <c r="C182" s="2" t="inlineStr">
        <is>
          <t>CALCA LEG. MAX LUPO - 71053 - LUPO - VERDE - G</t>
        </is>
      </c>
      <c r="D182" s="4" t="n">
        <v>0</v>
      </c>
      <c r="E182" s="4" t="n">
        <v>11</v>
      </c>
      <c r="F182" s="4" t="n">
        <v>6</v>
      </c>
      <c r="G182" s="4">
        <f>SUM(D182:F182)</f>
        <v/>
      </c>
      <c r="H182" s="5" t="n">
        <v>0</v>
      </c>
      <c r="I182" s="5" t="n">
        <v>1868.97</v>
      </c>
      <c r="J182" s="5" t="n">
        <v>1124.4</v>
      </c>
      <c r="K182" s="5">
        <f>SUM(H182:J182)</f>
        <v/>
      </c>
      <c r="L182" s="6">
        <f>IF($K$622=0,0,K182/$K$622)</f>
        <v/>
      </c>
      <c r="M182" s="6">
        <f>M181+L182</f>
        <v/>
      </c>
      <c r="N182" s="9">
        <f>IF(M182&lt;=0.8,"A",IF(M182&lt;=0.95,"B","C"))</f>
        <v/>
      </c>
    </row>
    <row r="183">
      <c r="A183" s="2" t="n">
        <v>182</v>
      </c>
      <c r="B183" s="2" t="inlineStr">
        <is>
          <t>216039</t>
        </is>
      </c>
      <c r="C183" s="2" t="inlineStr">
        <is>
          <t>KIT FORTH FLORACAO + MANUTENÇÃO ORQUIDEAS FERTILIZANTE 500ML</t>
        </is>
      </c>
      <c r="D183" s="4" t="n">
        <v>0</v>
      </c>
      <c r="E183" s="4" t="n">
        <v>34</v>
      </c>
      <c r="F183" s="4" t="n">
        <v>41</v>
      </c>
      <c r="G183" s="4">
        <f>SUM(D183:F183)</f>
        <v/>
      </c>
      <c r="H183" s="5" t="n">
        <v>0</v>
      </c>
      <c r="I183" s="5" t="n">
        <v>1356.6</v>
      </c>
      <c r="J183" s="5" t="n">
        <v>1635.9</v>
      </c>
      <c r="K183" s="5">
        <f>SUM(H183:J183)</f>
        <v/>
      </c>
      <c r="L183" s="6">
        <f>IF($K$622=0,0,K183/$K$622)</f>
        <v/>
      </c>
      <c r="M183" s="6">
        <f>M182+L183</f>
        <v/>
      </c>
      <c r="N183" s="9">
        <f>IF(M183&lt;=0.8,"A",IF(M183&lt;=0.95,"B","C"))</f>
        <v/>
      </c>
    </row>
    <row r="184">
      <c r="A184" s="2" t="n">
        <v>183</v>
      </c>
      <c r="B184" s="2" t="inlineStr">
        <is>
          <t>213282</t>
        </is>
      </c>
      <c r="C184" s="2" t="inlineStr">
        <is>
          <t>BALANÇA DIGITAL BIOIMPEDÂNCIA 180KG</t>
        </is>
      </c>
      <c r="D184" s="4" t="n">
        <v>0</v>
      </c>
      <c r="E184" s="4" t="n">
        <v>0</v>
      </c>
      <c r="F184" s="4" t="n">
        <v>98</v>
      </c>
      <c r="G184" s="4">
        <f>SUM(D184:F184)</f>
        <v/>
      </c>
      <c r="H184" s="5" t="n">
        <v>0</v>
      </c>
      <c r="I184" s="5" t="n">
        <v>0</v>
      </c>
      <c r="J184" s="5" t="n">
        <v>2930.2</v>
      </c>
      <c r="K184" s="5">
        <f>SUM(H184:J184)</f>
        <v/>
      </c>
      <c r="L184" s="6">
        <f>IF($K$622=0,0,K184/$K$622)</f>
        <v/>
      </c>
      <c r="M184" s="6">
        <f>M183+L184</f>
        <v/>
      </c>
      <c r="N184" s="9">
        <f>IF(M184&lt;=0.8,"A",IF(M184&lt;=0.95,"B","C"))</f>
        <v/>
      </c>
    </row>
    <row r="185">
      <c r="A185" s="2" t="n">
        <v>184</v>
      </c>
      <c r="B185" s="2" t="inlineStr">
        <is>
          <t>214154</t>
        </is>
      </c>
      <c r="C185" s="2" t="inlineStr">
        <is>
          <t>KIT CABIDE PARA CALÇA C/5 DIVISORIAS - PRETO - 2 UNIDADES</t>
        </is>
      </c>
      <c r="D185" s="4" t="n">
        <v>0</v>
      </c>
      <c r="E185" s="4" t="n">
        <v>40</v>
      </c>
      <c r="F185" s="4" t="n">
        <v>56</v>
      </c>
      <c r="G185" s="4">
        <f>SUM(D185:F185)</f>
        <v/>
      </c>
      <c r="H185" s="5" t="n">
        <v>0</v>
      </c>
      <c r="I185" s="5" t="n">
        <v>1213.25</v>
      </c>
      <c r="J185" s="5" t="n">
        <v>1713.79</v>
      </c>
      <c r="K185" s="5">
        <f>SUM(H185:J185)</f>
        <v/>
      </c>
      <c r="L185" s="6">
        <f>IF($K$622=0,0,K185/$K$622)</f>
        <v/>
      </c>
      <c r="M185" s="6">
        <f>M184+L185</f>
        <v/>
      </c>
      <c r="N185" s="9">
        <f>IF(M185&lt;=0.8,"A",IF(M185&lt;=0.95,"B","C"))</f>
        <v/>
      </c>
    </row>
    <row r="186">
      <c r="A186" s="2" t="n">
        <v>185</v>
      </c>
      <c r="B186" s="2" t="inlineStr">
        <is>
          <t>215220</t>
        </is>
      </c>
      <c r="C186" s="2" t="inlineStr">
        <is>
          <t>CALCA LEG. MAX LUPO - 71053 - LUPO - PURPLE - P</t>
        </is>
      </c>
      <c r="D186" s="4" t="n">
        <v>0</v>
      </c>
      <c r="E186" s="4" t="n">
        <v>6</v>
      </c>
      <c r="F186" s="4" t="n">
        <v>11</v>
      </c>
      <c r="G186" s="4">
        <f>SUM(D186:F186)</f>
        <v/>
      </c>
      <c r="H186" s="5" t="n">
        <v>0</v>
      </c>
      <c r="I186" s="5" t="n">
        <v>1039.4</v>
      </c>
      <c r="J186" s="5" t="n">
        <v>1873.9</v>
      </c>
      <c r="K186" s="5">
        <f>SUM(H186:J186)</f>
        <v/>
      </c>
      <c r="L186" s="6">
        <f>IF($K$622=0,0,K186/$K$622)</f>
        <v/>
      </c>
      <c r="M186" s="6">
        <f>M185+L186</f>
        <v/>
      </c>
      <c r="N186" s="9">
        <f>IF(M186&lt;=0.8,"A",IF(M186&lt;=0.95,"B","C"))</f>
        <v/>
      </c>
    </row>
    <row r="187">
      <c r="A187" s="2" t="n">
        <v>186</v>
      </c>
      <c r="B187" s="2" t="inlineStr">
        <is>
          <t>214835</t>
        </is>
      </c>
      <c r="C187" s="2" t="inlineStr">
        <is>
          <t>KIT POTE DE VIDRO C/ TAMPA DE BAMBU - 550ML - 1 UNIDADE</t>
        </is>
      </c>
      <c r="D187" s="4" t="n">
        <v>0</v>
      </c>
      <c r="E187" s="4" t="n">
        <v>10</v>
      </c>
      <c r="F187" s="4" t="n">
        <v>129</v>
      </c>
      <c r="G187" s="4">
        <f>SUM(D187:F187)</f>
        <v/>
      </c>
      <c r="H187" s="5" t="n">
        <v>0</v>
      </c>
      <c r="I187" s="5" t="n">
        <v>499</v>
      </c>
      <c r="J187" s="5" t="n">
        <v>2404.1</v>
      </c>
      <c r="K187" s="5">
        <f>SUM(H187:J187)</f>
        <v/>
      </c>
      <c r="L187" s="6">
        <f>IF($K$622=0,0,K187/$K$622)</f>
        <v/>
      </c>
      <c r="M187" s="6">
        <f>M186+L187</f>
        <v/>
      </c>
      <c r="N187" s="9">
        <f>IF(M187&lt;=0.8,"A",IF(M187&lt;=0.95,"B","C"))</f>
        <v/>
      </c>
    </row>
    <row r="188">
      <c r="A188" s="2" t="n">
        <v>187</v>
      </c>
      <c r="B188" s="2" t="inlineStr">
        <is>
          <t>215965</t>
        </is>
      </c>
      <c r="C188" s="2" t="inlineStr">
        <is>
          <t>KIT POTE DE VIDRO MARMITA - 640ML - BRANCO - 3 POTES</t>
        </is>
      </c>
      <c r="D188" s="4" t="n">
        <v>0</v>
      </c>
      <c r="E188" s="4" t="n">
        <v>29</v>
      </c>
      <c r="F188" s="4" t="n">
        <v>0</v>
      </c>
      <c r="G188" s="4">
        <f>SUM(D188:F188)</f>
        <v/>
      </c>
      <c r="H188" s="5" t="n">
        <v>0</v>
      </c>
      <c r="I188" s="5" t="n">
        <v>2897.1</v>
      </c>
      <c r="J188" s="5" t="n">
        <v>0</v>
      </c>
      <c r="K188" s="5">
        <f>SUM(H188:J188)</f>
        <v/>
      </c>
      <c r="L188" s="6">
        <f>IF($K$622=0,0,K188/$K$622)</f>
        <v/>
      </c>
      <c r="M188" s="6">
        <f>M187+L188</f>
        <v/>
      </c>
      <c r="N188" s="9">
        <f>IF(M188&lt;=0.8,"A",IF(M188&lt;=0.95,"B","C"))</f>
        <v/>
      </c>
    </row>
    <row r="189">
      <c r="A189" s="2" t="n">
        <v>188</v>
      </c>
      <c r="B189" s="2" t="inlineStr">
        <is>
          <t>KIT-50-CAB-VEL-PT</t>
        </is>
      </c>
      <c r="C189" s="2" t="inlineStr">
        <is>
          <t>Kit 20/30/50 Unidades De Cabides Veludo Para Roupas Adulto Fino Resistente - Preto,50 UNIDADES</t>
        </is>
      </c>
      <c r="D189" s="4" t="n">
        <v>0</v>
      </c>
      <c r="E189" s="4" t="n">
        <v>0</v>
      </c>
      <c r="F189" s="4" t="n">
        <v>30</v>
      </c>
      <c r="G189" s="4">
        <f>SUM(D189:F189)</f>
        <v/>
      </c>
      <c r="H189" s="5" t="n">
        <v>0</v>
      </c>
      <c r="I189" s="5" t="n">
        <v>0</v>
      </c>
      <c r="J189" s="5" t="n">
        <v>2885.97</v>
      </c>
      <c r="K189" s="5">
        <f>SUM(H189:J189)</f>
        <v/>
      </c>
      <c r="L189" s="6">
        <f>IF($K$622=0,0,K189/$K$622)</f>
        <v/>
      </c>
      <c r="M189" s="6">
        <f>M188+L189</f>
        <v/>
      </c>
      <c r="N189" s="9">
        <f>IF(M189&lt;=0.8,"A",IF(M189&lt;=0.95,"B","C"))</f>
        <v/>
      </c>
    </row>
    <row r="190">
      <c r="A190" s="2" t="n">
        <v>189</v>
      </c>
      <c r="B190" s="2" t="inlineStr">
        <is>
          <t>213818</t>
        </is>
      </c>
      <c r="C190" s="2" t="inlineStr">
        <is>
          <t>KIT TAPETE HIG SHOPITO AROMA BEBE 80X60CM - 60 UNIDADES</t>
        </is>
      </c>
      <c r="D190" s="4" t="n">
        <v>0</v>
      </c>
      <c r="E190" s="4" t="n">
        <v>10</v>
      </c>
      <c r="F190" s="4" t="n">
        <v>12</v>
      </c>
      <c r="G190" s="4">
        <f>SUM(D190:F190)</f>
        <v/>
      </c>
      <c r="H190" s="5" t="n">
        <v>0</v>
      </c>
      <c r="I190" s="5" t="n">
        <v>1299</v>
      </c>
      <c r="J190" s="5" t="n">
        <v>1558.8</v>
      </c>
      <c r="K190" s="5">
        <f>SUM(H190:J190)</f>
        <v/>
      </c>
      <c r="L190" s="6">
        <f>IF($K$622=0,0,K190/$K$622)</f>
        <v/>
      </c>
      <c r="M190" s="6">
        <f>M189+L190</f>
        <v/>
      </c>
      <c r="N190" s="9">
        <f>IF(M190&lt;=0.8,"A",IF(M190&lt;=0.95,"B","C"))</f>
        <v/>
      </c>
    </row>
    <row r="191">
      <c r="A191" s="2" t="n">
        <v>190</v>
      </c>
      <c r="B191" s="2" t="inlineStr">
        <is>
          <t>213847</t>
        </is>
      </c>
      <c r="C191" s="2" t="inlineStr">
        <is>
          <t>KIT TAPETE HIG ESPACO DE BICHO 50X60 - 50 UNIDADES</t>
        </is>
      </c>
      <c r="D191" s="4" t="n">
        <v>0</v>
      </c>
      <c r="E191" s="4" t="n">
        <v>29</v>
      </c>
      <c r="F191" s="4" t="n">
        <v>0</v>
      </c>
      <c r="G191" s="4">
        <f>SUM(D191:F191)</f>
        <v/>
      </c>
      <c r="H191" s="5" t="n">
        <v>0</v>
      </c>
      <c r="I191" s="5" t="n">
        <v>2797.2</v>
      </c>
      <c r="J191" s="5" t="n">
        <v>0</v>
      </c>
      <c r="K191" s="5">
        <f>SUM(H191:J191)</f>
        <v/>
      </c>
      <c r="L191" s="6">
        <f>IF($K$622=0,0,K191/$K$622)</f>
        <v/>
      </c>
      <c r="M191" s="6">
        <f>M190+L191</f>
        <v/>
      </c>
      <c r="N191" s="9">
        <f>IF(M191&lt;=0.8,"A",IF(M191&lt;=0.95,"B","C"))</f>
        <v/>
      </c>
    </row>
    <row r="192">
      <c r="A192" s="2" t="n">
        <v>191</v>
      </c>
      <c r="B192" s="2" t="inlineStr">
        <is>
          <t>10 potes 370 sortido</t>
        </is>
      </c>
      <c r="C192" s="2" t="inlineStr">
        <is>
          <t>Este conjunto de 10 potes de vidro hermético, cada um com capacidade de 370 ml, é ideal para quem busca praticidade e qu</t>
        </is>
      </c>
      <c r="D192" s="4" t="n">
        <v>0</v>
      </c>
      <c r="E192" s="4" t="n">
        <v>36</v>
      </c>
      <c r="F192" s="4" t="n">
        <v>0</v>
      </c>
      <c r="G192" s="4">
        <f>SUM(D192:F192)</f>
        <v/>
      </c>
      <c r="H192" s="5" t="n">
        <v>0</v>
      </c>
      <c r="I192" s="5" t="n">
        <v>2768.04</v>
      </c>
      <c r="J192" s="5" t="n">
        <v>0</v>
      </c>
      <c r="K192" s="5">
        <f>SUM(H192:J192)</f>
        <v/>
      </c>
      <c r="L192" s="6">
        <f>IF($K$622=0,0,K192/$K$622)</f>
        <v/>
      </c>
      <c r="M192" s="6">
        <f>M191+L192</f>
        <v/>
      </c>
      <c r="N192" s="9">
        <f>IF(M192&lt;=0.8,"A",IF(M192&lt;=0.95,"B","C"))</f>
        <v/>
      </c>
    </row>
    <row r="193">
      <c r="A193" s="2" t="n">
        <v>192</v>
      </c>
      <c r="B193" s="2" t="inlineStr">
        <is>
          <t>214304</t>
        </is>
      </c>
      <c r="C193" s="2" t="inlineStr">
        <is>
          <t>CALCA LEG. MAX LUPO - 71053 - LUPO - GOIABA - G</t>
        </is>
      </c>
      <c r="D193" s="4" t="n">
        <v>0</v>
      </c>
      <c r="E193" s="4" t="n">
        <v>4</v>
      </c>
      <c r="F193" s="4" t="n">
        <v>13</v>
      </c>
      <c r="G193" s="4">
        <f>SUM(D193:F193)</f>
        <v/>
      </c>
      <c r="H193" s="5" t="n">
        <v>0</v>
      </c>
      <c r="I193" s="5" t="n">
        <v>654.67</v>
      </c>
      <c r="J193" s="5" t="n">
        <v>2048.19</v>
      </c>
      <c r="K193" s="5">
        <f>SUM(H193:J193)</f>
        <v/>
      </c>
      <c r="L193" s="6">
        <f>IF($K$622=0,0,K193/$K$622)</f>
        <v/>
      </c>
      <c r="M193" s="6">
        <f>M192+L193</f>
        <v/>
      </c>
      <c r="N193" s="9">
        <f>IF(M193&lt;=0.8,"A",IF(M193&lt;=0.95,"B","C"))</f>
        <v/>
      </c>
    </row>
    <row r="194">
      <c r="A194" s="2" t="n">
        <v>193</v>
      </c>
      <c r="B194" s="2" t="inlineStr">
        <is>
          <t>214938</t>
        </is>
      </c>
      <c r="C194" s="2" t="inlineStr">
        <is>
          <t>KIT VETORYL C/ 30 COMPRIMIDOS - 30MG - 2 UNIDADES (60 COMP)</t>
        </is>
      </c>
      <c r="D194" s="4" t="n">
        <v>1</v>
      </c>
      <c r="E194" s="4" t="n">
        <v>3</v>
      </c>
      <c r="F194" s="4" t="n">
        <v>0</v>
      </c>
      <c r="G194" s="4">
        <f>SUM(D194:F194)</f>
        <v/>
      </c>
      <c r="H194" s="5" t="n">
        <v>648.7</v>
      </c>
      <c r="I194" s="5" t="n">
        <v>1996.2</v>
      </c>
      <c r="J194" s="5" t="n">
        <v>0</v>
      </c>
      <c r="K194" s="5">
        <f>SUM(H194:J194)</f>
        <v/>
      </c>
      <c r="L194" s="6">
        <f>IF($K$622=0,0,K194/$K$622)</f>
        <v/>
      </c>
      <c r="M194" s="6">
        <f>M193+L194</f>
        <v/>
      </c>
      <c r="N194" s="9">
        <f>IF(M194&lt;=0.8,"A",IF(M194&lt;=0.95,"B","C"))</f>
        <v/>
      </c>
    </row>
    <row r="195">
      <c r="A195" s="2" t="n">
        <v>194</v>
      </c>
      <c r="B195" s="2" t="inlineStr">
        <is>
          <t>VETMAX-PLUS-4COMP</t>
        </is>
      </c>
      <c r="C195" s="2" t="inlineStr">
        <is>
          <t>Vetmax Plus Blister 4 Comprimidos Vermífugo - Vetnil - 4 Comprimidos</t>
        </is>
      </c>
      <c r="D195" s="4" t="n">
        <v>0</v>
      </c>
      <c r="E195" s="4" t="n">
        <v>12</v>
      </c>
      <c r="F195" s="4" t="n">
        <v>55</v>
      </c>
      <c r="G195" s="4">
        <f>SUM(D195:F195)</f>
        <v/>
      </c>
      <c r="H195" s="5" t="n">
        <v>0</v>
      </c>
      <c r="I195" s="5" t="n">
        <v>466.8</v>
      </c>
      <c r="J195" s="5" t="n">
        <v>2139.5</v>
      </c>
      <c r="K195" s="5">
        <f>SUM(H195:J195)</f>
        <v/>
      </c>
      <c r="L195" s="6">
        <f>IF($K$622=0,0,K195/$K$622)</f>
        <v/>
      </c>
      <c r="M195" s="6">
        <f>M194+L195</f>
        <v/>
      </c>
      <c r="N195" s="9">
        <f>IF(M195&lt;=0.8,"A",IF(M195&lt;=0.95,"B","C"))</f>
        <v/>
      </c>
    </row>
    <row r="196">
      <c r="A196" s="2" t="n">
        <v>195</v>
      </c>
      <c r="B196" s="2" t="inlineStr">
        <is>
          <t>214158</t>
        </is>
      </c>
      <c r="C196" s="2" t="inlineStr">
        <is>
          <t>KIT CABIDE PARA CALÇA C/5 DIVISORIAS - PRETO - 5 UNIDADES</t>
        </is>
      </c>
      <c r="D196" s="4" t="n">
        <v>0</v>
      </c>
      <c r="E196" s="4" t="n">
        <v>9</v>
      </c>
      <c r="F196" s="4" t="n">
        <v>26</v>
      </c>
      <c r="G196" s="4">
        <f>SUM(D196:F196)</f>
        <v/>
      </c>
      <c r="H196" s="5" t="n">
        <v>0</v>
      </c>
      <c r="I196" s="5" t="n">
        <v>674.08</v>
      </c>
      <c r="J196" s="5" t="n">
        <v>1869.49</v>
      </c>
      <c r="K196" s="5">
        <f>SUM(H196:J196)</f>
        <v/>
      </c>
      <c r="L196" s="6">
        <f>IF($K$622=0,0,K196/$K$622)</f>
        <v/>
      </c>
      <c r="M196" s="6">
        <f>M195+L196</f>
        <v/>
      </c>
      <c r="N196" s="9">
        <f>IF(M196&lt;=0.8,"A",IF(M196&lt;=0.95,"B","C"))</f>
        <v/>
      </c>
    </row>
    <row r="197">
      <c r="A197" s="2" t="n">
        <v>196</v>
      </c>
      <c r="B197" s="2" t="inlineStr">
        <is>
          <t>214012</t>
        </is>
      </c>
      <c r="C197" s="2" t="inlineStr">
        <is>
          <t>KIT CABIDE VELUDO PARA ROUPAS ADULTO - BRANCO - 30</t>
        </is>
      </c>
      <c r="D197" s="4" t="n">
        <v>0</v>
      </c>
      <c r="E197" s="4" t="n">
        <v>12</v>
      </c>
      <c r="F197" s="4" t="n">
        <v>26</v>
      </c>
      <c r="G197" s="4">
        <f>SUM(D197:F197)</f>
        <v/>
      </c>
      <c r="H197" s="5" t="n">
        <v>0</v>
      </c>
      <c r="I197" s="5" t="n">
        <v>657.98</v>
      </c>
      <c r="J197" s="5" t="n">
        <v>1828.06</v>
      </c>
      <c r="K197" s="5">
        <f>SUM(H197:J197)</f>
        <v/>
      </c>
      <c r="L197" s="6">
        <f>IF($K$622=0,0,K197/$K$622)</f>
        <v/>
      </c>
      <c r="M197" s="6">
        <f>M196+L197</f>
        <v/>
      </c>
      <c r="N197" s="9">
        <f>IF(M197&lt;=0.8,"A",IF(M197&lt;=0.95,"B","C"))</f>
        <v/>
      </c>
    </row>
    <row r="198">
      <c r="A198" s="2" t="n">
        <v>197</v>
      </c>
      <c r="B198" s="2" t="inlineStr">
        <is>
          <t>213695</t>
        </is>
      </c>
      <c r="C198" s="2" t="inlineStr">
        <is>
          <t>KIT INVICTO ANTIPULGAS GATO E CACHORRO - BLISTER C/1 COMP - 11.4MG - 6 BLISTER</t>
        </is>
      </c>
      <c r="D198" s="4" t="n">
        <v>0</v>
      </c>
      <c r="E198" s="4" t="n">
        <v>41</v>
      </c>
      <c r="F198" s="4" t="n">
        <v>0</v>
      </c>
      <c r="G198" s="4">
        <f>SUM(D198:F198)</f>
        <v/>
      </c>
      <c r="H198" s="5" t="n">
        <v>0</v>
      </c>
      <c r="I198" s="5" t="n">
        <v>2464.9</v>
      </c>
      <c r="J198" s="5" t="n">
        <v>0</v>
      </c>
      <c r="K198" s="5">
        <f>SUM(H198:J198)</f>
        <v/>
      </c>
      <c r="L198" s="6">
        <f>IF($K$622=0,0,K198/$K$622)</f>
        <v/>
      </c>
      <c r="M198" s="6">
        <f>M197+L198</f>
        <v/>
      </c>
      <c r="N198" s="9">
        <f>IF(M198&lt;=0.8,"A",IF(M198&lt;=0.95,"B","C"))</f>
        <v/>
      </c>
    </row>
    <row r="199">
      <c r="A199" s="2" t="n">
        <v>198</v>
      </c>
      <c r="B199" s="2" t="inlineStr">
        <is>
          <t>214300</t>
        </is>
      </c>
      <c r="C199" s="2" t="inlineStr">
        <is>
          <t>CALCA LEG. MAX LUPO - 71053 - LUPO - GRAFITE - G</t>
        </is>
      </c>
      <c r="D199" s="4" t="n">
        <v>0</v>
      </c>
      <c r="E199" s="4" t="n">
        <v>8</v>
      </c>
      <c r="F199" s="4" t="n">
        <v>6</v>
      </c>
      <c r="G199" s="4">
        <f>SUM(D199:F199)</f>
        <v/>
      </c>
      <c r="H199" s="5" t="n">
        <v>0</v>
      </c>
      <c r="I199" s="5" t="n">
        <v>1389.2</v>
      </c>
      <c r="J199" s="5" t="n">
        <v>1024.4</v>
      </c>
      <c r="K199" s="5">
        <f>SUM(H199:J199)</f>
        <v/>
      </c>
      <c r="L199" s="6">
        <f>IF($K$622=0,0,K199/$K$622)</f>
        <v/>
      </c>
      <c r="M199" s="6">
        <f>M198+L199</f>
        <v/>
      </c>
      <c r="N199" s="9">
        <f>IF(M199&lt;=0.8,"A",IF(M199&lt;=0.95,"B","C"))</f>
        <v/>
      </c>
    </row>
    <row r="200">
      <c r="A200" s="2" t="n">
        <v>199</v>
      </c>
      <c r="B200" s="2" t="inlineStr">
        <is>
          <t>212900</t>
        </is>
      </c>
      <c r="C200" s="2" t="inlineStr">
        <is>
          <t>MÁQUINA DE SECAR PETS PLUS GRANDE</t>
        </is>
      </c>
      <c r="D200" s="4" t="n">
        <v>0</v>
      </c>
      <c r="E200" s="4" t="n">
        <v>1</v>
      </c>
      <c r="F200" s="4" t="n">
        <v>0</v>
      </c>
      <c r="G200" s="4">
        <f>SUM(D200:F200)</f>
        <v/>
      </c>
      <c r="H200" s="5" t="n">
        <v>0</v>
      </c>
      <c r="I200" s="5" t="n">
        <v>2399.9</v>
      </c>
      <c r="J200" s="5" t="n">
        <v>0</v>
      </c>
      <c r="K200" s="5">
        <f>SUM(H200:J200)</f>
        <v/>
      </c>
      <c r="L200" s="6">
        <f>IF($K$622=0,0,K200/$K$622)</f>
        <v/>
      </c>
      <c r="M200" s="6">
        <f>M199+L200</f>
        <v/>
      </c>
      <c r="N200" s="9">
        <f>IF(M200&lt;=0.8,"A",IF(M200&lt;=0.95,"B","C"))</f>
        <v/>
      </c>
    </row>
    <row r="201">
      <c r="A201" s="2" t="n">
        <v>200</v>
      </c>
      <c r="B201" s="2" t="inlineStr">
        <is>
          <t>214276</t>
        </is>
      </c>
      <c r="C201" s="2" t="inlineStr">
        <is>
          <t>CALCA LEG. MAX LUPO - 71053 - LUPO - CHOCOLATE - M</t>
        </is>
      </c>
      <c r="D201" s="4" t="n">
        <v>0</v>
      </c>
      <c r="E201" s="4" t="n">
        <v>3</v>
      </c>
      <c r="F201" s="4" t="n">
        <v>11</v>
      </c>
      <c r="G201" s="4">
        <f>SUM(D201:F201)</f>
        <v/>
      </c>
      <c r="H201" s="5" t="n">
        <v>0</v>
      </c>
      <c r="I201" s="5" t="n">
        <v>509.7</v>
      </c>
      <c r="J201" s="5" t="n">
        <v>1873.9</v>
      </c>
      <c r="K201" s="5">
        <f>SUM(H201:J201)</f>
        <v/>
      </c>
      <c r="L201" s="6">
        <f>IF($K$622=0,0,K201/$K$622)</f>
        <v/>
      </c>
      <c r="M201" s="6">
        <f>M200+L201</f>
        <v/>
      </c>
      <c r="N201" s="9">
        <f>IF(M201&lt;=0.8,"A",IF(M201&lt;=0.95,"B","C"))</f>
        <v/>
      </c>
    </row>
    <row r="202">
      <c r="A202" s="2" t="n">
        <v>201</v>
      </c>
      <c r="B202" s="2" t="inlineStr">
        <is>
          <t>214573</t>
        </is>
      </c>
      <c r="C202" s="2" t="inlineStr">
        <is>
          <t>KIT CUECAS BOXER MICROFIBRA - 000436-088 - LUPO - M - 42 A 44 - PRETO/VINHO - 10 UNIDADES (5 PACOTES)</t>
        </is>
      </c>
      <c r="D202" s="4" t="n">
        <v>0</v>
      </c>
      <c r="E202" s="4" t="n">
        <v>7</v>
      </c>
      <c r="F202" s="4" t="n">
        <v>4</v>
      </c>
      <c r="G202" s="4">
        <f>SUM(D202:F202)</f>
        <v/>
      </c>
      <c r="H202" s="5" t="n">
        <v>0</v>
      </c>
      <c r="I202" s="5" t="n">
        <v>1509.62</v>
      </c>
      <c r="J202" s="5" t="n">
        <v>867.6</v>
      </c>
      <c r="K202" s="5">
        <f>SUM(H202:J202)</f>
        <v/>
      </c>
      <c r="L202" s="6">
        <f>IF($K$622=0,0,K202/$K$622)</f>
        <v/>
      </c>
      <c r="M202" s="6">
        <f>M201+L202</f>
        <v/>
      </c>
      <c r="N202" s="9">
        <f>IF(M202&lt;=0.8,"A",IF(M202&lt;=0.95,"B","C"))</f>
        <v/>
      </c>
    </row>
    <row r="203">
      <c r="A203" s="2" t="n">
        <v>202</v>
      </c>
      <c r="B203" s="2" t="inlineStr">
        <is>
          <t>215114</t>
        </is>
      </c>
      <c r="C203" s="2" t="inlineStr">
        <is>
          <t>SHORT LSPORT BASIC - 71348 - LUPO - M - PRETO</t>
        </is>
      </c>
      <c r="D203" s="4" t="n">
        <v>0</v>
      </c>
      <c r="E203" s="4" t="n">
        <v>18</v>
      </c>
      <c r="F203" s="4" t="n">
        <v>12</v>
      </c>
      <c r="G203" s="4">
        <f>SUM(D203:F203)</f>
        <v/>
      </c>
      <c r="H203" s="5" t="n">
        <v>0</v>
      </c>
      <c r="I203" s="5" t="n">
        <v>1407.56</v>
      </c>
      <c r="J203" s="5" t="n">
        <v>943.64</v>
      </c>
      <c r="K203" s="5">
        <f>SUM(H203:J203)</f>
        <v/>
      </c>
      <c r="L203" s="6">
        <f>IF($K$622=0,0,K203/$K$622)</f>
        <v/>
      </c>
      <c r="M203" s="6">
        <f>M202+L203</f>
        <v/>
      </c>
      <c r="N203" s="9">
        <f>IF(M203&lt;=0.8,"A",IF(M203&lt;=0.95,"B","C"))</f>
        <v/>
      </c>
    </row>
    <row r="204">
      <c r="A204" s="2" t="n">
        <v>203</v>
      </c>
      <c r="B204" s="2" t="inlineStr">
        <is>
          <t>214585</t>
        </is>
      </c>
      <c r="C204" s="2" t="inlineStr">
        <is>
          <t>MANGUITO PROTECAO UV - 15002 - LUPO - PRETO - M</t>
        </is>
      </c>
      <c r="D204" s="4" t="n">
        <v>0</v>
      </c>
      <c r="E204" s="4" t="n">
        <v>17</v>
      </c>
      <c r="F204" s="4" t="n">
        <v>28</v>
      </c>
      <c r="G204" s="4">
        <f>SUM(D204:F204)</f>
        <v/>
      </c>
      <c r="H204" s="5" t="n">
        <v>0</v>
      </c>
      <c r="I204" s="5" t="n">
        <v>921.9</v>
      </c>
      <c r="J204" s="5" t="n">
        <v>1387.7</v>
      </c>
      <c r="K204" s="5">
        <f>SUM(H204:J204)</f>
        <v/>
      </c>
      <c r="L204" s="6">
        <f>IF($K$622=0,0,K204/$K$622)</f>
        <v/>
      </c>
      <c r="M204" s="6">
        <f>M203+L204</f>
        <v/>
      </c>
      <c r="N204" s="9">
        <f>IF(M204&lt;=0.8,"A",IF(M204&lt;=0.95,"B","C"))</f>
        <v/>
      </c>
    </row>
    <row r="205">
      <c r="A205" s="2" t="n">
        <v>204</v>
      </c>
      <c r="B205" s="2" t="inlineStr">
        <is>
          <t>215183</t>
        </is>
      </c>
      <c r="C205" s="2" t="inlineStr">
        <is>
          <t>CALCA LEG. MAX LUPO - 71053 - LUPO - AZUL MARINHO - G</t>
        </is>
      </c>
      <c r="D205" s="4" t="n">
        <v>0</v>
      </c>
      <c r="E205" s="4" t="n">
        <v>7</v>
      </c>
      <c r="F205" s="4" t="n">
        <v>6</v>
      </c>
      <c r="G205" s="4">
        <f>SUM(D205:F205)</f>
        <v/>
      </c>
      <c r="H205" s="5" t="n">
        <v>0</v>
      </c>
      <c r="I205" s="5" t="n">
        <v>1224.3</v>
      </c>
      <c r="J205" s="5" t="n">
        <v>1049.4</v>
      </c>
      <c r="K205" s="5">
        <f>SUM(H205:J205)</f>
        <v/>
      </c>
      <c r="L205" s="6">
        <f>IF($K$622=0,0,K205/$K$622)</f>
        <v/>
      </c>
      <c r="M205" s="6">
        <f>M204+L205</f>
        <v/>
      </c>
      <c r="N205" s="9">
        <f>IF(M205&lt;=0.8,"A",IF(M205&lt;=0.95,"B","C"))</f>
        <v/>
      </c>
    </row>
    <row r="206">
      <c r="A206" s="2" t="n">
        <v>205</v>
      </c>
      <c r="B206" s="2" t="inlineStr">
        <is>
          <t>213830</t>
        </is>
      </c>
      <c r="C206" s="2" t="inlineStr">
        <is>
          <t>KIT TAPETE HIG GOOD PAD 60X60 - 50 UNIDADES</t>
        </is>
      </c>
      <c r="D206" s="4" t="n">
        <v>0</v>
      </c>
      <c r="E206" s="4" t="n">
        <v>23</v>
      </c>
      <c r="F206" s="4" t="n">
        <v>14</v>
      </c>
      <c r="G206" s="4">
        <f>SUM(D206:F206)</f>
        <v/>
      </c>
      <c r="H206" s="5" t="n">
        <v>0</v>
      </c>
      <c r="I206" s="5" t="n">
        <v>1396.42</v>
      </c>
      <c r="J206" s="5" t="n">
        <v>866.46</v>
      </c>
      <c r="K206" s="5">
        <f>SUM(H206:J206)</f>
        <v/>
      </c>
      <c r="L206" s="6">
        <f>IF($K$622=0,0,K206/$K$622)</f>
        <v/>
      </c>
      <c r="M206" s="6">
        <f>M205+L206</f>
        <v/>
      </c>
      <c r="N206" s="9">
        <f>IF(M206&lt;=0.8,"A",IF(M206&lt;=0.95,"B","C"))</f>
        <v/>
      </c>
    </row>
    <row r="207">
      <c r="A207" s="2" t="n">
        <v>206</v>
      </c>
      <c r="B207" s="2" t="inlineStr">
        <is>
          <t>0794</t>
        </is>
      </c>
      <c r="C207" s="2" t="inlineStr">
        <is>
          <t>Tapete Higiênico Good Pad 90un 80x60 Kit 3 Cães</t>
        </is>
      </c>
      <c r="D207" s="4" t="n">
        <v>0</v>
      </c>
      <c r="E207" s="4" t="n">
        <v>15</v>
      </c>
      <c r="F207" s="4" t="n">
        <v>1</v>
      </c>
      <c r="G207" s="4">
        <f>SUM(D207:F207)</f>
        <v/>
      </c>
      <c r="H207" s="5" t="n">
        <v>0</v>
      </c>
      <c r="I207" s="5" t="n">
        <v>2115.15</v>
      </c>
      <c r="J207" s="5" t="n">
        <v>141.01</v>
      </c>
      <c r="K207" s="5">
        <f>SUM(H207:J207)</f>
        <v/>
      </c>
      <c r="L207" s="6">
        <f>IF($K$622=0,0,K207/$K$622)</f>
        <v/>
      </c>
      <c r="M207" s="6">
        <f>M206+L207</f>
        <v/>
      </c>
      <c r="N207" s="9">
        <f>IF(M207&lt;=0.8,"A",IF(M207&lt;=0.95,"B","C"))</f>
        <v/>
      </c>
    </row>
    <row r="208">
      <c r="A208" s="2" t="n">
        <v>207</v>
      </c>
      <c r="B208" s="2" t="inlineStr">
        <is>
          <t>213272</t>
        </is>
      </c>
      <c r="C208" s="2" t="inlineStr">
        <is>
          <t>AMINOMIX GOLD 500G</t>
        </is>
      </c>
      <c r="D208" s="4" t="n">
        <v>0</v>
      </c>
      <c r="E208" s="4" t="n">
        <v>6</v>
      </c>
      <c r="F208" s="4" t="n">
        <v>9</v>
      </c>
      <c r="G208" s="4">
        <f>SUM(D208:F208)</f>
        <v/>
      </c>
      <c r="H208" s="5" t="n">
        <v>0</v>
      </c>
      <c r="I208" s="5" t="n">
        <v>899.4</v>
      </c>
      <c r="J208" s="5" t="n">
        <v>1349.1</v>
      </c>
      <c r="K208" s="5">
        <f>SUM(H208:J208)</f>
        <v/>
      </c>
      <c r="L208" s="6">
        <f>IF($K$622=0,0,K208/$K$622)</f>
        <v/>
      </c>
      <c r="M208" s="6">
        <f>M207+L208</f>
        <v/>
      </c>
      <c r="N208" s="9">
        <f>IF(M208&lt;=0.8,"A",IF(M208&lt;=0.95,"B","C"))</f>
        <v/>
      </c>
    </row>
    <row r="209">
      <c r="A209" s="2" t="n">
        <v>208</v>
      </c>
      <c r="B209" s="2" t="inlineStr">
        <is>
          <t>215941</t>
        </is>
      </c>
      <c r="C209" s="2" t="inlineStr">
        <is>
          <t>KIT POTE DE VIDRO MARMITA - 370ML - AZUL - 3 POTES</t>
        </is>
      </c>
      <c r="D209" s="4" t="n">
        <v>0</v>
      </c>
      <c r="E209" s="4" t="n">
        <v>19</v>
      </c>
      <c r="F209" s="4" t="n">
        <v>9</v>
      </c>
      <c r="G209" s="4">
        <f>SUM(D209:F209)</f>
        <v/>
      </c>
      <c r="H209" s="5" t="n">
        <v>0</v>
      </c>
      <c r="I209" s="5" t="n">
        <v>1518.1</v>
      </c>
      <c r="J209" s="5" t="n">
        <v>719.1</v>
      </c>
      <c r="K209" s="5">
        <f>SUM(H209:J209)</f>
        <v/>
      </c>
      <c r="L209" s="6">
        <f>IF($K$622=0,0,K209/$K$622)</f>
        <v/>
      </c>
      <c r="M209" s="6">
        <f>M208+L209</f>
        <v/>
      </c>
      <c r="N209" s="9">
        <f>IF(M209&lt;=0.8,"A",IF(M209&lt;=0.95,"B","C"))</f>
        <v/>
      </c>
    </row>
    <row r="210">
      <c r="A210" s="2" t="n">
        <v>209</v>
      </c>
      <c r="B210" s="2" t="inlineStr">
        <is>
          <t>216020</t>
        </is>
      </c>
      <c r="C210" s="2" t="inlineStr">
        <is>
          <t>KIT POTE DE VIDRO MARMITA - 1040ML - SORTIDO - 2 POTES</t>
        </is>
      </c>
      <c r="D210" s="4" t="n">
        <v>0</v>
      </c>
      <c r="E210" s="4" t="n">
        <v>0</v>
      </c>
      <c r="F210" s="4" t="n">
        <v>32</v>
      </c>
      <c r="G210" s="4">
        <f>SUM(D210:F210)</f>
        <v/>
      </c>
      <c r="H210" s="5" t="n">
        <v>0</v>
      </c>
      <c r="I210" s="5" t="n">
        <v>0</v>
      </c>
      <c r="J210" s="5" t="n">
        <v>2236.8</v>
      </c>
      <c r="K210" s="5">
        <f>SUM(H210:J210)</f>
        <v/>
      </c>
      <c r="L210" s="6">
        <f>IF($K$622=0,0,K210/$K$622)</f>
        <v/>
      </c>
      <c r="M210" s="6">
        <f>M209+L210</f>
        <v/>
      </c>
      <c r="N210" s="9">
        <f>IF(M210&lt;=0.8,"A",IF(M210&lt;=0.95,"B","C"))</f>
        <v/>
      </c>
    </row>
    <row r="211">
      <c r="A211" s="2" t="n">
        <v>210</v>
      </c>
      <c r="B211" s="2" t="inlineStr">
        <is>
          <t>214032</t>
        </is>
      </c>
      <c r="C211" s="2" t="inlineStr">
        <is>
          <t>ESCORREDOR DE LOUÇA - MODELO 3 - 42X29X29CM</t>
        </is>
      </c>
      <c r="D211" s="4" t="n">
        <v>0</v>
      </c>
      <c r="E211" s="4" t="n">
        <v>1</v>
      </c>
      <c r="F211" s="4" t="n">
        <v>26</v>
      </c>
      <c r="G211" s="4">
        <f>SUM(D211:F211)</f>
        <v/>
      </c>
      <c r="H211" s="5" t="n">
        <v>0</v>
      </c>
      <c r="I211" s="5" t="n">
        <v>154.9</v>
      </c>
      <c r="J211" s="5" t="n">
        <v>2077.32</v>
      </c>
      <c r="K211" s="5">
        <f>SUM(H211:J211)</f>
        <v/>
      </c>
      <c r="L211" s="6">
        <f>IF($K$622=0,0,K211/$K$622)</f>
        <v/>
      </c>
      <c r="M211" s="6">
        <f>M210+L211</f>
        <v/>
      </c>
      <c r="N211" s="9">
        <f>IF(M211&lt;=0.8,"A",IF(M211&lt;=0.95,"B","C"))</f>
        <v/>
      </c>
    </row>
    <row r="212">
      <c r="A212" s="2" t="n">
        <v>211</v>
      </c>
      <c r="B212" s="2" t="inlineStr">
        <is>
          <t>214260</t>
        </is>
      </c>
      <c r="C212" s="2" t="inlineStr">
        <is>
          <t>CALCA LEG. MAX LUPO - 71053 - LUPO - CHOCOLATE - P</t>
        </is>
      </c>
      <c r="D212" s="4" t="n">
        <v>0</v>
      </c>
      <c r="E212" s="4" t="n">
        <v>8</v>
      </c>
      <c r="F212" s="4" t="n">
        <v>4</v>
      </c>
      <c r="G212" s="4">
        <f>SUM(D212:F212)</f>
        <v/>
      </c>
      <c r="H212" s="5" t="n">
        <v>0</v>
      </c>
      <c r="I212" s="5" t="n">
        <v>1389.2</v>
      </c>
      <c r="J212" s="5" t="n">
        <v>769.6</v>
      </c>
      <c r="K212" s="5">
        <f>SUM(H212:J212)</f>
        <v/>
      </c>
      <c r="L212" s="6">
        <f>IF($K$622=0,0,K212/$K$622)</f>
        <v/>
      </c>
      <c r="M212" s="6">
        <f>M211+L212</f>
        <v/>
      </c>
      <c r="N212" s="9">
        <f>IF(M212&lt;=0.8,"A",IF(M212&lt;=0.95,"B","C"))</f>
        <v/>
      </c>
    </row>
    <row r="213">
      <c r="A213" s="2" t="n">
        <v>212</v>
      </c>
      <c r="B213" s="2" t="inlineStr">
        <is>
          <t>213977</t>
        </is>
      </c>
      <c r="C213" s="2" t="inlineStr">
        <is>
          <t>KIT POTE DE VIDRO MARMITA - 1040ML - SORTIDO - 2 POTES</t>
        </is>
      </c>
      <c r="D213" s="4" t="n">
        <v>0</v>
      </c>
      <c r="E213" s="4" t="n">
        <v>34</v>
      </c>
      <c r="F213" s="4" t="n">
        <v>6</v>
      </c>
      <c r="G213" s="4">
        <f>SUM(D213:F213)</f>
        <v/>
      </c>
      <c r="H213" s="5" t="n">
        <v>0</v>
      </c>
      <c r="I213" s="5" t="n">
        <v>1915.8</v>
      </c>
      <c r="J213" s="5" t="n">
        <v>239.4</v>
      </c>
      <c r="K213" s="5">
        <f>SUM(H213:J213)</f>
        <v/>
      </c>
      <c r="L213" s="6">
        <f>IF($K$622=0,0,K213/$K$622)</f>
        <v/>
      </c>
      <c r="M213" s="6">
        <f>M212+L213</f>
        <v/>
      </c>
      <c r="N213" s="9">
        <f>IF(M213&lt;=0.8,"A",IF(M213&lt;=0.95,"B","C"))</f>
        <v/>
      </c>
    </row>
    <row r="214">
      <c r="A214" s="2" t="n">
        <v>213</v>
      </c>
      <c r="B214" s="2" t="inlineStr">
        <is>
          <t>213173</t>
        </is>
      </c>
      <c r="C214" s="2" t="inlineStr">
        <is>
          <t>TAPETE HIG SHOPITO AROMA BEBE 80X60CM 30UN</t>
        </is>
      </c>
      <c r="D214" s="4" t="n">
        <v>0</v>
      </c>
      <c r="E214" s="4" t="n">
        <v>20</v>
      </c>
      <c r="F214" s="4" t="n">
        <v>13</v>
      </c>
      <c r="G214" s="4">
        <f>SUM(D214:F214)</f>
        <v/>
      </c>
      <c r="H214" s="5" t="n">
        <v>0</v>
      </c>
      <c r="I214" s="5" t="n">
        <v>1298</v>
      </c>
      <c r="J214" s="5" t="n">
        <v>843.7</v>
      </c>
      <c r="K214" s="5">
        <f>SUM(H214:J214)</f>
        <v/>
      </c>
      <c r="L214" s="6">
        <f>IF($K$622=0,0,K214/$K$622)</f>
        <v/>
      </c>
      <c r="M214" s="6">
        <f>M213+L214</f>
        <v/>
      </c>
      <c r="N214" s="9">
        <f>IF(M214&lt;=0.8,"A",IF(M214&lt;=0.95,"B","C"))</f>
        <v/>
      </c>
    </row>
    <row r="215">
      <c r="A215" s="2" t="n">
        <v>214</v>
      </c>
      <c r="B215" s="2" t="inlineStr">
        <is>
          <t>213837</t>
        </is>
      </c>
      <c r="C215" s="2" t="inlineStr">
        <is>
          <t>KIT TAPETE HIG GOOD PAD 60X60 - 500 UNIDADES</t>
        </is>
      </c>
      <c r="D215" s="4" t="n">
        <v>0</v>
      </c>
      <c r="E215" s="4" t="n">
        <v>2</v>
      </c>
      <c r="F215" s="4" t="n">
        <v>2</v>
      </c>
      <c r="G215" s="4">
        <f>SUM(D215:F215)</f>
        <v/>
      </c>
      <c r="H215" s="5" t="n">
        <v>0</v>
      </c>
      <c r="I215" s="5" t="n">
        <v>1056</v>
      </c>
      <c r="J215" s="5" t="n">
        <v>1056</v>
      </c>
      <c r="K215" s="5">
        <f>SUM(H215:J215)</f>
        <v/>
      </c>
      <c r="L215" s="6">
        <f>IF($K$622=0,0,K215/$K$622)</f>
        <v/>
      </c>
      <c r="M215" s="6">
        <f>M214+L215</f>
        <v/>
      </c>
      <c r="N215" s="9">
        <f>IF(M215&lt;=0.8,"A",IF(M215&lt;=0.95,"B","C"))</f>
        <v/>
      </c>
    </row>
    <row r="216">
      <c r="A216" s="2" t="n">
        <v>215</v>
      </c>
      <c r="B216" s="2" t="inlineStr">
        <is>
          <t>215973</t>
        </is>
      </c>
      <c r="C216" s="2" t="inlineStr">
        <is>
          <t>KIT POTE DE VIDRO MARMITA - 640ML - AZUL - 3 POTES</t>
        </is>
      </c>
      <c r="D216" s="4" t="n">
        <v>0</v>
      </c>
      <c r="E216" s="4" t="n">
        <v>21</v>
      </c>
      <c r="F216" s="4" t="n">
        <v>0</v>
      </c>
      <c r="G216" s="4">
        <f>SUM(D216:F216)</f>
        <v/>
      </c>
      <c r="H216" s="5" t="n">
        <v>0</v>
      </c>
      <c r="I216" s="5" t="n">
        <v>2097.9</v>
      </c>
      <c r="J216" s="5" t="n">
        <v>0</v>
      </c>
      <c r="K216" s="5">
        <f>SUM(H216:J216)</f>
        <v/>
      </c>
      <c r="L216" s="6">
        <f>IF($K$622=0,0,K216/$K$622)</f>
        <v/>
      </c>
      <c r="M216" s="6">
        <f>M215+L216</f>
        <v/>
      </c>
      <c r="N216" s="9">
        <f>IF(M216&lt;=0.8,"A",IF(M216&lt;=0.95,"B","C"))</f>
        <v/>
      </c>
    </row>
    <row r="217">
      <c r="A217" s="2" t="n">
        <v>216</v>
      </c>
      <c r="B217" s="2" t="inlineStr">
        <is>
          <t>214813</t>
        </is>
      </c>
      <c r="C217" s="2" t="inlineStr">
        <is>
          <t>KIT POTE DE VIDRO C/ TAMPA DE BAMBU - 300ML - 3 UNIDADES</t>
        </is>
      </c>
      <c r="D217" s="4" t="n">
        <v>0</v>
      </c>
      <c r="E217" s="4" t="n">
        <v>2</v>
      </c>
      <c r="F217" s="4" t="n">
        <v>54</v>
      </c>
      <c r="G217" s="4">
        <f>SUM(D217:F217)</f>
        <v/>
      </c>
      <c r="H217" s="5" t="n">
        <v>0</v>
      </c>
      <c r="I217" s="5" t="n">
        <v>139.8</v>
      </c>
      <c r="J217" s="5" t="n">
        <v>1874.43</v>
      </c>
      <c r="K217" s="5">
        <f>SUM(H217:J217)</f>
        <v/>
      </c>
      <c r="L217" s="6">
        <f>IF($K$622=0,0,K217/$K$622)</f>
        <v/>
      </c>
      <c r="M217" s="6">
        <f>M216+L217</f>
        <v/>
      </c>
      <c r="N217" s="9">
        <f>IF(M217&lt;=0.8,"A",IF(M217&lt;=0.95,"B","C"))</f>
        <v/>
      </c>
    </row>
    <row r="218">
      <c r="A218" s="2" t="n">
        <v>217</v>
      </c>
      <c r="B218" s="2" t="inlineStr">
        <is>
          <t>214038</t>
        </is>
      </c>
      <c r="C218" s="2" t="inlineStr">
        <is>
          <t>KIT CANNIS GLOBULIN POLIVALENTE SORO 5ML DECHRA - 6 UNIDADES</t>
        </is>
      </c>
      <c r="D218" s="4" t="n">
        <v>0</v>
      </c>
      <c r="E218" s="4" t="n">
        <v>3</v>
      </c>
      <c r="F218" s="4" t="n">
        <v>3</v>
      </c>
      <c r="G218" s="4">
        <f>SUM(D218:F218)</f>
        <v/>
      </c>
      <c r="H218" s="5" t="n">
        <v>0</v>
      </c>
      <c r="I218" s="5" t="n">
        <v>989.7</v>
      </c>
      <c r="J218" s="5" t="n">
        <v>989.7</v>
      </c>
      <c r="K218" s="5">
        <f>SUM(H218:J218)</f>
        <v/>
      </c>
      <c r="L218" s="6">
        <f>IF($K$622=0,0,K218/$K$622)</f>
        <v/>
      </c>
      <c r="M218" s="6">
        <f>M217+L218</f>
        <v/>
      </c>
      <c r="N218" s="9">
        <f>IF(M218&lt;=0.8,"A",IF(M218&lt;=0.95,"B","C"))</f>
        <v/>
      </c>
    </row>
    <row r="219">
      <c r="A219" s="2" t="n">
        <v>218</v>
      </c>
      <c r="B219" s="2" t="inlineStr">
        <is>
          <t>212960</t>
        </is>
      </c>
      <c r="C219" s="2" t="inlineStr">
        <is>
          <t>TAPETE HIG GOOD PAD 60X60 30UN</t>
        </is>
      </c>
      <c r="D219" s="4" t="n">
        <v>0</v>
      </c>
      <c r="E219" s="4" t="n">
        <v>28</v>
      </c>
      <c r="F219" s="4" t="n">
        <v>20</v>
      </c>
      <c r="G219" s="4">
        <f>SUM(D219:F219)</f>
        <v/>
      </c>
      <c r="H219" s="5" t="n">
        <v>0</v>
      </c>
      <c r="I219" s="5" t="n">
        <v>1153.2</v>
      </c>
      <c r="J219" s="5" t="n">
        <v>816.42</v>
      </c>
      <c r="K219" s="5">
        <f>SUM(H219:J219)</f>
        <v/>
      </c>
      <c r="L219" s="6">
        <f>IF($K$622=0,0,K219/$K$622)</f>
        <v/>
      </c>
      <c r="M219" s="6">
        <f>M218+L219</f>
        <v/>
      </c>
      <c r="N219" s="9">
        <f>IF(M219&lt;=0.8,"A",IF(M219&lt;=0.95,"B","C"))</f>
        <v/>
      </c>
    </row>
    <row r="220">
      <c r="A220" s="2" t="n">
        <v>219</v>
      </c>
      <c r="B220" s="2" t="inlineStr">
        <is>
          <t>215222</t>
        </is>
      </c>
      <c r="C220" s="2" t="inlineStr">
        <is>
          <t>CALCA LEG. MAX LUPO - 71053 - LUPO - PURPLE - G</t>
        </is>
      </c>
      <c r="D220" s="4" t="n">
        <v>0</v>
      </c>
      <c r="E220" s="4" t="n">
        <v>3</v>
      </c>
      <c r="F220" s="4" t="n">
        <v>8</v>
      </c>
      <c r="G220" s="4">
        <f>SUM(D220:F220)</f>
        <v/>
      </c>
      <c r="H220" s="5" t="n">
        <v>0</v>
      </c>
      <c r="I220" s="5" t="n">
        <v>514.7</v>
      </c>
      <c r="J220" s="5" t="n">
        <v>1364.2</v>
      </c>
      <c r="K220" s="5">
        <f>SUM(H220:J220)</f>
        <v/>
      </c>
      <c r="L220" s="6">
        <f>IF($K$622=0,0,K220/$K$622)</f>
        <v/>
      </c>
      <c r="M220" s="6">
        <f>M219+L220</f>
        <v/>
      </c>
      <c r="N220" s="9">
        <f>IF(M220&lt;=0.8,"A",IF(M220&lt;=0.95,"B","C"))</f>
        <v/>
      </c>
    </row>
    <row r="221">
      <c r="A221" s="2" t="n">
        <v>220</v>
      </c>
      <c r="B221" s="2" t="inlineStr">
        <is>
          <t>215817</t>
        </is>
      </c>
      <c r="C221" s="2" t="inlineStr">
        <is>
          <t>KIT POTE DE VIDRO MARMITA - 370ML - SORTIDO - 2 POTE</t>
        </is>
      </c>
      <c r="D221" s="4" t="n">
        <v>0</v>
      </c>
      <c r="E221" s="4" t="n">
        <v>38</v>
      </c>
      <c r="F221" s="4" t="n">
        <v>0</v>
      </c>
      <c r="G221" s="4">
        <f>SUM(D221:F221)</f>
        <v/>
      </c>
      <c r="H221" s="5" t="n">
        <v>0</v>
      </c>
      <c r="I221" s="5" t="n">
        <v>1876.2</v>
      </c>
      <c r="J221" s="5" t="n">
        <v>0</v>
      </c>
      <c r="K221" s="5">
        <f>SUM(H221:J221)</f>
        <v/>
      </c>
      <c r="L221" s="6">
        <f>IF($K$622=0,0,K221/$K$622)</f>
        <v/>
      </c>
      <c r="M221" s="6">
        <f>M220+L221</f>
        <v/>
      </c>
      <c r="N221" s="9">
        <f>IF(M221&lt;=0.8,"A",IF(M221&lt;=0.95,"B","C"))</f>
        <v/>
      </c>
    </row>
    <row r="222">
      <c r="A222" s="2" t="n">
        <v>221</v>
      </c>
      <c r="B222" s="2" t="inlineStr">
        <is>
          <t>CHALEIRA-INOX-220V</t>
        </is>
      </c>
      <c r="C222" s="2" t="inlineStr">
        <is>
          <t>220V</t>
        </is>
      </c>
      <c r="D222" s="4" t="n">
        <v>0</v>
      </c>
      <c r="E222" s="4" t="n">
        <v>0</v>
      </c>
      <c r="F222" s="4" t="n">
        <v>23</v>
      </c>
      <c r="G222" s="4">
        <f>SUM(D222:F222)</f>
        <v/>
      </c>
      <c r="H222" s="5" t="n">
        <v>0</v>
      </c>
      <c r="I222" s="5" t="n">
        <v>0</v>
      </c>
      <c r="J222" s="5" t="n">
        <v>1837.7</v>
      </c>
      <c r="K222" s="5">
        <f>SUM(H222:J222)</f>
        <v/>
      </c>
      <c r="L222" s="6">
        <f>IF($K$622=0,0,K222/$K$622)</f>
        <v/>
      </c>
      <c r="M222" s="6">
        <f>M221+L222</f>
        <v/>
      </c>
      <c r="N222" s="9">
        <f>IF(M222&lt;=0.8,"A",IF(M222&lt;=0.95,"B","C"))</f>
        <v/>
      </c>
    </row>
    <row r="223">
      <c r="A223" s="2" t="n">
        <v>222</v>
      </c>
      <c r="B223" s="2" t="inlineStr">
        <is>
          <t>215113</t>
        </is>
      </c>
      <c r="C223" s="2" t="inlineStr">
        <is>
          <t>SHORT LSPORT BASIC - 71348 - LUPO - P - PRETO</t>
        </is>
      </c>
      <c r="D223" s="4" t="n">
        <v>0</v>
      </c>
      <c r="E223" s="4" t="n">
        <v>5</v>
      </c>
      <c r="F223" s="4" t="n">
        <v>18</v>
      </c>
      <c r="G223" s="4">
        <f>SUM(D223:F223)</f>
        <v/>
      </c>
      <c r="H223" s="5" t="n">
        <v>0</v>
      </c>
      <c r="I223" s="5" t="n">
        <v>390.55</v>
      </c>
      <c r="J223" s="5" t="n">
        <v>1409.93</v>
      </c>
      <c r="K223" s="5">
        <f>SUM(H223:J223)</f>
        <v/>
      </c>
      <c r="L223" s="6">
        <f>IF($K$622=0,0,K223/$K$622)</f>
        <v/>
      </c>
      <c r="M223" s="6">
        <f>M222+L223</f>
        <v/>
      </c>
      <c r="N223" s="9">
        <f>IF(M223&lt;=0.8,"A",IF(M223&lt;=0.95,"B","C"))</f>
        <v/>
      </c>
    </row>
    <row r="224">
      <c r="A224" s="2" t="n">
        <v>223</v>
      </c>
      <c r="B224" s="2" t="inlineStr">
        <is>
          <t>214575</t>
        </is>
      </c>
      <c r="C224" s="2" t="inlineStr">
        <is>
          <t>KIT CUECAS BOXER MICROFIBRA - 000436-088 - LUPO - G - 46 A 48 - PRETO/BRANCO - 10 UNIDADES (5 PACOTES)</t>
        </is>
      </c>
      <c r="D224" s="4" t="n">
        <v>0</v>
      </c>
      <c r="E224" s="4" t="n">
        <v>2</v>
      </c>
      <c r="F224" s="4" t="n">
        <v>4</v>
      </c>
      <c r="G224" s="4">
        <f>SUM(D224:F224)</f>
        <v/>
      </c>
      <c r="H224" s="5" t="n">
        <v>0</v>
      </c>
      <c r="I224" s="5" t="n">
        <v>599.8</v>
      </c>
      <c r="J224" s="5" t="n">
        <v>1199.6</v>
      </c>
      <c r="K224" s="5">
        <f>SUM(H224:J224)</f>
        <v/>
      </c>
      <c r="L224" s="6">
        <f>IF($K$622=0,0,K224/$K$622)</f>
        <v/>
      </c>
      <c r="M224" s="6">
        <f>M223+L224</f>
        <v/>
      </c>
      <c r="N224" s="9">
        <f>IF(M224&lt;=0.8,"A",IF(M224&lt;=0.95,"B","C"))</f>
        <v/>
      </c>
    </row>
    <row r="225">
      <c r="A225" s="2" t="n">
        <v>224</v>
      </c>
      <c r="B225" s="2" t="inlineStr">
        <is>
          <t>213560</t>
        </is>
      </c>
      <c r="C225" s="2" t="inlineStr">
        <is>
          <t>FORTH ROSA DO DESERTO FERTILIZANTE  - 3KG</t>
        </is>
      </c>
      <c r="D225" s="4" t="n">
        <v>0</v>
      </c>
      <c r="E225" s="4" t="n">
        <v>12</v>
      </c>
      <c r="F225" s="4" t="n">
        <v>18</v>
      </c>
      <c r="G225" s="4">
        <f>SUM(D225:F225)</f>
        <v/>
      </c>
      <c r="H225" s="5" t="n">
        <v>0</v>
      </c>
      <c r="I225" s="5" t="n">
        <v>715.2</v>
      </c>
      <c r="J225" s="5" t="n">
        <v>1072.8</v>
      </c>
      <c r="K225" s="5">
        <f>SUM(H225:J225)</f>
        <v/>
      </c>
      <c r="L225" s="6">
        <f>IF($K$622=0,0,K225/$K$622)</f>
        <v/>
      </c>
      <c r="M225" s="6">
        <f>M224+L225</f>
        <v/>
      </c>
      <c r="N225" s="9">
        <f>IF(M225&lt;=0.8,"A",IF(M225&lt;=0.95,"B","C"))</f>
        <v/>
      </c>
    </row>
    <row r="226">
      <c r="A226" s="2" t="n">
        <v>225</v>
      </c>
      <c r="B226" s="2" t="inlineStr">
        <is>
          <t>214577</t>
        </is>
      </c>
      <c r="C226" s="2" t="inlineStr">
        <is>
          <t>KIT CUECAS BOXER MICROFIBRA - 000436-088 - LUPO - G - 46 A 48 - PRETO/VINHO - 10 UNIDADES (5 PACOTES)</t>
        </is>
      </c>
      <c r="D226" s="4" t="n">
        <v>0</v>
      </c>
      <c r="E226" s="4" t="n">
        <v>6</v>
      </c>
      <c r="F226" s="4" t="n">
        <v>2</v>
      </c>
      <c r="G226" s="4">
        <f>SUM(D226:F226)</f>
        <v/>
      </c>
      <c r="H226" s="5" t="n">
        <v>0</v>
      </c>
      <c r="I226" s="5" t="n">
        <v>1301.4</v>
      </c>
      <c r="J226" s="5" t="n">
        <v>433.8</v>
      </c>
      <c r="K226" s="5">
        <f>SUM(H226:J226)</f>
        <v/>
      </c>
      <c r="L226" s="6">
        <f>IF($K$622=0,0,K226/$K$622)</f>
        <v/>
      </c>
      <c r="M226" s="6">
        <f>M225+L226</f>
        <v/>
      </c>
      <c r="N226" s="9">
        <f>IF(M226&lt;=0.8,"A",IF(M226&lt;=0.95,"B","C"))</f>
        <v/>
      </c>
    </row>
    <row r="227">
      <c r="A227" s="2" t="n">
        <v>226</v>
      </c>
      <c r="B227" s="2" t="inlineStr">
        <is>
          <t>214929</t>
        </is>
      </c>
      <c r="C227" s="2" t="inlineStr">
        <is>
          <t>VETORYL C/30 COMPRIMIDOS - 30MG</t>
        </is>
      </c>
      <c r="D227" s="4" t="n">
        <v>0</v>
      </c>
      <c r="E227" s="4" t="n">
        <v>4</v>
      </c>
      <c r="F227" s="4" t="n">
        <v>0</v>
      </c>
      <c r="G227" s="4">
        <f>SUM(D227:F227)</f>
        <v/>
      </c>
      <c r="H227" s="5" t="n">
        <v>0</v>
      </c>
      <c r="I227" s="5" t="n">
        <v>1718.6</v>
      </c>
      <c r="J227" s="5" t="n">
        <v>0</v>
      </c>
      <c r="K227" s="5">
        <f>SUM(H227:J227)</f>
        <v/>
      </c>
      <c r="L227" s="6">
        <f>IF($K$622=0,0,K227/$K$622)</f>
        <v/>
      </c>
      <c r="M227" s="6">
        <f>M226+L227</f>
        <v/>
      </c>
      <c r="N227" s="9">
        <f>IF(M227&lt;=0.8,"A",IF(M227&lt;=0.95,"B","C"))</f>
        <v/>
      </c>
    </row>
    <row r="228">
      <c r="A228" s="2" t="n">
        <v>227</v>
      </c>
      <c r="B228" s="2" t="inlineStr">
        <is>
          <t>214474</t>
        </is>
      </c>
      <c r="C228" s="2" t="inlineStr">
        <is>
          <t>SHORT ATTACK - 71144-001 - LUPO  - P - PRETO</t>
        </is>
      </c>
      <c r="D228" s="4" t="n">
        <v>0</v>
      </c>
      <c r="E228" s="4" t="n">
        <v>5</v>
      </c>
      <c r="F228" s="4" t="n">
        <v>16</v>
      </c>
      <c r="G228" s="4">
        <f>SUM(D228:F228)</f>
        <v/>
      </c>
      <c r="H228" s="5" t="n">
        <v>0</v>
      </c>
      <c r="I228" s="5" t="n">
        <v>399.5</v>
      </c>
      <c r="J228" s="5" t="n">
        <v>1308.4</v>
      </c>
      <c r="K228" s="5">
        <f>SUM(H228:J228)</f>
        <v/>
      </c>
      <c r="L228" s="6">
        <f>IF($K$622=0,0,K228/$K$622)</f>
        <v/>
      </c>
      <c r="M228" s="6">
        <f>M227+L228</f>
        <v/>
      </c>
      <c r="N228" s="9">
        <f>IF(M228&lt;=0.8,"A",IF(M228&lt;=0.95,"B","C"))</f>
        <v/>
      </c>
    </row>
    <row r="229">
      <c r="A229" s="2" t="n">
        <v>228</v>
      </c>
      <c r="B229" s="2" t="inlineStr">
        <is>
          <t>214008</t>
        </is>
      </c>
      <c r="C229" s="2" t="inlineStr">
        <is>
          <t>KIT CABIDE DE VELUDO - BRANCO - 20</t>
        </is>
      </c>
      <c r="D229" s="4" t="n">
        <v>0</v>
      </c>
      <c r="E229" s="4" t="n">
        <v>0</v>
      </c>
      <c r="F229" s="4" t="n">
        <v>21</v>
      </c>
      <c r="G229" s="4">
        <f>SUM(D229:F229)</f>
        <v/>
      </c>
      <c r="H229" s="5" t="n">
        <v>0</v>
      </c>
      <c r="I229" s="5" t="n">
        <v>0</v>
      </c>
      <c r="J229" s="5" t="n">
        <v>1690.03</v>
      </c>
      <c r="K229" s="5">
        <f>SUM(H229:J229)</f>
        <v/>
      </c>
      <c r="L229" s="6">
        <f>IF($K$622=0,0,K229/$K$622)</f>
        <v/>
      </c>
      <c r="M229" s="6">
        <f>M228+L229</f>
        <v/>
      </c>
      <c r="N229" s="9">
        <f>IF(M229&lt;=0.8,"A",IF(M229&lt;=0.95,"B","C"))</f>
        <v/>
      </c>
    </row>
    <row r="230">
      <c r="A230" s="2" t="n">
        <v>229</v>
      </c>
      <c r="B230" s="2" t="inlineStr">
        <is>
          <t>215820</t>
        </is>
      </c>
      <c r="C230" s="2" t="inlineStr">
        <is>
          <t>KIT POTE DE VIDRO MARMITA - 640ML - SORTIDO - 4 POTES</t>
        </is>
      </c>
      <c r="D230" s="4" t="n">
        <v>0</v>
      </c>
      <c r="E230" s="4" t="n">
        <v>21</v>
      </c>
      <c r="F230" s="4" t="n">
        <v>0</v>
      </c>
      <c r="G230" s="4">
        <f>SUM(D230:F230)</f>
        <v/>
      </c>
      <c r="H230" s="5" t="n">
        <v>0</v>
      </c>
      <c r="I230" s="5" t="n">
        <v>1677.9</v>
      </c>
      <c r="J230" s="5" t="n">
        <v>0</v>
      </c>
      <c r="K230" s="5">
        <f>SUM(H230:J230)</f>
        <v/>
      </c>
      <c r="L230" s="6">
        <f>IF($K$622=0,0,K230/$K$622)</f>
        <v/>
      </c>
      <c r="M230" s="6">
        <f>M229+L230</f>
        <v/>
      </c>
      <c r="N230" s="9">
        <f>IF(M230&lt;=0.8,"A",IF(M230&lt;=0.95,"B","C"))</f>
        <v/>
      </c>
    </row>
    <row r="231">
      <c r="A231" s="2" t="n">
        <v>230</v>
      </c>
      <c r="B231" s="2" t="inlineStr">
        <is>
          <t>BOMBA-200L-110V</t>
        </is>
      </c>
      <c r="C231" s="2" t="inlineStr">
        <is>
          <t>110V</t>
        </is>
      </c>
      <c r="D231" s="4" t="n">
        <v>0</v>
      </c>
      <c r="E231" s="4" t="n">
        <v>2</v>
      </c>
      <c r="F231" s="4" t="n">
        <v>19</v>
      </c>
      <c r="G231" s="4">
        <f>SUM(D231:F231)</f>
        <v/>
      </c>
      <c r="H231" s="5" t="n">
        <v>0</v>
      </c>
      <c r="I231" s="5" t="n">
        <v>159.8</v>
      </c>
      <c r="J231" s="5" t="n">
        <v>1518.1</v>
      </c>
      <c r="K231" s="5">
        <f>SUM(H231:J231)</f>
        <v/>
      </c>
      <c r="L231" s="6">
        <f>IF($K$622=0,0,K231/$K$622)</f>
        <v/>
      </c>
      <c r="M231" s="6">
        <f>M230+L231</f>
        <v/>
      </c>
      <c r="N231" s="9">
        <f>IF(M231&lt;=0.8,"A",IF(M231&lt;=0.95,"B","C"))</f>
        <v/>
      </c>
    </row>
    <row r="232">
      <c r="A232" s="2" t="n">
        <v>231</v>
      </c>
      <c r="B232" s="2" t="inlineStr">
        <is>
          <t>KIT-50-CAB-VEL-CZ</t>
        </is>
      </c>
      <c r="C232" s="2" t="inlineStr">
        <is>
          <t>Cinza, 50 UNIDADES</t>
        </is>
      </c>
      <c r="D232" s="4" t="n">
        <v>0</v>
      </c>
      <c r="E232" s="4" t="n">
        <v>0</v>
      </c>
      <c r="F232" s="4" t="n">
        <v>17</v>
      </c>
      <c r="G232" s="4">
        <f>SUM(D232:F232)</f>
        <v/>
      </c>
      <c r="H232" s="5" t="n">
        <v>0</v>
      </c>
      <c r="I232" s="5" t="n">
        <v>0</v>
      </c>
      <c r="J232" s="5" t="n">
        <v>1661.29</v>
      </c>
      <c r="K232" s="5">
        <f>SUM(H232:J232)</f>
        <v/>
      </c>
      <c r="L232" s="6">
        <f>IF($K$622=0,0,K232/$K$622)</f>
        <v/>
      </c>
      <c r="M232" s="6">
        <f>M231+L232</f>
        <v/>
      </c>
      <c r="N232" s="9">
        <f>IF(M232&lt;=0.8,"A",IF(M232&lt;=0.95,"B","C"))</f>
        <v/>
      </c>
    </row>
    <row r="233">
      <c r="A233" s="2" t="n">
        <v>232</v>
      </c>
      <c r="B233" s="2" t="inlineStr">
        <is>
          <t>214007</t>
        </is>
      </c>
      <c r="C233" s="2" t="inlineStr">
        <is>
          <t>KIT CABIDE VELUDO PARA ROUPAS ADULTO - BEGE - 20</t>
        </is>
      </c>
      <c r="D233" s="4" t="n">
        <v>0</v>
      </c>
      <c r="E233" s="4" t="n">
        <v>16</v>
      </c>
      <c r="F233" s="4" t="n">
        <v>16</v>
      </c>
      <c r="G233" s="4">
        <f>SUM(D233:F233)</f>
        <v/>
      </c>
      <c r="H233" s="5" t="n">
        <v>0</v>
      </c>
      <c r="I233" s="5" t="n">
        <v>897.51</v>
      </c>
      <c r="J233" s="5" t="n">
        <v>748.15</v>
      </c>
      <c r="K233" s="5">
        <f>SUM(H233:J233)</f>
        <v/>
      </c>
      <c r="L233" s="6">
        <f>IF($K$622=0,0,K233/$K$622)</f>
        <v/>
      </c>
      <c r="M233" s="6">
        <f>M232+L233</f>
        <v/>
      </c>
      <c r="N233" s="9">
        <f>IF(M233&lt;=0.8,"A",IF(M233&lt;=0.95,"B","C"))</f>
        <v/>
      </c>
    </row>
    <row r="234">
      <c r="A234" s="2" t="n">
        <v>233</v>
      </c>
      <c r="B234" s="2" t="inlineStr">
        <is>
          <t>214586</t>
        </is>
      </c>
      <c r="C234" s="2" t="inlineStr">
        <is>
          <t>MANGUITO PROTECAO UV - 15002 - LUPO - PRETO - G</t>
        </is>
      </c>
      <c r="D234" s="4" t="n">
        <v>0</v>
      </c>
      <c r="E234" s="4" t="n">
        <v>8</v>
      </c>
      <c r="F234" s="4" t="n">
        <v>24</v>
      </c>
      <c r="G234" s="4">
        <f>SUM(D234:F234)</f>
        <v/>
      </c>
      <c r="H234" s="5" t="n">
        <v>0</v>
      </c>
      <c r="I234" s="5" t="n">
        <v>427.2</v>
      </c>
      <c r="J234" s="5" t="n">
        <v>1189.6</v>
      </c>
      <c r="K234" s="5">
        <f>SUM(H234:J234)</f>
        <v/>
      </c>
      <c r="L234" s="6">
        <f>IF($K$622=0,0,K234/$K$622)</f>
        <v/>
      </c>
      <c r="M234" s="6">
        <f>M233+L234</f>
        <v/>
      </c>
      <c r="N234" s="9">
        <f>IF(M234&lt;=0.8,"A",IF(M234&lt;=0.95,"B","C"))</f>
        <v/>
      </c>
    </row>
    <row r="235">
      <c r="A235" s="2" t="n">
        <v>234</v>
      </c>
      <c r="B235" s="2" t="inlineStr">
        <is>
          <t>214486</t>
        </is>
      </c>
      <c r="C235" s="2" t="inlineStr">
        <is>
          <t>KIT CABIDE PARA CALÇA C/5 DIVISORIAS - BRANCO - 10 UNIDADES</t>
        </is>
      </c>
      <c r="D235" s="4" t="n">
        <v>0</v>
      </c>
      <c r="E235" s="4" t="n">
        <v>1</v>
      </c>
      <c r="F235" s="4" t="n">
        <v>10</v>
      </c>
      <c r="G235" s="4">
        <f>SUM(D235:F235)</f>
        <v/>
      </c>
      <c r="H235" s="5" t="n">
        <v>0</v>
      </c>
      <c r="I235" s="5" t="n">
        <v>134.89</v>
      </c>
      <c r="J235" s="5" t="n">
        <v>1404.92</v>
      </c>
      <c r="K235" s="5">
        <f>SUM(H235:J235)</f>
        <v/>
      </c>
      <c r="L235" s="6">
        <f>IF($K$622=0,0,K235/$K$622)</f>
        <v/>
      </c>
      <c r="M235" s="6">
        <f>M234+L235</f>
        <v/>
      </c>
      <c r="N235" s="9">
        <f>IF(M235&lt;=0.8,"A",IF(M235&lt;=0.95,"B","C"))</f>
        <v/>
      </c>
    </row>
    <row r="236">
      <c r="A236" s="2" t="n">
        <v>235</v>
      </c>
      <c r="B236" s="2" t="inlineStr">
        <is>
          <t>216005</t>
        </is>
      </c>
      <c r="C236" s="2" t="inlineStr">
        <is>
          <t>KIT POTE DE VIDRO MARMITA - 1040ML - AZUL - 3 POTES</t>
        </is>
      </c>
      <c r="D236" s="4" t="n">
        <v>0</v>
      </c>
      <c r="E236" s="4" t="n">
        <v>14</v>
      </c>
      <c r="F236" s="4" t="n">
        <v>0</v>
      </c>
      <c r="G236" s="4">
        <f>SUM(D236:F236)</f>
        <v/>
      </c>
      <c r="H236" s="5" t="n">
        <v>0</v>
      </c>
      <c r="I236" s="5" t="n">
        <v>1538.6</v>
      </c>
      <c r="J236" s="5" t="n">
        <v>0</v>
      </c>
      <c r="K236" s="5">
        <f>SUM(H236:J236)</f>
        <v/>
      </c>
      <c r="L236" s="6">
        <f>IF($K$622=0,0,K236/$K$622)</f>
        <v/>
      </c>
      <c r="M236" s="6">
        <f>M235+L236</f>
        <v/>
      </c>
      <c r="N236" s="9">
        <f>IF(M236&lt;=0.8,"A",IF(M236&lt;=0.95,"B","C"))</f>
        <v/>
      </c>
    </row>
    <row r="237">
      <c r="A237" s="2" t="n">
        <v>236</v>
      </c>
      <c r="B237" s="2" t="inlineStr">
        <is>
          <t>215826</t>
        </is>
      </c>
      <c r="C237" s="2" t="inlineStr">
        <is>
          <t>KIT POTE DE VIDRO MARMITA - 370ML - SORTIDO - 4 POTES</t>
        </is>
      </c>
      <c r="D237" s="4" t="n">
        <v>0</v>
      </c>
      <c r="E237" s="4" t="n">
        <v>22</v>
      </c>
      <c r="F237" s="4" t="n">
        <v>0</v>
      </c>
      <c r="G237" s="4">
        <f>SUM(D237:F237)</f>
        <v/>
      </c>
      <c r="H237" s="5" t="n">
        <v>0</v>
      </c>
      <c r="I237" s="5" t="n">
        <v>1537.8</v>
      </c>
      <c r="J237" s="5" t="n">
        <v>0</v>
      </c>
      <c r="K237" s="5">
        <f>SUM(H237:J237)</f>
        <v/>
      </c>
      <c r="L237" s="6">
        <f>IF($K$622=0,0,K237/$K$622)</f>
        <v/>
      </c>
      <c r="M237" s="6">
        <f>M236+L237</f>
        <v/>
      </c>
      <c r="N237" s="9">
        <f>IF(M237&lt;=0.8,"A",IF(M237&lt;=0.95,"B","C"))</f>
        <v/>
      </c>
    </row>
    <row r="238">
      <c r="A238" s="2" t="n">
        <v>237</v>
      </c>
      <c r="B238" s="2" t="inlineStr">
        <is>
          <t>213170</t>
        </is>
      </c>
      <c r="C238" s="2" t="inlineStr">
        <is>
          <t>PROTETOR DE COLCHÃO  LENÇOL OLIVER HOME G DESCARTÁVEL</t>
        </is>
      </c>
      <c r="D238" s="4" t="n">
        <v>0</v>
      </c>
      <c r="E238" s="4" t="n">
        <v>6</v>
      </c>
      <c r="F238" s="4" t="n">
        <v>58</v>
      </c>
      <c r="G238" s="4">
        <f>SUM(D238:F238)</f>
        <v/>
      </c>
      <c r="H238" s="5" t="n">
        <v>0</v>
      </c>
      <c r="I238" s="5" t="n">
        <v>143.4</v>
      </c>
      <c r="J238" s="5" t="n">
        <v>1386.2</v>
      </c>
      <c r="K238" s="5">
        <f>SUM(H238:J238)</f>
        <v/>
      </c>
      <c r="L238" s="6">
        <f>IF($K$622=0,0,K238/$K$622)</f>
        <v/>
      </c>
      <c r="M238" s="6">
        <f>M237+L238</f>
        <v/>
      </c>
      <c r="N238" s="9">
        <f>IF(M238&lt;=0.8,"A",IF(M238&lt;=0.95,"B","C"))</f>
        <v/>
      </c>
    </row>
    <row r="239">
      <c r="A239" s="2" t="n">
        <v>238</v>
      </c>
      <c r="B239" s="2" t="inlineStr">
        <is>
          <t>214812</t>
        </is>
      </c>
      <c r="C239" s="2" t="inlineStr">
        <is>
          <t>KIT POTE DE VIDRO C/ TAMPA DE BAMBU - 300ML - 2 UNIDADES</t>
        </is>
      </c>
      <c r="D239" s="4" t="n">
        <v>0</v>
      </c>
      <c r="E239" s="4" t="n">
        <v>5</v>
      </c>
      <c r="F239" s="4" t="n">
        <v>52</v>
      </c>
      <c r="G239" s="4">
        <f>SUM(D239:F239)</f>
        <v/>
      </c>
      <c r="H239" s="5" t="n">
        <v>0</v>
      </c>
      <c r="I239" s="5" t="n">
        <v>299.5</v>
      </c>
      <c r="J239" s="5" t="n">
        <v>1224.8</v>
      </c>
      <c r="K239" s="5">
        <f>SUM(H239:J239)</f>
        <v/>
      </c>
      <c r="L239" s="6">
        <f>IF($K$622=0,0,K239/$K$622)</f>
        <v/>
      </c>
      <c r="M239" s="6">
        <f>M238+L239</f>
        <v/>
      </c>
      <c r="N239" s="9">
        <f>IF(M239&lt;=0.8,"A",IF(M239&lt;=0.95,"B","C"))</f>
        <v/>
      </c>
    </row>
    <row r="240">
      <c r="A240" s="2" t="n">
        <v>239</v>
      </c>
      <c r="B240" s="2" t="inlineStr">
        <is>
          <t>214815</t>
        </is>
      </c>
      <c r="C240" s="2" t="inlineStr">
        <is>
          <t>KIT POTE DE VIDRO C/ TAMPA DE BAMBU - 300ML - 6 UNIDADES</t>
        </is>
      </c>
      <c r="D240" s="4" t="n">
        <v>0</v>
      </c>
      <c r="E240" s="4" t="n">
        <v>2</v>
      </c>
      <c r="F240" s="4" t="n">
        <v>24</v>
      </c>
      <c r="G240" s="4">
        <f>SUM(D240:F240)</f>
        <v/>
      </c>
      <c r="H240" s="5" t="n">
        <v>0</v>
      </c>
      <c r="I240" s="5" t="n">
        <v>97.8</v>
      </c>
      <c r="J240" s="5" t="n">
        <v>1398.46</v>
      </c>
      <c r="K240" s="5">
        <f>SUM(H240:J240)</f>
        <v/>
      </c>
      <c r="L240" s="6">
        <f>IF($K$622=0,0,K240/$K$622)</f>
        <v/>
      </c>
      <c r="M240" s="6">
        <f>M239+L240</f>
        <v/>
      </c>
      <c r="N240" s="9">
        <f>IF(M240&lt;=0.8,"A",IF(M240&lt;=0.95,"B","C"))</f>
        <v/>
      </c>
    </row>
    <row r="241">
      <c r="A241" s="2" t="n">
        <v>240</v>
      </c>
      <c r="B241" s="2" t="inlineStr">
        <is>
          <t>214033</t>
        </is>
      </c>
      <c r="C241" s="2" t="inlineStr">
        <is>
          <t>JOGO DE TAÇA DE VIDRO 340ML 16,5CM - 2 TAÇAS</t>
        </is>
      </c>
      <c r="D241" s="4" t="n">
        <v>0</v>
      </c>
      <c r="E241" s="4" t="n">
        <v>24</v>
      </c>
      <c r="F241" s="4" t="n">
        <v>49</v>
      </c>
      <c r="G241" s="4">
        <f>SUM(D241:F241)</f>
        <v/>
      </c>
      <c r="H241" s="5" t="n">
        <v>0</v>
      </c>
      <c r="I241" s="5" t="n">
        <v>582.54</v>
      </c>
      <c r="J241" s="5" t="n">
        <v>907.6900000000001</v>
      </c>
      <c r="K241" s="5">
        <f>SUM(H241:J241)</f>
        <v/>
      </c>
      <c r="L241" s="6">
        <f>IF($K$622=0,0,K241/$K$622)</f>
        <v/>
      </c>
      <c r="M241" s="6">
        <f>M240+L241</f>
        <v/>
      </c>
      <c r="N241" s="9">
        <f>IF(M241&lt;=0.8,"A",IF(M241&lt;=0.95,"B","C"))</f>
        <v/>
      </c>
    </row>
    <row r="242">
      <c r="A242" s="2" t="n">
        <v>241</v>
      </c>
      <c r="B242" s="2" t="inlineStr">
        <is>
          <t>213941</t>
        </is>
      </c>
      <c r="C242" s="2" t="inlineStr">
        <is>
          <t>KIT POTE DE VIDRO MARMITA - 1040ML - BRANCO - 2 POTES</t>
        </is>
      </c>
      <c r="D242" s="4" t="n">
        <v>0</v>
      </c>
      <c r="E242" s="4" t="n">
        <v>9</v>
      </c>
      <c r="F242" s="4" t="n">
        <v>27</v>
      </c>
      <c r="G242" s="4">
        <f>SUM(D242:F242)</f>
        <v/>
      </c>
      <c r="H242" s="5" t="n">
        <v>0</v>
      </c>
      <c r="I242" s="5" t="n">
        <v>401.2</v>
      </c>
      <c r="J242" s="5" t="n">
        <v>1077.3</v>
      </c>
      <c r="K242" s="5">
        <f>SUM(H242:J242)</f>
        <v/>
      </c>
      <c r="L242" s="6">
        <f>IF($K$622=0,0,K242/$K$622)</f>
        <v/>
      </c>
      <c r="M242" s="6">
        <f>M241+L242</f>
        <v/>
      </c>
      <c r="N242" s="9">
        <f>IF(M242&lt;=0.8,"A",IF(M242&lt;=0.95,"B","C"))</f>
        <v/>
      </c>
    </row>
    <row r="243">
      <c r="A243" s="2" t="n">
        <v>242</v>
      </c>
      <c r="B243" s="2" t="inlineStr">
        <is>
          <t>VETMAX-PLUS-12COMP</t>
        </is>
      </c>
      <c r="C243" s="2" t="inlineStr">
        <is>
          <t>Vetmax Plus Blister 4 Comprimidos Vermífugo - Vetnil - 12 Comprimidos</t>
        </is>
      </c>
      <c r="D243" s="4" t="n">
        <v>0</v>
      </c>
      <c r="E243" s="4" t="n">
        <v>3</v>
      </c>
      <c r="F243" s="4" t="n">
        <v>9</v>
      </c>
      <c r="G243" s="4">
        <f>SUM(D243:F243)</f>
        <v/>
      </c>
      <c r="H243" s="5" t="n">
        <v>0</v>
      </c>
      <c r="I243" s="5" t="n">
        <v>359.7</v>
      </c>
      <c r="J243" s="5" t="n">
        <v>1079.1</v>
      </c>
      <c r="K243" s="5">
        <f>SUM(H243:J243)</f>
        <v/>
      </c>
      <c r="L243" s="6">
        <f>IF($K$622=0,0,K243/$K$622)</f>
        <v/>
      </c>
      <c r="M243" s="6">
        <f>M242+L243</f>
        <v/>
      </c>
      <c r="N243" s="9">
        <f>IF(M243&lt;=0.8,"A",IF(M243&lt;=0.95,"B","C"))</f>
        <v/>
      </c>
    </row>
    <row r="244">
      <c r="A244" s="2" t="n">
        <v>243</v>
      </c>
      <c r="B244" s="2" t="inlineStr">
        <is>
          <t>213268</t>
        </is>
      </c>
      <c r="C244" s="2" t="inlineStr">
        <is>
          <t>PERIOVET GEL 25 G</t>
        </is>
      </c>
      <c r="D244" s="4" t="n">
        <v>0</v>
      </c>
      <c r="E244" s="4" t="n">
        <v>10</v>
      </c>
      <c r="F244" s="4" t="n">
        <v>14</v>
      </c>
      <c r="G244" s="4">
        <f>SUM(D244:F244)</f>
        <v/>
      </c>
      <c r="H244" s="5" t="n">
        <v>0</v>
      </c>
      <c r="I244" s="5" t="n">
        <v>598.9</v>
      </c>
      <c r="J244" s="5" t="n">
        <v>838.46</v>
      </c>
      <c r="K244" s="5">
        <f>SUM(H244:J244)</f>
        <v/>
      </c>
      <c r="L244" s="6">
        <f>IF($K$622=0,0,K244/$K$622)</f>
        <v/>
      </c>
      <c r="M244" s="6">
        <f>M243+L244</f>
        <v/>
      </c>
      <c r="N244" s="9">
        <f>IF(M244&lt;=0.8,"A",IF(M244&lt;=0.95,"B","C"))</f>
        <v/>
      </c>
    </row>
    <row r="245">
      <c r="A245" s="2" t="n">
        <v>244</v>
      </c>
      <c r="B245" s="2" t="inlineStr">
        <is>
          <t>213809</t>
        </is>
      </c>
      <c r="C245" s="2" t="inlineStr">
        <is>
          <t>KIT TAPETE HIG ULTRA PADS LAVANDA 80X60 - 90 UNIDADES</t>
        </is>
      </c>
      <c r="D245" s="4" t="n">
        <v>0</v>
      </c>
      <c r="E245" s="4" t="n">
        <v>4</v>
      </c>
      <c r="F245" s="4" t="n">
        <v>3</v>
      </c>
      <c r="G245" s="4">
        <f>SUM(D245:F245)</f>
        <v/>
      </c>
      <c r="H245" s="5" t="n">
        <v>0</v>
      </c>
      <c r="I245" s="5" t="n">
        <v>779.6</v>
      </c>
      <c r="J245" s="5" t="n">
        <v>599.7</v>
      </c>
      <c r="K245" s="5">
        <f>SUM(H245:J245)</f>
        <v/>
      </c>
      <c r="L245" s="6">
        <f>IF($K$622=0,0,K245/$K$622)</f>
        <v/>
      </c>
      <c r="M245" s="6">
        <f>M244+L245</f>
        <v/>
      </c>
      <c r="N245" s="9">
        <f>IF(M245&lt;=0.8,"A",IF(M245&lt;=0.95,"B","C"))</f>
        <v/>
      </c>
    </row>
    <row r="246">
      <c r="A246" s="2" t="n">
        <v>245</v>
      </c>
      <c r="B246" s="2" t="inlineStr">
        <is>
          <t>213274</t>
        </is>
      </c>
      <c r="C246" s="2" t="inlineStr">
        <is>
          <t>PELO E DERME 30 COMP</t>
        </is>
      </c>
      <c r="D246" s="4" t="n">
        <v>0</v>
      </c>
      <c r="E246" s="4" t="n">
        <v>19</v>
      </c>
      <c r="F246" s="4" t="n">
        <v>0</v>
      </c>
      <c r="G246" s="4">
        <f>SUM(D246:F246)</f>
        <v/>
      </c>
      <c r="H246" s="5" t="n">
        <v>0</v>
      </c>
      <c r="I246" s="5" t="n">
        <v>1328.1</v>
      </c>
      <c r="J246" s="5" t="n">
        <v>0</v>
      </c>
      <c r="K246" s="5">
        <f>SUM(H246:J246)</f>
        <v/>
      </c>
      <c r="L246" s="6">
        <f>IF($K$622=0,0,K246/$K$622)</f>
        <v/>
      </c>
      <c r="M246" s="6">
        <f>M245+L246</f>
        <v/>
      </c>
      <c r="N246" s="9">
        <f>IF(M246&lt;=0.8,"A",IF(M246&lt;=0.95,"B","C"))</f>
        <v/>
      </c>
    </row>
    <row r="247">
      <c r="A247" s="2" t="n">
        <v>246</v>
      </c>
      <c r="B247" s="2" t="inlineStr">
        <is>
          <t>212874</t>
        </is>
      </c>
      <c r="C247" s="2" t="inlineStr">
        <is>
          <t>GELO PAN POMADA 450G VETNIL</t>
        </is>
      </c>
      <c r="D247" s="4" t="n">
        <v>0</v>
      </c>
      <c r="E247" s="4" t="n">
        <v>7</v>
      </c>
      <c r="F247" s="4" t="n">
        <v>9</v>
      </c>
      <c r="G247" s="4">
        <f>SUM(D247:F247)</f>
        <v/>
      </c>
      <c r="H247" s="5" t="n">
        <v>0</v>
      </c>
      <c r="I247" s="5" t="n">
        <v>580.3</v>
      </c>
      <c r="J247" s="5" t="n">
        <v>746.1</v>
      </c>
      <c r="K247" s="5">
        <f>SUM(H247:J247)</f>
        <v/>
      </c>
      <c r="L247" s="6">
        <f>IF($K$622=0,0,K247/$K$622)</f>
        <v/>
      </c>
      <c r="M247" s="6">
        <f>M246+L247</f>
        <v/>
      </c>
      <c r="N247" s="9">
        <f>IF(M247&lt;=0.8,"A",IF(M247&lt;=0.95,"B","C"))</f>
        <v/>
      </c>
    </row>
    <row r="248">
      <c r="A248" s="2" t="n">
        <v>247</v>
      </c>
      <c r="B248" s="2" t="inlineStr">
        <is>
          <t>214572</t>
        </is>
      </c>
      <c r="C248" s="2" t="inlineStr">
        <is>
          <t>KIT CUECAS BOXER MICROFIBRA - 000436-088 - LUPO - M - 42 A 44 - PRETO/AZUL NÁUTICO - 10 UNIDADES (5 PACOTES)</t>
        </is>
      </c>
      <c r="D248" s="4" t="n">
        <v>0</v>
      </c>
      <c r="E248" s="4" t="n">
        <v>6</v>
      </c>
      <c r="F248" s="4" t="n">
        <v>0</v>
      </c>
      <c r="G248" s="4">
        <f>SUM(D248:F248)</f>
        <v/>
      </c>
      <c r="H248" s="5" t="n">
        <v>0</v>
      </c>
      <c r="I248" s="5" t="n">
        <v>1292.72</v>
      </c>
      <c r="J248" s="5" t="n">
        <v>0</v>
      </c>
      <c r="K248" s="5">
        <f>SUM(H248:J248)</f>
        <v/>
      </c>
      <c r="L248" s="6">
        <f>IF($K$622=0,0,K248/$K$622)</f>
        <v/>
      </c>
      <c r="M248" s="6">
        <f>M247+L248</f>
        <v/>
      </c>
      <c r="N248" s="9">
        <f>IF(M248&lt;=0.8,"A",IF(M248&lt;=0.95,"B","C"))</f>
        <v/>
      </c>
    </row>
    <row r="249">
      <c r="A249" s="2" t="n">
        <v>248</v>
      </c>
      <c r="B249" s="2" t="inlineStr">
        <is>
          <t>214843</t>
        </is>
      </c>
      <c r="C249" s="2" t="inlineStr">
        <is>
          <t>KIT POTE DE VIDRO C/ TAMPA DE BAMBU - 2000ML - 3 UNIDADES</t>
        </is>
      </c>
      <c r="D249" s="4" t="n">
        <v>0</v>
      </c>
      <c r="E249" s="4" t="n">
        <v>0</v>
      </c>
      <c r="F249" s="4" t="n">
        <v>10</v>
      </c>
      <c r="G249" s="4">
        <f>SUM(D249:F249)</f>
        <v/>
      </c>
      <c r="H249" s="5" t="n">
        <v>0</v>
      </c>
      <c r="I249" s="5" t="n">
        <v>0</v>
      </c>
      <c r="J249" s="5" t="n">
        <v>1289</v>
      </c>
      <c r="K249" s="5">
        <f>SUM(H249:J249)</f>
        <v/>
      </c>
      <c r="L249" s="6">
        <f>IF($K$622=0,0,K249/$K$622)</f>
        <v/>
      </c>
      <c r="M249" s="6">
        <f>M248+L249</f>
        <v/>
      </c>
      <c r="N249" s="9">
        <f>IF(M249&lt;=0.8,"A",IF(M249&lt;=0.95,"B","C"))</f>
        <v/>
      </c>
    </row>
    <row r="250">
      <c r="A250" s="2" t="n">
        <v>249</v>
      </c>
      <c r="B250" s="2" t="inlineStr">
        <is>
          <t>214144</t>
        </is>
      </c>
      <c r="C250" s="2" t="inlineStr">
        <is>
          <t>JOGO DE TALHERES INOX 25 PEÇAS  - VERMELHO</t>
        </is>
      </c>
      <c r="D250" s="4" t="n">
        <v>0</v>
      </c>
      <c r="E250" s="4" t="n">
        <v>3</v>
      </c>
      <c r="F250" s="4" t="n">
        <v>49</v>
      </c>
      <c r="G250" s="4">
        <f>SUM(D250:F250)</f>
        <v/>
      </c>
      <c r="H250" s="5" t="n">
        <v>0</v>
      </c>
      <c r="I250" s="5" t="n">
        <v>90.73999999999999</v>
      </c>
      <c r="J250" s="5" t="n">
        <v>1152.09</v>
      </c>
      <c r="K250" s="5">
        <f>SUM(H250:J250)</f>
        <v/>
      </c>
      <c r="L250" s="6">
        <f>IF($K$622=0,0,K250/$K$622)</f>
        <v/>
      </c>
      <c r="M250" s="6">
        <f>M249+L250</f>
        <v/>
      </c>
      <c r="N250" s="9">
        <f>IF(M250&lt;=0.8,"A",IF(M250&lt;=0.95,"B","C"))</f>
        <v/>
      </c>
    </row>
    <row r="251">
      <c r="A251" s="2" t="n">
        <v>250</v>
      </c>
      <c r="B251" s="2" t="inlineStr">
        <is>
          <t>215184</t>
        </is>
      </c>
      <c r="C251" s="2" t="inlineStr">
        <is>
          <t>CALCA LEG. MAX LUPO - 71053 - LUPO - AZUL MARINHO - GG</t>
        </is>
      </c>
      <c r="D251" s="4" t="n">
        <v>0</v>
      </c>
      <c r="E251" s="4" t="n">
        <v>4</v>
      </c>
      <c r="F251" s="4" t="n">
        <v>3</v>
      </c>
      <c r="G251" s="4">
        <f>SUM(D251:F251)</f>
        <v/>
      </c>
      <c r="H251" s="5" t="n">
        <v>0</v>
      </c>
      <c r="I251" s="5" t="n">
        <v>699.6</v>
      </c>
      <c r="J251" s="5" t="n">
        <v>524.7</v>
      </c>
      <c r="K251" s="5">
        <f>SUM(H251:J251)</f>
        <v/>
      </c>
      <c r="L251" s="6">
        <f>IF($K$622=0,0,K251/$K$622)</f>
        <v/>
      </c>
      <c r="M251" s="6">
        <f>M250+L251</f>
        <v/>
      </c>
      <c r="N251" s="9">
        <f>IF(M251&lt;=0.8,"A",IF(M251&lt;=0.95,"B","C"))</f>
        <v/>
      </c>
    </row>
    <row r="252">
      <c r="A252" s="2" t="n">
        <v>251</v>
      </c>
      <c r="B252" s="2" t="inlineStr">
        <is>
          <t>215512</t>
        </is>
      </c>
      <c r="C252" s="2" t="inlineStr">
        <is>
          <t>GRANULADO HIGIÊNICO BIODEGRADÁVEL  ESPAÇO DE BICHO - GRÃOS GROSSOS</t>
        </is>
      </c>
      <c r="D252" s="4" t="n">
        <v>0</v>
      </c>
      <c r="E252" s="4" t="n">
        <v>5</v>
      </c>
      <c r="F252" s="4" t="n">
        <v>20</v>
      </c>
      <c r="G252" s="4">
        <f>SUM(D252:F252)</f>
        <v/>
      </c>
      <c r="H252" s="5" t="n">
        <v>0</v>
      </c>
      <c r="I252" s="5" t="n">
        <v>244.9</v>
      </c>
      <c r="J252" s="5" t="n">
        <v>965.35</v>
      </c>
      <c r="K252" s="5">
        <f>SUM(H252:J252)</f>
        <v/>
      </c>
      <c r="L252" s="6">
        <f>IF($K$622=0,0,K252/$K$622)</f>
        <v/>
      </c>
      <c r="M252" s="6">
        <f>M251+L252</f>
        <v/>
      </c>
      <c r="N252" s="9">
        <f>IF(M252&lt;=0.8,"A",IF(M252&lt;=0.95,"B","C"))</f>
        <v/>
      </c>
    </row>
    <row r="253">
      <c r="A253" s="2" t="n">
        <v>252</v>
      </c>
      <c r="B253" s="2" t="inlineStr">
        <is>
          <t>215213</t>
        </is>
      </c>
      <c r="C253" s="2" t="inlineStr">
        <is>
          <t>CALCA LEG. MAX LUPO - 71053 - LUPO - BLUSH - G</t>
        </is>
      </c>
      <c r="D253" s="4" t="n">
        <v>0</v>
      </c>
      <c r="E253" s="4" t="n">
        <v>3</v>
      </c>
      <c r="F253" s="4" t="n">
        <v>4</v>
      </c>
      <c r="G253" s="4">
        <f>SUM(D253:F253)</f>
        <v/>
      </c>
      <c r="H253" s="5" t="n">
        <v>0</v>
      </c>
      <c r="I253" s="5" t="n">
        <v>524.7</v>
      </c>
      <c r="J253" s="5" t="n">
        <v>684.6</v>
      </c>
      <c r="K253" s="5">
        <f>SUM(H253:J253)</f>
        <v/>
      </c>
      <c r="L253" s="6">
        <f>IF($K$622=0,0,K253/$K$622)</f>
        <v/>
      </c>
      <c r="M253" s="6">
        <f>M252+L253</f>
        <v/>
      </c>
      <c r="N253" s="9">
        <f>IF(M253&lt;=0.8,"A",IF(M253&lt;=0.95,"B","C"))</f>
        <v/>
      </c>
    </row>
    <row r="254">
      <c r="A254" s="2" t="n">
        <v>253</v>
      </c>
      <c r="B254" s="2" t="inlineStr">
        <is>
          <t>214475</t>
        </is>
      </c>
      <c r="C254" s="2" t="inlineStr">
        <is>
          <t>SHORT ATTACK - 71144-001 - LUPO  - M - PRETO</t>
        </is>
      </c>
      <c r="D254" s="4" t="n">
        <v>0</v>
      </c>
      <c r="E254" s="4" t="n">
        <v>4</v>
      </c>
      <c r="F254" s="4" t="n">
        <v>11</v>
      </c>
      <c r="G254" s="4">
        <f>SUM(D254:F254)</f>
        <v/>
      </c>
      <c r="H254" s="5" t="n">
        <v>0</v>
      </c>
      <c r="I254" s="5" t="n">
        <v>319.6</v>
      </c>
      <c r="J254" s="5" t="n">
        <v>878.9</v>
      </c>
      <c r="K254" s="5">
        <f>SUM(H254:J254)</f>
        <v/>
      </c>
      <c r="L254" s="6">
        <f>IF($K$622=0,0,K254/$K$622)</f>
        <v/>
      </c>
      <c r="M254" s="6">
        <f>M253+L254</f>
        <v/>
      </c>
      <c r="N254" s="9">
        <f>IF(M254&lt;=0.8,"A",IF(M254&lt;=0.95,"B","C"))</f>
        <v/>
      </c>
    </row>
    <row r="255">
      <c r="A255" s="2" t="n">
        <v>254</v>
      </c>
      <c r="B255" s="2" t="inlineStr">
        <is>
          <t>214567</t>
        </is>
      </c>
      <c r="C255" s="2" t="inlineStr">
        <is>
          <t>KIT CUECAS BOXER MICROFIBRA - 000436-088 - LUPO - P - 38 A 40 - PRETO/BRANCO - 10 UNIDADES (5 PACOTES)</t>
        </is>
      </c>
      <c r="D255" s="4" t="n">
        <v>0</v>
      </c>
      <c r="E255" s="4" t="n">
        <v>5</v>
      </c>
      <c r="F255" s="4" t="n">
        <v>0</v>
      </c>
      <c r="G255" s="4">
        <f>SUM(D255:F255)</f>
        <v/>
      </c>
      <c r="H255" s="5" t="n">
        <v>0</v>
      </c>
      <c r="I255" s="5" t="n">
        <v>1190.5</v>
      </c>
      <c r="J255" s="5" t="n">
        <v>0</v>
      </c>
      <c r="K255" s="5">
        <f>SUM(H255:J255)</f>
        <v/>
      </c>
      <c r="L255" s="6">
        <f>IF($K$622=0,0,K255/$K$622)</f>
        <v/>
      </c>
      <c r="M255" s="6">
        <f>M254+L255</f>
        <v/>
      </c>
      <c r="N255" s="9">
        <f>IF(M255&lt;=0.8,"A",IF(M255&lt;=0.95,"B","C"))</f>
        <v/>
      </c>
    </row>
    <row r="256">
      <c r="A256" s="2" t="n">
        <v>255</v>
      </c>
      <c r="B256" s="2" t="inlineStr">
        <is>
          <t>215418</t>
        </is>
      </c>
      <c r="C256" s="2" t="inlineStr">
        <is>
          <t>PACOTE 1 CUECA LONG LEG MICROMODAL - 00674 - LUPO - PRETO - GG</t>
        </is>
      </c>
      <c r="D256" s="4" t="n">
        <v>0</v>
      </c>
      <c r="E256" s="4" t="n">
        <v>12</v>
      </c>
      <c r="F256" s="4" t="n">
        <v>7</v>
      </c>
      <c r="G256" s="4">
        <f>SUM(D256:F256)</f>
        <v/>
      </c>
      <c r="H256" s="5" t="n">
        <v>0</v>
      </c>
      <c r="I256" s="5" t="n">
        <v>750.28</v>
      </c>
      <c r="J256" s="5" t="n">
        <v>435.49</v>
      </c>
      <c r="K256" s="5">
        <f>SUM(H256:J256)</f>
        <v/>
      </c>
      <c r="L256" s="6">
        <f>IF($K$622=0,0,K256/$K$622)</f>
        <v/>
      </c>
      <c r="M256" s="6">
        <f>M255+L256</f>
        <v/>
      </c>
      <c r="N256" s="9">
        <f>IF(M256&lt;=0.8,"A",IF(M256&lt;=0.95,"B","C"))</f>
        <v/>
      </c>
    </row>
    <row r="257">
      <c r="A257" s="2" t="n">
        <v>256</v>
      </c>
      <c r="B257" s="2" t="inlineStr">
        <is>
          <t>214844</t>
        </is>
      </c>
      <c r="C257" s="2" t="inlineStr">
        <is>
          <t>KIT POTE DE VIDRO C/ TAMPA DE BAMBU - 2000ML - 4 UNIDADES</t>
        </is>
      </c>
      <c r="D257" s="4" t="n">
        <v>0</v>
      </c>
      <c r="E257" s="4" t="n">
        <v>0</v>
      </c>
      <c r="F257" s="4" t="n">
        <v>8</v>
      </c>
      <c r="G257" s="4">
        <f>SUM(D257:F257)</f>
        <v/>
      </c>
      <c r="H257" s="5" t="n">
        <v>0</v>
      </c>
      <c r="I257" s="5" t="n">
        <v>0</v>
      </c>
      <c r="J257" s="5" t="n">
        <v>1179.2</v>
      </c>
      <c r="K257" s="5">
        <f>SUM(H257:J257)</f>
        <v/>
      </c>
      <c r="L257" s="6">
        <f>IF($K$622=0,0,K257/$K$622)</f>
        <v/>
      </c>
      <c r="M257" s="6">
        <f>M256+L257</f>
        <v/>
      </c>
      <c r="N257" s="9">
        <f>IF(M257&lt;=0.8,"A",IF(M257&lt;=0.95,"B","C"))</f>
        <v/>
      </c>
    </row>
    <row r="258">
      <c r="A258" s="2" t="n">
        <v>257</v>
      </c>
      <c r="B258" s="2" t="inlineStr">
        <is>
          <t>213828</t>
        </is>
      </c>
      <c r="C258" s="2" t="inlineStr">
        <is>
          <t>KIT TAPETE HIG GOOD PAD 80X60 30UN - 360 UNIDADES</t>
        </is>
      </c>
      <c r="D258" s="4" t="n">
        <v>0</v>
      </c>
      <c r="E258" s="4" t="n">
        <v>2</v>
      </c>
      <c r="F258" s="4" t="n">
        <v>0</v>
      </c>
      <c r="G258" s="4">
        <f>SUM(D258:F258)</f>
        <v/>
      </c>
      <c r="H258" s="5" t="n">
        <v>0</v>
      </c>
      <c r="I258" s="5" t="n">
        <v>1169.8</v>
      </c>
      <c r="J258" s="5" t="n">
        <v>0</v>
      </c>
      <c r="K258" s="5">
        <f>SUM(H258:J258)</f>
        <v/>
      </c>
      <c r="L258" s="6">
        <f>IF($K$622=0,0,K258/$K$622)</f>
        <v/>
      </c>
      <c r="M258" s="6">
        <f>M257+L258</f>
        <v/>
      </c>
      <c r="N258" s="9">
        <f>IF(M258&lt;=0.8,"A",IF(M258&lt;=0.95,"B","C"))</f>
        <v/>
      </c>
    </row>
    <row r="259">
      <c r="A259" s="2" t="n">
        <v>258</v>
      </c>
      <c r="B259" s="2" t="inlineStr">
        <is>
          <t>215823</t>
        </is>
      </c>
      <c r="C259" s="2" t="inlineStr">
        <is>
          <t>KIT POTE DE VIDRO MARMITA - 1040ML - SORTIDO - 4 POTES</t>
        </is>
      </c>
      <c r="D259" s="4" t="n">
        <v>0</v>
      </c>
      <c r="E259" s="4" t="n">
        <v>13</v>
      </c>
      <c r="F259" s="4" t="n">
        <v>0</v>
      </c>
      <c r="G259" s="4">
        <f>SUM(D259:F259)</f>
        <v/>
      </c>
      <c r="H259" s="5" t="n">
        <v>0</v>
      </c>
      <c r="I259" s="5" t="n">
        <v>1168.7</v>
      </c>
      <c r="J259" s="5" t="n">
        <v>0</v>
      </c>
      <c r="K259" s="5">
        <f>SUM(H259:J259)</f>
        <v/>
      </c>
      <c r="L259" s="6">
        <f>IF($K$622=0,0,K259/$K$622)</f>
        <v/>
      </c>
      <c r="M259" s="6">
        <f>M258+L259</f>
        <v/>
      </c>
      <c r="N259" s="9">
        <f>IF(M259&lt;=0.8,"A",IF(M259&lt;=0.95,"B","C"))</f>
        <v/>
      </c>
    </row>
    <row r="260">
      <c r="A260" s="2" t="n">
        <v>259</v>
      </c>
      <c r="B260" s="2" t="inlineStr">
        <is>
          <t>VETMAX-PLUS-30ML</t>
        </is>
      </c>
      <c r="C260" s="2" t="inlineStr">
        <is>
          <t>Vetmax Plus Suspensao Oral 30 Ml</t>
        </is>
      </c>
      <c r="D260" s="4" t="n">
        <v>0</v>
      </c>
      <c r="E260" s="4" t="n">
        <v>23</v>
      </c>
      <c r="F260" s="4" t="n">
        <v>0</v>
      </c>
      <c r="G260" s="4">
        <f>SUM(D260:F260)</f>
        <v/>
      </c>
      <c r="H260" s="5" t="n">
        <v>0</v>
      </c>
      <c r="I260" s="5" t="n">
        <v>1147.7</v>
      </c>
      <c r="J260" s="5" t="n">
        <v>0</v>
      </c>
      <c r="K260" s="5">
        <f>SUM(H260:J260)</f>
        <v/>
      </c>
      <c r="L260" s="6">
        <f>IF($K$622=0,0,K260/$K$622)</f>
        <v/>
      </c>
      <c r="M260" s="6">
        <f>M259+L260</f>
        <v/>
      </c>
      <c r="N260" s="9">
        <f>IF(M260&lt;=0.8,"A",IF(M260&lt;=0.95,"B","C"))</f>
        <v/>
      </c>
    </row>
    <row r="261">
      <c r="A261" s="2" t="n">
        <v>260</v>
      </c>
      <c r="B261" s="2" t="inlineStr">
        <is>
          <t>213528</t>
        </is>
      </c>
      <c r="C261" s="2" t="inlineStr">
        <is>
          <t>BRINQUEDO INTERATIVO PARA GATOS VARINHA PÁSSARO COM VENTOSA FIXA  - ROSA</t>
        </is>
      </c>
      <c r="D261" s="4" t="n">
        <v>0</v>
      </c>
      <c r="E261" s="4" t="n">
        <v>31</v>
      </c>
      <c r="F261" s="4" t="n">
        <v>23</v>
      </c>
      <c r="G261" s="4">
        <f>SUM(D261:F261)</f>
        <v/>
      </c>
      <c r="H261" s="5" t="n">
        <v>0</v>
      </c>
      <c r="I261" s="5" t="n">
        <v>646.9</v>
      </c>
      <c r="J261" s="5" t="n">
        <v>495.6</v>
      </c>
      <c r="K261" s="5">
        <f>SUM(H261:J261)</f>
        <v/>
      </c>
      <c r="L261" s="6">
        <f>IF($K$622=0,0,K261/$K$622)</f>
        <v/>
      </c>
      <c r="M261" s="6">
        <f>M260+L261</f>
        <v/>
      </c>
      <c r="N261" s="9">
        <f>IF(M261&lt;=0.8,"A",IF(M261&lt;=0.95,"B","C"))</f>
        <v/>
      </c>
    </row>
    <row r="262">
      <c r="A262" s="2" t="n">
        <v>261</v>
      </c>
      <c r="B262" s="2" t="inlineStr">
        <is>
          <t>213962</t>
        </is>
      </c>
      <c r="C262" s="2" t="inlineStr">
        <is>
          <t>KIT POTE DE VIDRO MARMITA - 640ML - BRANCO - 12 POTES</t>
        </is>
      </c>
      <c r="D262" s="4" t="n">
        <v>0</v>
      </c>
      <c r="E262" s="4" t="n">
        <v>2</v>
      </c>
      <c r="F262" s="4" t="n">
        <v>5</v>
      </c>
      <c r="G262" s="4">
        <f>SUM(D262:F262)</f>
        <v/>
      </c>
      <c r="H262" s="5" t="n">
        <v>0</v>
      </c>
      <c r="I262" s="5" t="n">
        <v>359.8</v>
      </c>
      <c r="J262" s="5" t="n">
        <v>779.7</v>
      </c>
      <c r="K262" s="5">
        <f>SUM(H262:J262)</f>
        <v/>
      </c>
      <c r="L262" s="6">
        <f>IF($K$622=0,0,K262/$K$622)</f>
        <v/>
      </c>
      <c r="M262" s="6">
        <f>M261+L262</f>
        <v/>
      </c>
      <c r="N262" s="9">
        <f>IF(M262&lt;=0.8,"A",IF(M262&lt;=0.95,"B","C"))</f>
        <v/>
      </c>
    </row>
    <row r="263">
      <c r="A263" s="2" t="n">
        <v>262</v>
      </c>
      <c r="B263" s="2" t="inlineStr">
        <is>
          <t>214157</t>
        </is>
      </c>
      <c r="C263" s="2" t="inlineStr">
        <is>
          <t>KIT CABIDE PARA CALÇA C/5 DIVISORIAS - BRANCO - 5 UNIDADES</t>
        </is>
      </c>
      <c r="D263" s="4" t="n">
        <v>0</v>
      </c>
      <c r="E263" s="4" t="n">
        <v>4</v>
      </c>
      <c r="F263" s="4" t="n">
        <v>11</v>
      </c>
      <c r="G263" s="4">
        <f>SUM(D263:F263)</f>
        <v/>
      </c>
      <c r="H263" s="5" t="n">
        <v>0</v>
      </c>
      <c r="I263" s="5" t="n">
        <v>299.57</v>
      </c>
      <c r="J263" s="5" t="n">
        <v>838.9</v>
      </c>
      <c r="K263" s="5">
        <f>SUM(H263:J263)</f>
        <v/>
      </c>
      <c r="L263" s="6">
        <f>IF($K$622=0,0,K263/$K$622)</f>
        <v/>
      </c>
      <c r="M263" s="6">
        <f>M262+L263</f>
        <v/>
      </c>
      <c r="N263" s="9">
        <f>IF(M263&lt;=0.8,"A",IF(M263&lt;=0.95,"B","C"))</f>
        <v/>
      </c>
    </row>
    <row r="264">
      <c r="A264" s="2" t="n">
        <v>263</v>
      </c>
      <c r="B264" s="2" t="inlineStr">
        <is>
          <t>214811</t>
        </is>
      </c>
      <c r="C264" s="2" t="inlineStr">
        <is>
          <t>KIT POTE DE VIDRO C/ TAMPA DE BAMBU - 300ML - 1 UNIDADE</t>
        </is>
      </c>
      <c r="D264" s="4" t="n">
        <v>0</v>
      </c>
      <c r="E264" s="4" t="n">
        <v>5</v>
      </c>
      <c r="F264" s="4" t="n">
        <v>55</v>
      </c>
      <c r="G264" s="4">
        <f>SUM(D264:F264)</f>
        <v/>
      </c>
      <c r="H264" s="5" t="n">
        <v>0</v>
      </c>
      <c r="I264" s="5" t="n">
        <v>199.5</v>
      </c>
      <c r="J264" s="5" t="n">
        <v>934.5</v>
      </c>
      <c r="K264" s="5">
        <f>SUM(H264:J264)</f>
        <v/>
      </c>
      <c r="L264" s="6">
        <f>IF($K$622=0,0,K264/$K$622)</f>
        <v/>
      </c>
      <c r="M264" s="6">
        <f>M263+L264</f>
        <v/>
      </c>
      <c r="N264" s="9">
        <f>IF(M264&lt;=0.8,"A",IF(M264&lt;=0.95,"B","C"))</f>
        <v/>
      </c>
    </row>
    <row r="265">
      <c r="A265" s="2" t="n">
        <v>264</v>
      </c>
      <c r="B265" s="2" t="inlineStr">
        <is>
          <t>215957</t>
        </is>
      </c>
      <c r="C265" s="2" t="inlineStr">
        <is>
          <t>KIT POTE DE VIDRO MARMITA - 370ML - SORTIDO - 3 POTES</t>
        </is>
      </c>
      <c r="D265" s="4" t="n">
        <v>0</v>
      </c>
      <c r="E265" s="4" t="n">
        <v>11</v>
      </c>
      <c r="F265" s="4" t="n">
        <v>4</v>
      </c>
      <c r="G265" s="4">
        <f>SUM(D265:F265)</f>
        <v/>
      </c>
      <c r="H265" s="5" t="n">
        <v>0</v>
      </c>
      <c r="I265" s="5" t="n">
        <v>799</v>
      </c>
      <c r="J265" s="5" t="n">
        <v>319.6</v>
      </c>
      <c r="K265" s="5">
        <f>SUM(H265:J265)</f>
        <v/>
      </c>
      <c r="L265" s="6">
        <f>IF($K$622=0,0,K265/$K$622)</f>
        <v/>
      </c>
      <c r="M265" s="6">
        <f>M264+L265</f>
        <v/>
      </c>
      <c r="N265" s="9">
        <f>IF(M265&lt;=0.8,"A",IF(M265&lt;=0.95,"B","C"))</f>
        <v/>
      </c>
    </row>
    <row r="266">
      <c r="A266" s="2" t="n">
        <v>265</v>
      </c>
      <c r="B266" s="2" t="inlineStr">
        <is>
          <t>CHALEIRA-110V-INOX</t>
        </is>
      </c>
      <c r="C266" s="2" t="inlineStr">
        <is>
          <t>Inox 1,8 Litros, 110V</t>
        </is>
      </c>
      <c r="D266" s="4" t="n">
        <v>0</v>
      </c>
      <c r="E266" s="4" t="n">
        <v>10</v>
      </c>
      <c r="F266" s="4" t="n">
        <v>0</v>
      </c>
      <c r="G266" s="4">
        <f>SUM(D266:F266)</f>
        <v/>
      </c>
      <c r="H266" s="5" t="n">
        <v>0</v>
      </c>
      <c r="I266" s="5" t="n">
        <v>1099</v>
      </c>
      <c r="J266" s="5" t="n">
        <v>0</v>
      </c>
      <c r="K266" s="5">
        <f>SUM(H266:J266)</f>
        <v/>
      </c>
      <c r="L266" s="6">
        <f>IF($K$622=0,0,K266/$K$622)</f>
        <v/>
      </c>
      <c r="M266" s="6">
        <f>M265+L266</f>
        <v/>
      </c>
      <c r="N266" s="9">
        <f>IF(M266&lt;=0.8,"A",IF(M266&lt;=0.95,"B","C"))</f>
        <v/>
      </c>
    </row>
    <row r="267">
      <c r="A267" s="2" t="n">
        <v>266</v>
      </c>
      <c r="B267" s="2" t="inlineStr">
        <is>
          <t>CHALEIRA-220V-INOX</t>
        </is>
      </c>
      <c r="C267" s="2" t="inlineStr">
        <is>
          <t>Inox 1,8 Litros, 220V</t>
        </is>
      </c>
      <c r="D267" s="4" t="n">
        <v>0</v>
      </c>
      <c r="E267" s="4" t="n">
        <v>10</v>
      </c>
      <c r="F267" s="4" t="n">
        <v>0</v>
      </c>
      <c r="G267" s="4">
        <f>SUM(D267:F267)</f>
        <v/>
      </c>
      <c r="H267" s="5" t="n">
        <v>0</v>
      </c>
      <c r="I267" s="5" t="n">
        <v>1099</v>
      </c>
      <c r="J267" s="5" t="n">
        <v>0</v>
      </c>
      <c r="K267" s="5">
        <f>SUM(H267:J267)</f>
        <v/>
      </c>
      <c r="L267" s="6">
        <f>IF($K$622=0,0,K267/$K$622)</f>
        <v/>
      </c>
      <c r="M267" s="6">
        <f>M266+L267</f>
        <v/>
      </c>
      <c r="N267" s="9">
        <f>IF(M267&lt;=0.8,"A",IF(M267&lt;=0.95,"B","C"))</f>
        <v/>
      </c>
    </row>
    <row r="268">
      <c r="A268" s="2" t="n">
        <v>267</v>
      </c>
      <c r="B268" s="2" t="inlineStr">
        <is>
          <t>213994</t>
        </is>
      </c>
      <c r="C268" s="2" t="inlineStr">
        <is>
          <t>KIT BALANÇAS - COZINHA + BIOIMPEDÂNCIA</t>
        </is>
      </c>
      <c r="D268" s="4" t="n">
        <v>0</v>
      </c>
      <c r="E268" s="4" t="n">
        <v>0</v>
      </c>
      <c r="F268" s="4" t="n">
        <v>12</v>
      </c>
      <c r="G268" s="4">
        <f>SUM(D268:F268)</f>
        <v/>
      </c>
      <c r="H268" s="5" t="n">
        <v>0</v>
      </c>
      <c r="I268" s="5" t="n">
        <v>0</v>
      </c>
      <c r="J268" s="5" t="n">
        <v>1078.8</v>
      </c>
      <c r="K268" s="5">
        <f>SUM(H268:J268)</f>
        <v/>
      </c>
      <c r="L268" s="6">
        <f>IF($K$622=0,0,K268/$K$622)</f>
        <v/>
      </c>
      <c r="M268" s="6">
        <f>M267+L268</f>
        <v/>
      </c>
      <c r="N268" s="9">
        <f>IF(M268&lt;=0.8,"A",IF(M268&lt;=0.95,"B","C"))</f>
        <v/>
      </c>
    </row>
    <row r="269">
      <c r="A269" s="2" t="n">
        <v>268</v>
      </c>
      <c r="B269" s="2" t="inlineStr">
        <is>
          <t>213942</t>
        </is>
      </c>
      <c r="C269" s="2" t="inlineStr">
        <is>
          <t>KIT POTE DE VIDRO MARMITA - 1040ML - AZUL - 2 POTES</t>
        </is>
      </c>
      <c r="D269" s="4" t="n">
        <v>0</v>
      </c>
      <c r="E269" s="4" t="n">
        <v>10</v>
      </c>
      <c r="F269" s="4" t="n">
        <v>15</v>
      </c>
      <c r="G269" s="4">
        <f>SUM(D269:F269)</f>
        <v/>
      </c>
      <c r="H269" s="5" t="n">
        <v>0</v>
      </c>
      <c r="I269" s="5" t="n">
        <v>452.4</v>
      </c>
      <c r="J269" s="5" t="n">
        <v>598.5</v>
      </c>
      <c r="K269" s="5">
        <f>SUM(H269:J269)</f>
        <v/>
      </c>
      <c r="L269" s="6">
        <f>IF($K$622=0,0,K269/$K$622)</f>
        <v/>
      </c>
      <c r="M269" s="6">
        <f>M268+L269</f>
        <v/>
      </c>
      <c r="N269" s="9">
        <f>IF(M269&lt;=0.8,"A",IF(M269&lt;=0.95,"B","C"))</f>
        <v/>
      </c>
    </row>
    <row r="270">
      <c r="A270" s="2" t="n">
        <v>269</v>
      </c>
      <c r="B270" s="2" t="inlineStr">
        <is>
          <t>213721</t>
        </is>
      </c>
      <c r="C270" s="2" t="inlineStr">
        <is>
          <t>POMADA CICATRIZANTE VETAGLOS VETNIL - 50G</t>
        </is>
      </c>
      <c r="D270" s="4" t="n">
        <v>0</v>
      </c>
      <c r="E270" s="4" t="n">
        <v>14</v>
      </c>
      <c r="F270" s="4" t="n">
        <v>5</v>
      </c>
      <c r="G270" s="4">
        <f>SUM(D270:F270)</f>
        <v/>
      </c>
      <c r="H270" s="5" t="n">
        <v>0</v>
      </c>
      <c r="I270" s="5" t="n">
        <v>768.6</v>
      </c>
      <c r="J270" s="5" t="n">
        <v>274.5</v>
      </c>
      <c r="K270" s="5">
        <f>SUM(H270:J270)</f>
        <v/>
      </c>
      <c r="L270" s="6">
        <f>IF($K$622=0,0,K270/$K$622)</f>
        <v/>
      </c>
      <c r="M270" s="6">
        <f>M269+L270</f>
        <v/>
      </c>
      <c r="N270" s="9">
        <f>IF(M270&lt;=0.8,"A",IF(M270&lt;=0.95,"B","C"))</f>
        <v/>
      </c>
    </row>
    <row r="271">
      <c r="A271" s="2" t="n">
        <v>270</v>
      </c>
      <c r="B271" s="2" t="inlineStr">
        <is>
          <t>212907</t>
        </is>
      </c>
      <c r="C271" s="2" t="inlineStr">
        <is>
          <t>POMADA ANTIMICROBIANO FURANIL VETNIL - 500G</t>
        </is>
      </c>
      <c r="D271" s="4" t="n">
        <v>0</v>
      </c>
      <c r="E271" s="4" t="n">
        <v>1</v>
      </c>
      <c r="F271" s="4" t="n">
        <v>5</v>
      </c>
      <c r="G271" s="4">
        <f>SUM(D271:F271)</f>
        <v/>
      </c>
      <c r="H271" s="5" t="n">
        <v>0</v>
      </c>
      <c r="I271" s="5" t="n">
        <v>169.9</v>
      </c>
      <c r="J271" s="5" t="n">
        <v>849.4</v>
      </c>
      <c r="K271" s="5">
        <f>SUM(H271:J271)</f>
        <v/>
      </c>
      <c r="L271" s="6">
        <f>IF($K$622=0,0,K271/$K$622)</f>
        <v/>
      </c>
      <c r="M271" s="6">
        <f>M270+L271</f>
        <v/>
      </c>
      <c r="N271" s="9">
        <f>IF(M271&lt;=0.8,"A",IF(M271&lt;=0.95,"B","C"))</f>
        <v/>
      </c>
    </row>
    <row r="272">
      <c r="A272" s="2" t="n">
        <v>271</v>
      </c>
      <c r="B272" s="2" t="inlineStr">
        <is>
          <t>214839</t>
        </is>
      </c>
      <c r="C272" s="2" t="inlineStr">
        <is>
          <t>KIT POTE DE VIDRO C/ TAMPA DE BAMBU - 550ML - 6 UNIDADES</t>
        </is>
      </c>
      <c r="D272" s="4" t="n">
        <v>0</v>
      </c>
      <c r="E272" s="4" t="n">
        <v>0</v>
      </c>
      <c r="F272" s="4" t="n">
        <v>12</v>
      </c>
      <c r="G272" s="4">
        <f>SUM(D272:F272)</f>
        <v/>
      </c>
      <c r="H272" s="5" t="n">
        <v>0</v>
      </c>
      <c r="I272" s="5" t="n">
        <v>0</v>
      </c>
      <c r="J272" s="5" t="n">
        <v>1002.79</v>
      </c>
      <c r="K272" s="5">
        <f>SUM(H272:J272)</f>
        <v/>
      </c>
      <c r="L272" s="6">
        <f>IF($K$622=0,0,K272/$K$622)</f>
        <v/>
      </c>
      <c r="M272" s="6">
        <f>M271+L272</f>
        <v/>
      </c>
      <c r="N272" s="9">
        <f>IF(M272&lt;=0.8,"A",IF(M272&lt;=0.95,"B","C"))</f>
        <v/>
      </c>
    </row>
    <row r="273">
      <c r="A273" s="2" t="n">
        <v>272</v>
      </c>
      <c r="B273" s="2" t="inlineStr">
        <is>
          <t>216071</t>
        </is>
      </c>
      <c r="C273" s="2" t="inlineStr">
        <is>
          <t>Areia Sanitária Gatos Milho Mandioca Espaço De Bicho Grãos Grossos 4kg</t>
        </is>
      </c>
      <c r="D273" s="4" t="n">
        <v>0</v>
      </c>
      <c r="E273" s="4" t="n">
        <v>2</v>
      </c>
      <c r="F273" s="4" t="n">
        <v>18</v>
      </c>
      <c r="G273" s="4">
        <f>SUM(D273:F273)</f>
        <v/>
      </c>
      <c r="H273" s="5" t="n">
        <v>0</v>
      </c>
      <c r="I273" s="5" t="n">
        <v>85.8</v>
      </c>
      <c r="J273" s="5" t="n">
        <v>898.2</v>
      </c>
      <c r="K273" s="5">
        <f>SUM(H273:J273)</f>
        <v/>
      </c>
      <c r="L273" s="6">
        <f>IF($K$622=0,0,K273/$K$622)</f>
        <v/>
      </c>
      <c r="M273" s="6">
        <f>M272+L273</f>
        <v/>
      </c>
      <c r="N273" s="9">
        <f>IF(M273&lt;=0.8,"A",IF(M273&lt;=0.95,"B","C"))</f>
        <v/>
      </c>
    </row>
    <row r="274">
      <c r="A274" s="2" t="n">
        <v>273</v>
      </c>
      <c r="B274" s="2" t="inlineStr">
        <is>
          <t>214836</t>
        </is>
      </c>
      <c r="C274" s="2" t="inlineStr">
        <is>
          <t>KIT POTE DE VIDRO C/ TAMPA DE BAMBU - 550ML - 2 UNIDADES</t>
        </is>
      </c>
      <c r="D274" s="4" t="n">
        <v>0</v>
      </c>
      <c r="E274" s="4" t="n">
        <v>0</v>
      </c>
      <c r="F274" s="4" t="n">
        <v>23</v>
      </c>
      <c r="G274" s="4">
        <f>SUM(D274:F274)</f>
        <v/>
      </c>
      <c r="H274" s="5" t="n">
        <v>0</v>
      </c>
      <c r="I274" s="5" t="n">
        <v>0</v>
      </c>
      <c r="J274" s="5" t="n">
        <v>981.3</v>
      </c>
      <c r="K274" s="5">
        <f>SUM(H274:J274)</f>
        <v/>
      </c>
      <c r="L274" s="6">
        <f>IF($K$622=0,0,K274/$K$622)</f>
        <v/>
      </c>
      <c r="M274" s="6">
        <f>M273+L274</f>
        <v/>
      </c>
      <c r="N274" s="9">
        <f>IF(M274&lt;=0.8,"A",IF(M274&lt;=0.95,"B","C"))</f>
        <v/>
      </c>
    </row>
    <row r="275">
      <c r="A275" s="2" t="n">
        <v>274</v>
      </c>
      <c r="B275" s="2" t="inlineStr">
        <is>
          <t>214093</t>
        </is>
      </c>
      <c r="C275" s="2" t="inlineStr">
        <is>
          <t>ROLOS REMOVEDOR DE PELOS - AZUL</t>
        </is>
      </c>
      <c r="D275" s="4" t="n">
        <v>0</v>
      </c>
      <c r="E275" s="4" t="n">
        <v>24</v>
      </c>
      <c r="F275" s="4" t="n">
        <v>10</v>
      </c>
      <c r="G275" s="4">
        <f>SUM(D275:F275)</f>
        <v/>
      </c>
      <c r="H275" s="5" t="n">
        <v>0</v>
      </c>
      <c r="I275" s="5" t="n">
        <v>692.6</v>
      </c>
      <c r="J275" s="5" t="n">
        <v>280.5</v>
      </c>
      <c r="K275" s="5">
        <f>SUM(H275:J275)</f>
        <v/>
      </c>
      <c r="L275" s="6">
        <f>IF($K$622=0,0,K275/$K$622)</f>
        <v/>
      </c>
      <c r="M275" s="6">
        <f>M274+L275</f>
        <v/>
      </c>
      <c r="N275" s="9">
        <f>IF(M275&lt;=0.8,"A",IF(M275&lt;=0.95,"B","C"))</f>
        <v/>
      </c>
    </row>
    <row r="276">
      <c r="A276" s="2" t="n">
        <v>275</v>
      </c>
      <c r="B276" s="2" t="inlineStr">
        <is>
          <t>213683</t>
        </is>
      </c>
      <c r="C276" s="2" t="inlineStr">
        <is>
          <t>KIT PROTETOR DE COLCHÃO  LENÇOL OLIVER HOME G DESCARTÁVEL - KIT 5 - 25 UNIDADES</t>
        </is>
      </c>
      <c r="D276" s="4" t="n">
        <v>0</v>
      </c>
      <c r="E276" s="4" t="n">
        <v>4</v>
      </c>
      <c r="F276" s="4" t="n">
        <v>4</v>
      </c>
      <c r="G276" s="4">
        <f>SUM(D276:F276)</f>
        <v/>
      </c>
      <c r="H276" s="5" t="n">
        <v>0</v>
      </c>
      <c r="I276" s="5" t="n">
        <v>479.6</v>
      </c>
      <c r="J276" s="5" t="n">
        <v>479.6</v>
      </c>
      <c r="K276" s="5">
        <f>SUM(H276:J276)</f>
        <v/>
      </c>
      <c r="L276" s="6">
        <f>IF($K$622=0,0,K276/$K$622)</f>
        <v/>
      </c>
      <c r="M276" s="6">
        <f>M275+L276</f>
        <v/>
      </c>
      <c r="N276" s="9">
        <f>IF(M276&lt;=0.8,"A",IF(M276&lt;=0.95,"B","C"))</f>
        <v/>
      </c>
    </row>
    <row r="277">
      <c r="A277" s="2" t="n">
        <v>276</v>
      </c>
      <c r="B277" s="2" t="inlineStr">
        <is>
          <t>215122</t>
        </is>
      </c>
      <c r="C277" s="2" t="inlineStr">
        <is>
          <t>SHORT LSPORT BASIC - 71348 - LUPO - M - VERDE</t>
        </is>
      </c>
      <c r="D277" s="4" t="n">
        <v>0</v>
      </c>
      <c r="E277" s="4" t="n">
        <v>4</v>
      </c>
      <c r="F277" s="4" t="n">
        <v>8</v>
      </c>
      <c r="G277" s="4">
        <f>SUM(D277:F277)</f>
        <v/>
      </c>
      <c r="H277" s="5" t="n">
        <v>0</v>
      </c>
      <c r="I277" s="5" t="n">
        <v>312.44</v>
      </c>
      <c r="J277" s="5" t="n">
        <v>625.67</v>
      </c>
      <c r="K277" s="5">
        <f>SUM(H277:J277)</f>
        <v/>
      </c>
      <c r="L277" s="6">
        <f>IF($K$622=0,0,K277/$K$622)</f>
        <v/>
      </c>
      <c r="M277" s="6">
        <f>M276+L277</f>
        <v/>
      </c>
      <c r="N277" s="9">
        <f>IF(M277&lt;=0.8,"A",IF(M277&lt;=0.95,"B","C"))</f>
        <v/>
      </c>
    </row>
    <row r="278">
      <c r="A278" s="2" t="n">
        <v>277</v>
      </c>
      <c r="B278" s="2" t="inlineStr">
        <is>
          <t>215208</t>
        </is>
      </c>
      <c r="C278" s="2" t="inlineStr">
        <is>
          <t>SHORT LSPORT BASIC - 71348 - LUPO - M - PURPLE</t>
        </is>
      </c>
      <c r="D278" s="4" t="n">
        <v>0</v>
      </c>
      <c r="E278" s="4" t="n">
        <v>6</v>
      </c>
      <c r="F278" s="4" t="n">
        <v>6</v>
      </c>
      <c r="G278" s="4">
        <f>SUM(D278:F278)</f>
        <v/>
      </c>
      <c r="H278" s="5" t="n">
        <v>0</v>
      </c>
      <c r="I278" s="5" t="n">
        <v>468.66</v>
      </c>
      <c r="J278" s="5" t="n">
        <v>466.29</v>
      </c>
      <c r="K278" s="5">
        <f>SUM(H278:J278)</f>
        <v/>
      </c>
      <c r="L278" s="6">
        <f>IF($K$622=0,0,K278/$K$622)</f>
        <v/>
      </c>
      <c r="M278" s="6">
        <f>M277+L278</f>
        <v/>
      </c>
      <c r="N278" s="9">
        <f>IF(M278&lt;=0.8,"A",IF(M278&lt;=0.95,"B","C"))</f>
        <v/>
      </c>
    </row>
    <row r="279">
      <c r="A279" s="2" t="n">
        <v>278</v>
      </c>
      <c r="B279" s="2" t="inlineStr">
        <is>
          <t>215261</t>
        </is>
      </c>
      <c r="C279" s="2" t="inlineStr">
        <is>
          <t>CALCA LEG. MAX LUPO - 71053 - LUPO - CASTANHO - GG</t>
        </is>
      </c>
      <c r="D279" s="4" t="n">
        <v>0</v>
      </c>
      <c r="E279" s="4" t="n">
        <v>2</v>
      </c>
      <c r="F279" s="4" t="n">
        <v>4</v>
      </c>
      <c r="G279" s="4">
        <f>SUM(D279:F279)</f>
        <v/>
      </c>
      <c r="H279" s="5" t="n">
        <v>0</v>
      </c>
      <c r="I279" s="5" t="n">
        <v>344.8</v>
      </c>
      <c r="J279" s="5" t="n">
        <v>588.09</v>
      </c>
      <c r="K279" s="5">
        <f>SUM(H279:J279)</f>
        <v/>
      </c>
      <c r="L279" s="6">
        <f>IF($K$622=0,0,K279/$K$622)</f>
        <v/>
      </c>
      <c r="M279" s="6">
        <f>M278+L279</f>
        <v/>
      </c>
      <c r="N279" s="9">
        <f>IF(M279&lt;=0.8,"A",IF(M279&lt;=0.95,"B","C"))</f>
        <v/>
      </c>
    </row>
    <row r="280">
      <c r="A280" s="2" t="n">
        <v>279</v>
      </c>
      <c r="B280" s="2" t="inlineStr">
        <is>
          <t>0008</t>
        </is>
      </c>
      <c r="C280" s="2" t="inlineStr">
        <is>
          <t>Organew Pó - (1kg)</t>
        </is>
      </c>
      <c r="D280" s="4" t="n">
        <v>1</v>
      </c>
      <c r="E280" s="4" t="n">
        <v>12</v>
      </c>
      <c r="F280" s="4" t="n">
        <v>0</v>
      </c>
      <c r="G280" s="4">
        <f>SUM(D280:F280)</f>
        <v/>
      </c>
      <c r="H280" s="5" t="n">
        <v>70.90000000000001</v>
      </c>
      <c r="I280" s="5" t="n">
        <v>850.8</v>
      </c>
      <c r="J280" s="5" t="n">
        <v>0</v>
      </c>
      <c r="K280" s="5">
        <f>SUM(H280:J280)</f>
        <v/>
      </c>
      <c r="L280" s="6">
        <f>IF($K$622=0,0,K280/$K$622)</f>
        <v/>
      </c>
      <c r="M280" s="6">
        <f>M279+L280</f>
        <v/>
      </c>
      <c r="N280" s="9">
        <f>IF(M280&lt;=0.8,"A",IF(M280&lt;=0.95,"B","C"))</f>
        <v/>
      </c>
    </row>
    <row r="281">
      <c r="A281" s="2" t="n">
        <v>280</v>
      </c>
      <c r="B281" s="2" t="inlineStr">
        <is>
          <t>214147</t>
        </is>
      </c>
      <c r="C281" s="2" t="inlineStr">
        <is>
          <t>JOGO DE TALHERES INOX 25 PEÇAS  - BRANCO</t>
        </is>
      </c>
      <c r="D281" s="4" t="n">
        <v>0</v>
      </c>
      <c r="E281" s="4" t="n">
        <v>3</v>
      </c>
      <c r="F281" s="4" t="n">
        <v>31</v>
      </c>
      <c r="G281" s="4">
        <f>SUM(D281:F281)</f>
        <v/>
      </c>
      <c r="H281" s="5" t="n">
        <v>0</v>
      </c>
      <c r="I281" s="5" t="n">
        <v>158.75</v>
      </c>
      <c r="J281" s="5" t="n">
        <v>761.87</v>
      </c>
      <c r="K281" s="5">
        <f>SUM(H281:J281)</f>
        <v/>
      </c>
      <c r="L281" s="6">
        <f>IF($K$622=0,0,K281/$K$622)</f>
        <v/>
      </c>
      <c r="M281" s="6">
        <f>M280+L281</f>
        <v/>
      </c>
      <c r="N281" s="9">
        <f>IF(M281&lt;=0.8,"A",IF(M281&lt;=0.95,"B","C"))</f>
        <v/>
      </c>
    </row>
    <row r="282">
      <c r="A282" s="2" t="n">
        <v>281</v>
      </c>
      <c r="B282" s="2" t="inlineStr">
        <is>
          <t>MLB6744603078</t>
        </is>
      </c>
      <c r="C282" s="2" t="inlineStr">
        <is>
          <t>Cardisure 1,25mg- 80 Comprimidos Sabor Carne - Todos os tamanhos - Carne - Caixa</t>
        </is>
      </c>
      <c r="D282" s="4" t="n">
        <v>0</v>
      </c>
      <c r="E282" s="4" t="n">
        <v>4</v>
      </c>
      <c r="F282" s="4" t="n">
        <v>0</v>
      </c>
      <c r="G282" s="4">
        <f>SUM(D282:F282)</f>
        <v/>
      </c>
      <c r="H282" s="5" t="n">
        <v>0</v>
      </c>
      <c r="I282" s="5" t="n">
        <v>919.6</v>
      </c>
      <c r="J282" s="5" t="n">
        <v>0</v>
      </c>
      <c r="K282" s="5">
        <f>SUM(H282:J282)</f>
        <v/>
      </c>
      <c r="L282" s="6">
        <f>IF($K$622=0,0,K282/$K$622)</f>
        <v/>
      </c>
      <c r="M282" s="6">
        <f>M281+L282</f>
        <v/>
      </c>
      <c r="N282" s="9">
        <f>IF(M282&lt;=0.8,"A",IF(M282&lt;=0.95,"B","C"))</f>
        <v/>
      </c>
    </row>
    <row r="283">
      <c r="A283" s="2" t="n">
        <v>282</v>
      </c>
      <c r="B283" s="2" t="inlineStr">
        <is>
          <t>214025</t>
        </is>
      </c>
      <c r="C283" s="2" t="inlineStr">
        <is>
          <t>SANDUICHEIRA ELÉTRICA 750W  - BRANCA - 220V</t>
        </is>
      </c>
      <c r="D283" s="4" t="n">
        <v>0</v>
      </c>
      <c r="E283" s="4" t="n">
        <v>2</v>
      </c>
      <c r="F283" s="4" t="n">
        <v>6</v>
      </c>
      <c r="G283" s="4">
        <f>SUM(D283:F283)</f>
        <v/>
      </c>
      <c r="H283" s="5" t="n">
        <v>0</v>
      </c>
      <c r="I283" s="5" t="n">
        <v>149.9</v>
      </c>
      <c r="J283" s="5" t="n">
        <v>749.5</v>
      </c>
      <c r="K283" s="5">
        <f>SUM(H283:J283)</f>
        <v/>
      </c>
      <c r="L283" s="6">
        <f>IF($K$622=0,0,K283/$K$622)</f>
        <v/>
      </c>
      <c r="M283" s="6">
        <f>M282+L283</f>
        <v/>
      </c>
      <c r="N283" s="9">
        <f>IF(M283&lt;=0.8,"A",IF(M283&lt;=0.95,"B","C"))</f>
        <v/>
      </c>
    </row>
    <row r="284">
      <c r="A284" s="2" t="n">
        <v>283</v>
      </c>
      <c r="B284" s="2" t="inlineStr">
        <is>
          <t>215989</t>
        </is>
      </c>
      <c r="C284" s="2" t="inlineStr">
        <is>
          <t>KIT POTE DE VIDRO MARMITA - 640ML - SORTIDO - 3 POTES</t>
        </is>
      </c>
      <c r="D284" s="4" t="n">
        <v>0</v>
      </c>
      <c r="E284" s="4" t="n">
        <v>9</v>
      </c>
      <c r="F284" s="4" t="n">
        <v>0</v>
      </c>
      <c r="G284" s="4">
        <f>SUM(D284:F284)</f>
        <v/>
      </c>
      <c r="H284" s="5" t="n">
        <v>0</v>
      </c>
      <c r="I284" s="5" t="n">
        <v>899.1</v>
      </c>
      <c r="J284" s="5" t="n">
        <v>0</v>
      </c>
      <c r="K284" s="5">
        <f>SUM(H284:J284)</f>
        <v/>
      </c>
      <c r="L284" s="6">
        <f>IF($K$622=0,0,K284/$K$622)</f>
        <v/>
      </c>
      <c r="M284" s="6">
        <f>M283+L284</f>
        <v/>
      </c>
      <c r="N284" s="9">
        <f>IF(M284&lt;=0.8,"A",IF(M284&lt;=0.95,"B","C"))</f>
        <v/>
      </c>
    </row>
    <row r="285">
      <c r="A285" s="2" t="n">
        <v>284</v>
      </c>
      <c r="B285" s="2" t="inlineStr">
        <is>
          <t>214477</t>
        </is>
      </c>
      <c r="C285" s="2" t="inlineStr">
        <is>
          <t>SHORT ATTACK - 71144-001 - LUPO  - GG - PRETO</t>
        </is>
      </c>
      <c r="D285" s="4" t="n">
        <v>0</v>
      </c>
      <c r="E285" s="4" t="n">
        <v>2</v>
      </c>
      <c r="F285" s="4" t="n">
        <v>9</v>
      </c>
      <c r="G285" s="4">
        <f>SUM(D285:F285)</f>
        <v/>
      </c>
      <c r="H285" s="5" t="n">
        <v>0</v>
      </c>
      <c r="I285" s="5" t="n">
        <v>159.8</v>
      </c>
      <c r="J285" s="5" t="n">
        <v>719.1</v>
      </c>
      <c r="K285" s="5">
        <f>SUM(H285:J285)</f>
        <v/>
      </c>
      <c r="L285" s="6">
        <f>IF($K$622=0,0,K285/$K$622)</f>
        <v/>
      </c>
      <c r="M285" s="6">
        <f>M284+L285</f>
        <v/>
      </c>
      <c r="N285" s="9">
        <f>IF(M285&lt;=0.8,"A",IF(M285&lt;=0.95,"B","C"))</f>
        <v/>
      </c>
    </row>
    <row r="286">
      <c r="A286" s="2" t="n">
        <v>285</v>
      </c>
      <c r="B286" s="2" t="inlineStr">
        <is>
          <t>214476</t>
        </is>
      </c>
      <c r="C286" s="2" t="inlineStr">
        <is>
          <t>SHORT ATTACK - 71144-001 - LUPO  - G - PRETO</t>
        </is>
      </c>
      <c r="D286" s="4" t="n">
        <v>0</v>
      </c>
      <c r="E286" s="4" t="n">
        <v>4</v>
      </c>
      <c r="F286" s="4" t="n">
        <v>7</v>
      </c>
      <c r="G286" s="4">
        <f>SUM(D286:F286)</f>
        <v/>
      </c>
      <c r="H286" s="5" t="n">
        <v>0</v>
      </c>
      <c r="I286" s="5" t="n">
        <v>319.6</v>
      </c>
      <c r="J286" s="5" t="n">
        <v>559.3</v>
      </c>
      <c r="K286" s="5">
        <f>SUM(H286:J286)</f>
        <v/>
      </c>
      <c r="L286" s="6">
        <f>IF($K$622=0,0,K286/$K$622)</f>
        <v/>
      </c>
      <c r="M286" s="6">
        <f>M285+L286</f>
        <v/>
      </c>
      <c r="N286" s="9">
        <f>IF(M286&lt;=0.8,"A",IF(M286&lt;=0.95,"B","C"))</f>
        <v/>
      </c>
    </row>
    <row r="287">
      <c r="A287" s="2" t="n">
        <v>286</v>
      </c>
      <c r="B287" s="2" t="inlineStr">
        <is>
          <t>60UNI-TAPETE-EPCBICHO-60X50-FULL</t>
        </is>
      </c>
      <c r="C287" s="2" t="inlineStr">
        <is>
          <t>Tapete Higiênico Espaço De Bicho Para Cães 50x60cm 60 Uni Branco - Branco - Liso</t>
        </is>
      </c>
      <c r="D287" s="4" t="n">
        <v>0</v>
      </c>
      <c r="E287" s="4" t="n">
        <v>3</v>
      </c>
      <c r="F287" s="4" t="n">
        <v>8</v>
      </c>
      <c r="G287" s="4">
        <f>SUM(D287:F287)</f>
        <v/>
      </c>
      <c r="H287" s="5" t="n">
        <v>0</v>
      </c>
      <c r="I287" s="5" t="n">
        <v>236.7</v>
      </c>
      <c r="J287" s="5" t="n">
        <v>631.2</v>
      </c>
      <c r="K287" s="5">
        <f>SUM(H287:J287)</f>
        <v/>
      </c>
      <c r="L287" s="6">
        <f>IF($K$622=0,0,K287/$K$622)</f>
        <v/>
      </c>
      <c r="M287" s="6">
        <f>M286+L287</f>
        <v/>
      </c>
      <c r="N287" s="9">
        <f>IF(M287&lt;=0.8,"A",IF(M287&lt;=0.95,"B","C"))</f>
        <v/>
      </c>
    </row>
    <row r="288">
      <c r="A288" s="2" t="n">
        <v>287</v>
      </c>
      <c r="B288" s="2" t="inlineStr">
        <is>
          <t>214569</t>
        </is>
      </c>
      <c r="C288" s="2" t="inlineStr">
        <is>
          <t>KIT CUECAS BOXER MICROFIBRA - 000436-088 - LUPO - P - 38 A 40 - PRETO/VINHO - 10 UNIDADES (5 PACOTES)</t>
        </is>
      </c>
      <c r="D288" s="4" t="n">
        <v>0</v>
      </c>
      <c r="E288" s="4" t="n">
        <v>2</v>
      </c>
      <c r="F288" s="4" t="n">
        <v>2</v>
      </c>
      <c r="G288" s="4">
        <f>SUM(D288:F288)</f>
        <v/>
      </c>
      <c r="H288" s="5" t="n">
        <v>0</v>
      </c>
      <c r="I288" s="5" t="n">
        <v>433.8</v>
      </c>
      <c r="J288" s="5" t="n">
        <v>433.8</v>
      </c>
      <c r="K288" s="5">
        <f>SUM(H288:J288)</f>
        <v/>
      </c>
      <c r="L288" s="6">
        <f>IF($K$622=0,0,K288/$K$622)</f>
        <v/>
      </c>
      <c r="M288" s="6">
        <f>M287+L288</f>
        <v/>
      </c>
      <c r="N288" s="9">
        <f>IF(M288&lt;=0.8,"A",IF(M288&lt;=0.95,"B","C"))</f>
        <v/>
      </c>
    </row>
    <row r="289">
      <c r="A289" s="2" t="n">
        <v>288</v>
      </c>
      <c r="B289" s="2" t="inlineStr">
        <is>
          <t>214570</t>
        </is>
      </c>
      <c r="C289" s="2" t="inlineStr">
        <is>
          <t>KIT CUECAS BOXER MICROFIBRA - 000436-088 - LUPO - P - 38 A 40 - PRETO/AZUL ESCURO - 10 UNIDADES (5 PACOTES)</t>
        </is>
      </c>
      <c r="D289" s="4" t="n">
        <v>0</v>
      </c>
      <c r="E289" s="4" t="n">
        <v>1</v>
      </c>
      <c r="F289" s="4" t="n">
        <v>3</v>
      </c>
      <c r="G289" s="4">
        <f>SUM(D289:F289)</f>
        <v/>
      </c>
      <c r="H289" s="5" t="n">
        <v>0</v>
      </c>
      <c r="I289" s="5" t="n">
        <v>216.9</v>
      </c>
      <c r="J289" s="5" t="n">
        <v>650.7</v>
      </c>
      <c r="K289" s="5">
        <f>SUM(H289:J289)</f>
        <v/>
      </c>
      <c r="L289" s="6">
        <f>IF($K$622=0,0,K289/$K$622)</f>
        <v/>
      </c>
      <c r="M289" s="6">
        <f>M288+L289</f>
        <v/>
      </c>
      <c r="N289" s="9">
        <f>IF(M289&lt;=0.8,"A",IF(M289&lt;=0.95,"B","C"))</f>
        <v/>
      </c>
    </row>
    <row r="290">
      <c r="A290" s="2" t="n">
        <v>289</v>
      </c>
      <c r="B290" s="2" t="inlineStr">
        <is>
          <t>215121</t>
        </is>
      </c>
      <c r="C290" s="2" t="inlineStr">
        <is>
          <t>SHORT LSPORT BASIC - 71348 - LUPO - P - VERDE</t>
        </is>
      </c>
      <c r="D290" s="4" t="n">
        <v>0</v>
      </c>
      <c r="E290" s="4" t="n">
        <v>4</v>
      </c>
      <c r="F290" s="4" t="n">
        <v>7</v>
      </c>
      <c r="G290" s="4">
        <f>SUM(D290:F290)</f>
        <v/>
      </c>
      <c r="H290" s="5" t="n">
        <v>0</v>
      </c>
      <c r="I290" s="5" t="n">
        <v>307.7</v>
      </c>
      <c r="J290" s="5" t="n">
        <v>548.35</v>
      </c>
      <c r="K290" s="5">
        <f>SUM(H290:J290)</f>
        <v/>
      </c>
      <c r="L290" s="6">
        <f>IF($K$622=0,0,K290/$K$622)</f>
        <v/>
      </c>
      <c r="M290" s="6">
        <f>M289+L290</f>
        <v/>
      </c>
      <c r="N290" s="9">
        <f>IF(M290&lt;=0.8,"A",IF(M290&lt;=0.95,"B","C"))</f>
        <v/>
      </c>
    </row>
    <row r="291">
      <c r="A291" s="2" t="n">
        <v>290</v>
      </c>
      <c r="B291" s="2" t="inlineStr">
        <is>
          <t>214316</t>
        </is>
      </c>
      <c r="C291" s="2" t="inlineStr">
        <is>
          <t>CALCA LEG. MAX LUPO - 71053 - LUPO - GRAFITE - GG</t>
        </is>
      </c>
      <c r="D291" s="4" t="n">
        <v>0</v>
      </c>
      <c r="E291" s="4" t="n">
        <v>1</v>
      </c>
      <c r="F291" s="4" t="n">
        <v>4</v>
      </c>
      <c r="G291" s="4">
        <f>SUM(D291:F291)</f>
        <v/>
      </c>
      <c r="H291" s="5" t="n">
        <v>0</v>
      </c>
      <c r="I291" s="5" t="n">
        <v>169.9</v>
      </c>
      <c r="J291" s="5" t="n">
        <v>684.6</v>
      </c>
      <c r="K291" s="5">
        <f>SUM(H291:J291)</f>
        <v/>
      </c>
      <c r="L291" s="6">
        <f>IF($K$622=0,0,K291/$K$622)</f>
        <v/>
      </c>
      <c r="M291" s="6">
        <f>M290+L291</f>
        <v/>
      </c>
      <c r="N291" s="9">
        <f>IF(M291&lt;=0.8,"A",IF(M291&lt;=0.95,"B","C"))</f>
        <v/>
      </c>
    </row>
    <row r="292">
      <c r="A292" s="2" t="n">
        <v>291</v>
      </c>
      <c r="B292" s="2" t="inlineStr">
        <is>
          <t>KIT4-AREIA-EDB-4KG-GG</t>
        </is>
      </c>
      <c r="C292" s="2" t="inlineStr">
        <is>
          <t>Grãos Grossos</t>
        </is>
      </c>
      <c r="D292" s="4" t="n">
        <v>0</v>
      </c>
      <c r="E292" s="4" t="n">
        <v>0</v>
      </c>
      <c r="F292" s="4" t="n">
        <v>4</v>
      </c>
      <c r="G292" s="4">
        <f>SUM(D292:F292)</f>
        <v/>
      </c>
      <c r="H292" s="5" t="n">
        <v>0</v>
      </c>
      <c r="I292" s="5" t="n">
        <v>0</v>
      </c>
      <c r="J292" s="5" t="n">
        <v>835.5700000000001</v>
      </c>
      <c r="K292" s="5">
        <f>SUM(H292:J292)</f>
        <v/>
      </c>
      <c r="L292" s="6">
        <f>IF($K$622=0,0,K292/$K$622)</f>
        <v/>
      </c>
      <c r="M292" s="6">
        <f>M291+L292</f>
        <v/>
      </c>
      <c r="N292" s="9">
        <f>IF(M292&lt;=0.8,"A",IF(M292&lt;=0.95,"B","C"))</f>
        <v/>
      </c>
    </row>
    <row r="293">
      <c r="A293" s="2" t="n">
        <v>292</v>
      </c>
      <c r="B293" s="2" t="inlineStr">
        <is>
          <t>213856</t>
        </is>
      </c>
      <c r="C293" s="2" t="inlineStr">
        <is>
          <t>KIT TAPETE HIG ULTRA PADS CARVAO ATIVADO 60X60 - 90 UNIDADES</t>
        </is>
      </c>
      <c r="D293" s="4" t="n">
        <v>0</v>
      </c>
      <c r="E293" s="4" t="n">
        <v>5</v>
      </c>
      <c r="F293" s="4" t="n">
        <v>0</v>
      </c>
      <c r="G293" s="4">
        <f>SUM(D293:F293)</f>
        <v/>
      </c>
      <c r="H293" s="5" t="n">
        <v>0</v>
      </c>
      <c r="I293" s="5" t="n">
        <v>799.5</v>
      </c>
      <c r="J293" s="5" t="n">
        <v>0</v>
      </c>
      <c r="K293" s="5">
        <f>SUM(H293:J293)</f>
        <v/>
      </c>
      <c r="L293" s="6">
        <f>IF($K$622=0,0,K293/$K$622)</f>
        <v/>
      </c>
      <c r="M293" s="6">
        <f>M292+L293</f>
        <v/>
      </c>
      <c r="N293" s="9">
        <f>IF(M293&lt;=0.8,"A",IF(M293&lt;=0.95,"B","C"))</f>
        <v/>
      </c>
    </row>
    <row r="294">
      <c r="A294" s="2" t="n">
        <v>293</v>
      </c>
      <c r="B294" s="2" t="inlineStr">
        <is>
          <t>KIT-50-CAB-VEL-BR</t>
        </is>
      </c>
      <c r="C294" s="2" t="inlineStr">
        <is>
          <t>Branco, 50 UNIDADES</t>
        </is>
      </c>
      <c r="D294" s="4" t="n">
        <v>0</v>
      </c>
      <c r="E294" s="4" t="n">
        <v>0</v>
      </c>
      <c r="F294" s="4" t="n">
        <v>8</v>
      </c>
      <c r="G294" s="4">
        <f>SUM(D294:F294)</f>
        <v/>
      </c>
      <c r="H294" s="5" t="n">
        <v>0</v>
      </c>
      <c r="I294" s="5" t="n">
        <v>0</v>
      </c>
      <c r="J294" s="5" t="n">
        <v>799.2</v>
      </c>
      <c r="K294" s="5">
        <f>SUM(H294:J294)</f>
        <v/>
      </c>
      <c r="L294" s="6">
        <f>IF($K$622=0,0,K294/$K$622)</f>
        <v/>
      </c>
      <c r="M294" s="6">
        <f>M293+L294</f>
        <v/>
      </c>
      <c r="N294" s="9">
        <f>IF(M294&lt;=0.8,"A",IF(M294&lt;=0.95,"B","C"))</f>
        <v/>
      </c>
    </row>
    <row r="295">
      <c r="A295" s="2" t="n">
        <v>294</v>
      </c>
      <c r="B295" s="2" t="inlineStr">
        <is>
          <t>BOMBA-200L-220V</t>
        </is>
      </c>
      <c r="C295" s="2" t="inlineStr">
        <is>
          <t>220V</t>
        </is>
      </c>
      <c r="D295" s="4" t="n">
        <v>0</v>
      </c>
      <c r="E295" s="4" t="n">
        <v>3</v>
      </c>
      <c r="F295" s="4" t="n">
        <v>7</v>
      </c>
      <c r="G295" s="4">
        <f>SUM(D295:F295)</f>
        <v/>
      </c>
      <c r="H295" s="5" t="n">
        <v>0</v>
      </c>
      <c r="I295" s="5" t="n">
        <v>239.7</v>
      </c>
      <c r="J295" s="5" t="n">
        <v>559.3</v>
      </c>
      <c r="K295" s="5">
        <f>SUM(H295:J295)</f>
        <v/>
      </c>
      <c r="L295" s="6">
        <f>IF($K$622=0,0,K295/$K$622)</f>
        <v/>
      </c>
      <c r="M295" s="6">
        <f>M294+L295</f>
        <v/>
      </c>
      <c r="N295" s="9">
        <f>IF(M295&lt;=0.8,"A",IF(M295&lt;=0.95,"B","C"))</f>
        <v/>
      </c>
    </row>
    <row r="296">
      <c r="A296" s="2" t="n">
        <v>295</v>
      </c>
      <c r="B296" s="2" t="inlineStr">
        <is>
          <t>216019</t>
        </is>
      </c>
      <c r="C296" s="2" t="inlineStr">
        <is>
          <t>KIT POTE DE VIDRO MARMITA - 1040ML - SORTIDO - 1 POTE</t>
        </is>
      </c>
      <c r="D296" s="4" t="n">
        <v>0</v>
      </c>
      <c r="E296" s="4" t="n">
        <v>0</v>
      </c>
      <c r="F296" s="4" t="n">
        <v>18</v>
      </c>
      <c r="G296" s="4">
        <f>SUM(D296:F296)</f>
        <v/>
      </c>
      <c r="H296" s="5" t="n">
        <v>0</v>
      </c>
      <c r="I296" s="5" t="n">
        <v>0</v>
      </c>
      <c r="J296" s="5" t="n">
        <v>790.2</v>
      </c>
      <c r="K296" s="5">
        <f>SUM(H296:J296)</f>
        <v/>
      </c>
      <c r="L296" s="6">
        <f>IF($K$622=0,0,K296/$K$622)</f>
        <v/>
      </c>
      <c r="M296" s="6">
        <f>M295+L296</f>
        <v/>
      </c>
      <c r="N296" s="9">
        <f>IF(M296&lt;=0.8,"A",IF(M296&lt;=0.95,"B","C"))</f>
        <v/>
      </c>
    </row>
    <row r="297">
      <c r="A297" s="2" t="n">
        <v>296</v>
      </c>
      <c r="B297" s="2" t="inlineStr">
        <is>
          <t>214309</t>
        </is>
      </c>
      <c r="C297" s="2" t="inlineStr">
        <is>
          <t>CALCA LEG. MAX LUPO - 71053 - LUPO - VERDE - GG</t>
        </is>
      </c>
      <c r="D297" s="4" t="n">
        <v>0</v>
      </c>
      <c r="E297" s="4" t="n">
        <v>1</v>
      </c>
      <c r="F297" s="4" t="n">
        <v>4</v>
      </c>
      <c r="G297" s="4">
        <f>SUM(D297:F297)</f>
        <v/>
      </c>
      <c r="H297" s="5" t="n">
        <v>0</v>
      </c>
      <c r="I297" s="5" t="n">
        <v>174.9</v>
      </c>
      <c r="J297" s="5" t="n">
        <v>610.8099999999999</v>
      </c>
      <c r="K297" s="5">
        <f>SUM(H297:J297)</f>
        <v/>
      </c>
      <c r="L297" s="6">
        <f>IF($K$622=0,0,K297/$K$622)</f>
        <v/>
      </c>
      <c r="M297" s="6">
        <f>M296+L297</f>
        <v/>
      </c>
      <c r="N297" s="9">
        <f>IF(M297&lt;=0.8,"A",IF(M297&lt;=0.95,"B","C"))</f>
        <v/>
      </c>
    </row>
    <row r="298">
      <c r="A298" s="2" t="n">
        <v>297</v>
      </c>
      <c r="B298" s="2" t="inlineStr">
        <is>
          <t>214806</t>
        </is>
      </c>
      <c r="C298" s="2" t="inlineStr">
        <is>
          <t>KIT POTE DE VIDRO C/ TAMPA DE BAMBU - 200ML - 2 UNIDADES</t>
        </is>
      </c>
      <c r="D298" s="4" t="n">
        <v>0</v>
      </c>
      <c r="E298" s="4" t="n">
        <v>2</v>
      </c>
      <c r="F298" s="4" t="n">
        <v>29</v>
      </c>
      <c r="G298" s="4">
        <f>SUM(D298:F298)</f>
        <v/>
      </c>
      <c r="H298" s="5" t="n">
        <v>0</v>
      </c>
      <c r="I298" s="5" t="n">
        <v>113.8</v>
      </c>
      <c r="J298" s="5" t="n">
        <v>666.1</v>
      </c>
      <c r="K298" s="5">
        <f>SUM(H298:J298)</f>
        <v/>
      </c>
      <c r="L298" s="6">
        <f>IF($K$622=0,0,K298/$K$622)</f>
        <v/>
      </c>
      <c r="M298" s="6">
        <f>M297+L298</f>
        <v/>
      </c>
      <c r="N298" s="9">
        <f>IF(M298&lt;=0.8,"A",IF(M298&lt;=0.95,"B","C"))</f>
        <v/>
      </c>
    </row>
    <row r="299">
      <c r="A299" s="2" t="n">
        <v>298</v>
      </c>
      <c r="B299" s="2" t="inlineStr">
        <is>
          <t>213546</t>
        </is>
      </c>
      <c r="C299" s="2" t="inlineStr">
        <is>
          <t>INVICTO ANTIPULGAS GATO E CACHORRO - BLISTER C/1 COMP - 11.4MG</t>
        </is>
      </c>
      <c r="D299" s="4" t="n">
        <v>0</v>
      </c>
      <c r="E299" s="4" t="n">
        <v>13</v>
      </c>
      <c r="F299" s="4" t="n">
        <v>26</v>
      </c>
      <c r="G299" s="4">
        <f>SUM(D299:F299)</f>
        <v/>
      </c>
      <c r="H299" s="5" t="n">
        <v>0</v>
      </c>
      <c r="I299" s="5" t="n">
        <v>258.7</v>
      </c>
      <c r="J299" s="5" t="n">
        <v>517.4</v>
      </c>
      <c r="K299" s="5">
        <f>SUM(H299:J299)</f>
        <v/>
      </c>
      <c r="L299" s="6">
        <f>IF($K$622=0,0,K299/$K$622)</f>
        <v/>
      </c>
      <c r="M299" s="6">
        <f>M298+L299</f>
        <v/>
      </c>
      <c r="N299" s="9">
        <f>IF(M299&lt;=0.8,"A",IF(M299&lt;=0.95,"B","C"))</f>
        <v/>
      </c>
    </row>
    <row r="300">
      <c r="A300" s="2" t="n">
        <v>299</v>
      </c>
      <c r="B300" s="2" t="inlineStr">
        <is>
          <t>215207</t>
        </is>
      </c>
      <c r="C300" s="2" t="inlineStr">
        <is>
          <t>SHORT LSPORT BASIC - 71348 - LUPO - P - PURPLE</t>
        </is>
      </c>
      <c r="D300" s="4" t="n">
        <v>0</v>
      </c>
      <c r="E300" s="4" t="n">
        <v>5</v>
      </c>
      <c r="F300" s="4" t="n">
        <v>5</v>
      </c>
      <c r="G300" s="4">
        <f>SUM(D300:F300)</f>
        <v/>
      </c>
      <c r="H300" s="5" t="n">
        <v>0</v>
      </c>
      <c r="I300" s="5" t="n">
        <v>385.02</v>
      </c>
      <c r="J300" s="5" t="n">
        <v>390.55</v>
      </c>
      <c r="K300" s="5">
        <f>SUM(H300:J300)</f>
        <v/>
      </c>
      <c r="L300" s="6">
        <f>IF($K$622=0,0,K300/$K$622)</f>
        <v/>
      </c>
      <c r="M300" s="6">
        <f>M299+L300</f>
        <v/>
      </c>
      <c r="N300" s="9">
        <f>IF(M300&lt;=0.8,"A",IF(M300&lt;=0.95,"B","C"))</f>
        <v/>
      </c>
    </row>
    <row r="301">
      <c r="A301" s="2" t="n">
        <v>300</v>
      </c>
      <c r="B301" s="2" t="inlineStr">
        <is>
          <t>214855</t>
        </is>
      </c>
      <c r="C301" s="2" t="inlineStr">
        <is>
          <t>KIT POTE DE VIDRO C/ TAMPA DE BAMBU - 200ML - 10 UNIDADES</t>
        </is>
      </c>
      <c r="D301" s="4" t="n">
        <v>0</v>
      </c>
      <c r="E301" s="4" t="n">
        <v>0</v>
      </c>
      <c r="F301" s="4" t="n">
        <v>7</v>
      </c>
      <c r="G301" s="4">
        <f>SUM(D301:F301)</f>
        <v/>
      </c>
      <c r="H301" s="5" t="n">
        <v>0</v>
      </c>
      <c r="I301" s="5" t="n">
        <v>0</v>
      </c>
      <c r="J301" s="5" t="n">
        <v>764.3</v>
      </c>
      <c r="K301" s="5">
        <f>SUM(H301:J301)</f>
        <v/>
      </c>
      <c r="L301" s="6">
        <f>IF($K$622=0,0,K301/$K$622)</f>
        <v/>
      </c>
      <c r="M301" s="6">
        <f>M300+L301</f>
        <v/>
      </c>
      <c r="N301" s="9">
        <f>IF(M301&lt;=0.8,"A",IF(M301&lt;=0.95,"B","C"))</f>
        <v/>
      </c>
    </row>
    <row r="302">
      <c r="A302" s="2" t="n">
        <v>301</v>
      </c>
      <c r="B302" s="2" t="inlineStr">
        <is>
          <t>215416</t>
        </is>
      </c>
      <c r="C302" s="2" t="inlineStr">
        <is>
          <t>PACOTE 1 CUECA LONG LEG MICROMODAL - 00674 - LUPO - PRETO - M</t>
        </is>
      </c>
      <c r="D302" s="4" t="n">
        <v>0</v>
      </c>
      <c r="E302" s="4" t="n">
        <v>11</v>
      </c>
      <c r="F302" s="4" t="n">
        <v>1</v>
      </c>
      <c r="G302" s="4">
        <f>SUM(D302:F302)</f>
        <v/>
      </c>
      <c r="H302" s="5" t="n">
        <v>0</v>
      </c>
      <c r="I302" s="5" t="n">
        <v>695.7</v>
      </c>
      <c r="J302" s="5" t="n">
        <v>64.90000000000001</v>
      </c>
      <c r="K302" s="5">
        <f>SUM(H302:J302)</f>
        <v/>
      </c>
      <c r="L302" s="6">
        <f>IF($K$622=0,0,K302/$K$622)</f>
        <v/>
      </c>
      <c r="M302" s="6">
        <f>M301+L302</f>
        <v/>
      </c>
      <c r="N302" s="9">
        <f>IF(M302&lt;=0.8,"A",IF(M302&lt;=0.95,"B","C"))</f>
        <v/>
      </c>
    </row>
    <row r="303">
      <c r="A303" s="2" t="n">
        <v>302</v>
      </c>
      <c r="B303" s="2" t="inlineStr">
        <is>
          <t>1599</t>
        </is>
      </c>
      <c r="C303" s="2" t="inlineStr">
        <is>
          <t>Vetoryl 30mg - 30comprimidos -trilostano - Todos os tamanhos</t>
        </is>
      </c>
      <c r="D303" s="4" t="n">
        <v>0</v>
      </c>
      <c r="E303" s="4" t="n">
        <v>2</v>
      </c>
      <c r="F303" s="4" t="n">
        <v>0</v>
      </c>
      <c r="G303" s="4">
        <f>SUM(D303:F303)</f>
        <v/>
      </c>
      <c r="H303" s="5" t="n">
        <v>0</v>
      </c>
      <c r="I303" s="5" t="n">
        <v>759.6</v>
      </c>
      <c r="J303" s="5" t="n">
        <v>0</v>
      </c>
      <c r="K303" s="5">
        <f>SUM(H303:J303)</f>
        <v/>
      </c>
      <c r="L303" s="6">
        <f>IF($K$622=0,0,K303/$K$622)</f>
        <v/>
      </c>
      <c r="M303" s="6">
        <f>M302+L303</f>
        <v/>
      </c>
      <c r="N303" s="9">
        <f>IF(M303&lt;=0.8,"A",IF(M303&lt;=0.95,"B","C"))</f>
        <v/>
      </c>
    </row>
    <row r="304">
      <c r="A304" s="2" t="n">
        <v>303</v>
      </c>
      <c r="B304" s="2" t="inlineStr">
        <is>
          <t>212950</t>
        </is>
      </c>
      <c r="C304" s="2" t="inlineStr">
        <is>
          <t>TAPETE HIG ULTRA PADS CARVAO ATIVADO 60X60 30UN</t>
        </is>
      </c>
      <c r="D304" s="4" t="n">
        <v>0</v>
      </c>
      <c r="E304" s="4" t="n">
        <v>7</v>
      </c>
      <c r="F304" s="4" t="n">
        <v>6</v>
      </c>
      <c r="G304" s="4">
        <f>SUM(D304:F304)</f>
        <v/>
      </c>
      <c r="H304" s="5" t="n">
        <v>0</v>
      </c>
      <c r="I304" s="5" t="n">
        <v>429.3</v>
      </c>
      <c r="J304" s="5" t="n">
        <v>323.4</v>
      </c>
      <c r="K304" s="5">
        <f>SUM(H304:J304)</f>
        <v/>
      </c>
      <c r="L304" s="6">
        <f>IF($K$622=0,0,K304/$K$622)</f>
        <v/>
      </c>
      <c r="M304" s="6">
        <f>M303+L304</f>
        <v/>
      </c>
      <c r="N304" s="9">
        <f>IF(M304&lt;=0.8,"A",IF(M304&lt;=0.95,"B","C"))</f>
        <v/>
      </c>
    </row>
    <row r="305">
      <c r="A305" s="2" t="n">
        <v>304</v>
      </c>
      <c r="B305" s="2" t="inlineStr">
        <is>
          <t>214320</t>
        </is>
      </c>
      <c r="C305" s="2" t="inlineStr">
        <is>
          <t>CALCA LEG. MAX LUPO - 71053 - LUPO - GOIABA - GG</t>
        </is>
      </c>
      <c r="D305" s="4" t="n">
        <v>0</v>
      </c>
      <c r="E305" s="4" t="n">
        <v>1</v>
      </c>
      <c r="F305" s="4" t="n">
        <v>4</v>
      </c>
      <c r="G305" s="4">
        <f>SUM(D305:F305)</f>
        <v/>
      </c>
      <c r="H305" s="5" t="n">
        <v>0</v>
      </c>
      <c r="I305" s="5" t="n">
        <v>154.9</v>
      </c>
      <c r="J305" s="5" t="n">
        <v>595.8099999999999</v>
      </c>
      <c r="K305" s="5">
        <f>SUM(H305:J305)</f>
        <v/>
      </c>
      <c r="L305" s="6">
        <f>IF($K$622=0,0,K305/$K$622)</f>
        <v/>
      </c>
      <c r="M305" s="6">
        <f>M304+L305</f>
        <v/>
      </c>
      <c r="N305" s="9">
        <f>IF(M305&lt;=0.8,"A",IF(M305&lt;=0.95,"B","C"))</f>
        <v/>
      </c>
    </row>
    <row r="306">
      <c r="A306" s="2" t="n">
        <v>305</v>
      </c>
      <c r="B306" s="2" t="inlineStr">
        <is>
          <t>KIT5-AREIA-EDB-4KG-GG</t>
        </is>
      </c>
      <c r="C306" s="2" t="inlineStr">
        <is>
          <t>Kit 5 Areia Higiênica Biodegradável Grãos Finos Milho e Mandioca (100% Natural) - Espaço De Bicho - Grãos Grossos</t>
        </is>
      </c>
      <c r="D306" s="4" t="n">
        <v>0</v>
      </c>
      <c r="E306" s="4" t="n">
        <v>0</v>
      </c>
      <c r="F306" s="4" t="n">
        <v>3</v>
      </c>
      <c r="G306" s="4">
        <f>SUM(D306:F306)</f>
        <v/>
      </c>
      <c r="H306" s="5" t="n">
        <v>0</v>
      </c>
      <c r="I306" s="5" t="n">
        <v>0</v>
      </c>
      <c r="J306" s="5" t="n">
        <v>734.6799999999999</v>
      </c>
      <c r="K306" s="5">
        <f>SUM(H306:J306)</f>
        <v/>
      </c>
      <c r="L306" s="6">
        <f>IF($K$622=0,0,K306/$K$622)</f>
        <v/>
      </c>
      <c r="M306" s="6">
        <f>M305+L306</f>
        <v/>
      </c>
      <c r="N306" s="9">
        <f>IF(M306&lt;=0.8,"A",IF(M306&lt;=0.95,"B","C"))</f>
        <v/>
      </c>
    </row>
    <row r="307">
      <c r="A307" s="2" t="n">
        <v>306</v>
      </c>
      <c r="B307" s="2" t="inlineStr">
        <is>
          <t>213524</t>
        </is>
      </c>
      <c r="C307" s="2" t="inlineStr">
        <is>
          <t>BRINQUEDO INTERATIVO PARA GATOS VARINHA PÁSSARO COM VENTOSA FIXA  - AZUL</t>
        </is>
      </c>
      <c r="D307" s="4" t="n">
        <v>0</v>
      </c>
      <c r="E307" s="4" t="n">
        <v>13</v>
      </c>
      <c r="F307" s="4" t="n">
        <v>18</v>
      </c>
      <c r="G307" s="4">
        <f>SUM(D307:F307)</f>
        <v/>
      </c>
      <c r="H307" s="5" t="n">
        <v>0</v>
      </c>
      <c r="I307" s="5" t="n">
        <v>338.7</v>
      </c>
      <c r="J307" s="5" t="n">
        <v>384.41</v>
      </c>
      <c r="K307" s="5">
        <f>SUM(H307:J307)</f>
        <v/>
      </c>
      <c r="L307" s="6">
        <f>IF($K$622=0,0,K307/$K$622)</f>
        <v/>
      </c>
      <c r="M307" s="6">
        <f>M306+L307</f>
        <v/>
      </c>
      <c r="N307" s="9">
        <f>IF(M307&lt;=0.8,"A",IF(M307&lt;=0.95,"B","C"))</f>
        <v/>
      </c>
    </row>
    <row r="308">
      <c r="A308" s="2" t="n">
        <v>307</v>
      </c>
      <c r="B308" s="2" t="inlineStr">
        <is>
          <t>213963</t>
        </is>
      </c>
      <c r="C308" s="2" t="inlineStr">
        <is>
          <t>KIT POTE DE VIDRO MARMITA - 640ML - AZUL - 12 POTES</t>
        </is>
      </c>
      <c r="D308" s="4" t="n">
        <v>0</v>
      </c>
      <c r="E308" s="4" t="n">
        <v>4</v>
      </c>
      <c r="F308" s="4" t="n">
        <v>0</v>
      </c>
      <c r="G308" s="4">
        <f>SUM(D308:F308)</f>
        <v/>
      </c>
      <c r="H308" s="5" t="n">
        <v>0</v>
      </c>
      <c r="I308" s="5" t="n">
        <v>719.5700000000001</v>
      </c>
      <c r="J308" s="5" t="n">
        <v>0</v>
      </c>
      <c r="K308" s="5">
        <f>SUM(H308:J308)</f>
        <v/>
      </c>
      <c r="L308" s="6">
        <f>IF($K$622=0,0,K308/$K$622)</f>
        <v/>
      </c>
      <c r="M308" s="6">
        <f>M307+L308</f>
        <v/>
      </c>
      <c r="N308" s="9">
        <f>IF(M308&lt;=0.8,"A",IF(M308&lt;=0.95,"B","C"))</f>
        <v/>
      </c>
    </row>
    <row r="309">
      <c r="A309" s="2" t="n">
        <v>308</v>
      </c>
      <c r="B309" s="2" t="inlineStr">
        <is>
          <t>KIT6-TAÇA</t>
        </is>
      </c>
      <c r="C309" s="2" t="inlineStr">
        <is>
          <t>6 Taças</t>
        </is>
      </c>
      <c r="D309" s="4" t="n">
        <v>0</v>
      </c>
      <c r="E309" s="4" t="n">
        <v>4</v>
      </c>
      <c r="F309" s="4" t="n">
        <v>5</v>
      </c>
      <c r="G309" s="4">
        <f>SUM(D309:F309)</f>
        <v/>
      </c>
      <c r="H309" s="5" t="n">
        <v>0</v>
      </c>
      <c r="I309" s="5" t="n">
        <v>319.6</v>
      </c>
      <c r="J309" s="5" t="n">
        <v>399.5</v>
      </c>
      <c r="K309" s="5">
        <f>SUM(H309:J309)</f>
        <v/>
      </c>
      <c r="L309" s="6">
        <f>IF($K$622=0,0,K309/$K$622)</f>
        <v/>
      </c>
      <c r="M309" s="6">
        <f>M308+L309</f>
        <v/>
      </c>
      <c r="N309" s="9">
        <f>IF(M309&lt;=0.8,"A",IF(M309&lt;=0.95,"B","C"))</f>
        <v/>
      </c>
    </row>
    <row r="310">
      <c r="A310" s="2" t="n">
        <v>309</v>
      </c>
      <c r="B310" s="2" t="inlineStr">
        <is>
          <t>214288</t>
        </is>
      </c>
      <c r="C310" s="2" t="inlineStr">
        <is>
          <t>CALCA LEG. MAX LUPO - 71053 - LUPO - GOIABA - M</t>
        </is>
      </c>
      <c r="D310" s="4" t="n">
        <v>0</v>
      </c>
      <c r="E310" s="4" t="n">
        <v>4</v>
      </c>
      <c r="F310" s="4" t="n">
        <v>0</v>
      </c>
      <c r="G310" s="4">
        <f>SUM(D310:F310)</f>
        <v/>
      </c>
      <c r="H310" s="5" t="n">
        <v>0</v>
      </c>
      <c r="I310" s="5" t="n">
        <v>699.6</v>
      </c>
      <c r="J310" s="5" t="n">
        <v>0</v>
      </c>
      <c r="K310" s="5">
        <f>SUM(H310:J310)</f>
        <v/>
      </c>
      <c r="L310" s="6">
        <f>IF($K$622=0,0,K310/$K$622)</f>
        <v/>
      </c>
      <c r="M310" s="6">
        <f>M309+L310</f>
        <v/>
      </c>
      <c r="N310" s="9">
        <f>IF(M310&lt;=0.8,"A",IF(M310&lt;=0.95,"B","C"))</f>
        <v/>
      </c>
    </row>
    <row r="311">
      <c r="A311" s="2" t="n">
        <v>310</v>
      </c>
      <c r="B311" s="2" t="inlineStr">
        <is>
          <t>214292</t>
        </is>
      </c>
      <c r="C311" s="2" t="inlineStr">
        <is>
          <t>CALCA LEG. MAX LUPO - 71053 - LUPO - CHOCOLATE - G</t>
        </is>
      </c>
      <c r="D311" s="4" t="n">
        <v>0</v>
      </c>
      <c r="E311" s="4" t="n">
        <v>3</v>
      </c>
      <c r="F311" s="4" t="n">
        <v>1</v>
      </c>
      <c r="G311" s="4">
        <f>SUM(D311:F311)</f>
        <v/>
      </c>
      <c r="H311" s="5" t="n">
        <v>0</v>
      </c>
      <c r="I311" s="5" t="n">
        <v>524.7</v>
      </c>
      <c r="J311" s="5" t="n">
        <v>174.9</v>
      </c>
      <c r="K311" s="5">
        <f>SUM(H311:J311)</f>
        <v/>
      </c>
      <c r="L311" s="6">
        <f>IF($K$622=0,0,K311/$K$622)</f>
        <v/>
      </c>
      <c r="M311" s="6">
        <f>M310+L311</f>
        <v/>
      </c>
      <c r="N311" s="9">
        <f>IF(M311&lt;=0.8,"A",IF(M311&lt;=0.95,"B","C"))</f>
        <v/>
      </c>
    </row>
    <row r="312">
      <c r="A312" s="2" t="n">
        <v>311</v>
      </c>
      <c r="B312" s="2" t="inlineStr">
        <is>
          <t>215185</t>
        </is>
      </c>
      <c r="C312" s="2" t="inlineStr">
        <is>
          <t>CALCA LEG. MAX LUPO - 71053 - LUPO - AZUL MARINHO - XG</t>
        </is>
      </c>
      <c r="D312" s="4" t="n">
        <v>0</v>
      </c>
      <c r="E312" s="4" t="n">
        <v>2</v>
      </c>
      <c r="F312" s="4" t="n">
        <v>2</v>
      </c>
      <c r="G312" s="4">
        <f>SUM(D312:F312)</f>
        <v/>
      </c>
      <c r="H312" s="5" t="n">
        <v>0</v>
      </c>
      <c r="I312" s="5" t="n">
        <v>349.8</v>
      </c>
      <c r="J312" s="5" t="n">
        <v>349.8</v>
      </c>
      <c r="K312" s="5">
        <f>SUM(H312:J312)</f>
        <v/>
      </c>
      <c r="L312" s="6">
        <f>IF($K$622=0,0,K312/$K$622)</f>
        <v/>
      </c>
      <c r="M312" s="6">
        <f>M311+L312</f>
        <v/>
      </c>
      <c r="N312" s="9">
        <f>IF(M312&lt;=0.8,"A",IF(M312&lt;=0.95,"B","C"))</f>
        <v/>
      </c>
    </row>
    <row r="313">
      <c r="A313" s="2" t="n">
        <v>312</v>
      </c>
      <c r="B313" s="2" t="inlineStr">
        <is>
          <t>0771</t>
        </is>
      </c>
      <c r="C313" s="2" t="inlineStr">
        <is>
          <t>100 Tapetes Higiênico Good Pad Kit 2 Pacotes 50un Branco - Branco - Liso</t>
        </is>
      </c>
      <c r="D313" s="4" t="n">
        <v>0</v>
      </c>
      <c r="E313" s="4" t="n">
        <v>5</v>
      </c>
      <c r="F313" s="4" t="n">
        <v>0</v>
      </c>
      <c r="G313" s="4">
        <f>SUM(D313:F313)</f>
        <v/>
      </c>
      <c r="H313" s="5" t="n">
        <v>0</v>
      </c>
      <c r="I313" s="5" t="n">
        <v>699.5</v>
      </c>
      <c r="J313" s="5" t="n">
        <v>0</v>
      </c>
      <c r="K313" s="5">
        <f>SUM(H313:J313)</f>
        <v/>
      </c>
      <c r="L313" s="6">
        <f>IF($K$622=0,0,K313/$K$622)</f>
        <v/>
      </c>
      <c r="M313" s="6">
        <f>M312+L313</f>
        <v/>
      </c>
      <c r="N313" s="9">
        <f>IF(M313&lt;=0.8,"A",IF(M313&lt;=0.95,"B","C"))</f>
        <v/>
      </c>
    </row>
    <row r="314">
      <c r="A314" s="2" t="n">
        <v>313</v>
      </c>
      <c r="B314" s="2" t="inlineStr">
        <is>
          <t>215119</t>
        </is>
      </c>
      <c r="C314" s="2" t="inlineStr">
        <is>
          <t>SHORT LSPORT BASIC - 71348 - LUPO - G - GOIABA</t>
        </is>
      </c>
      <c r="D314" s="4" t="n">
        <v>0</v>
      </c>
      <c r="E314" s="4" t="n">
        <v>5</v>
      </c>
      <c r="F314" s="4" t="n">
        <v>4</v>
      </c>
      <c r="G314" s="4">
        <f>SUM(D314:F314)</f>
        <v/>
      </c>
      <c r="H314" s="5" t="n">
        <v>0</v>
      </c>
      <c r="I314" s="5" t="n">
        <v>383.45</v>
      </c>
      <c r="J314" s="5" t="n">
        <v>313.23</v>
      </c>
      <c r="K314" s="5">
        <f>SUM(H314:J314)</f>
        <v/>
      </c>
      <c r="L314" s="6">
        <f>IF($K$622=0,0,K314/$K$622)</f>
        <v/>
      </c>
      <c r="M314" s="6">
        <f>M313+L314</f>
        <v/>
      </c>
      <c r="N314" s="9">
        <f>IF(M314&lt;=0.8,"A",IF(M314&lt;=0.95,"B","C"))</f>
        <v/>
      </c>
    </row>
    <row r="315">
      <c r="A315" s="2" t="n">
        <v>314</v>
      </c>
      <c r="B315" s="2" t="inlineStr">
        <is>
          <t>CARDISURE 10MG</t>
        </is>
      </c>
      <c r="C315" s="2" t="inlineStr">
        <is>
          <t>Cardisure Para Cães 10mg - 40 Comprimidos - Grande - Carne - Blister</t>
        </is>
      </c>
      <c r="D315" s="4" t="n">
        <v>0</v>
      </c>
      <c r="E315" s="4" t="n">
        <v>3</v>
      </c>
      <c r="F315" s="4" t="n">
        <v>0</v>
      </c>
      <c r="G315" s="4">
        <f>SUM(D315:F315)</f>
        <v/>
      </c>
      <c r="H315" s="5" t="n">
        <v>0</v>
      </c>
      <c r="I315" s="5" t="n">
        <v>689.7</v>
      </c>
      <c r="J315" s="5" t="n">
        <v>0</v>
      </c>
      <c r="K315" s="5">
        <f>SUM(H315:J315)</f>
        <v/>
      </c>
      <c r="L315" s="6">
        <f>IF($K$622=0,0,K315/$K$622)</f>
        <v/>
      </c>
      <c r="M315" s="6">
        <f>M314+L315</f>
        <v/>
      </c>
      <c r="N315" s="9">
        <f>IF(M315&lt;=0.8,"A",IF(M315&lt;=0.95,"B","C"))</f>
        <v/>
      </c>
    </row>
    <row r="316">
      <c r="A316" s="2" t="n">
        <v>315</v>
      </c>
      <c r="B316" s="2" t="inlineStr">
        <is>
          <t>214265</t>
        </is>
      </c>
      <c r="C316" s="2" t="inlineStr">
        <is>
          <t>CALCA LEG. MAX LUPO - 71053 - LUPO - ANIL - P</t>
        </is>
      </c>
      <c r="D316" s="4" t="n">
        <v>0</v>
      </c>
      <c r="E316" s="4" t="n">
        <v>1</v>
      </c>
      <c r="F316" s="4" t="n">
        <v>2</v>
      </c>
      <c r="G316" s="4">
        <f>SUM(D316:F316)</f>
        <v/>
      </c>
      <c r="H316" s="5" t="n">
        <v>0</v>
      </c>
      <c r="I316" s="5" t="n">
        <v>169.9</v>
      </c>
      <c r="J316" s="5" t="n">
        <v>519.8</v>
      </c>
      <c r="K316" s="5">
        <f>SUM(H316:J316)</f>
        <v/>
      </c>
      <c r="L316" s="6">
        <f>IF($K$622=0,0,K316/$K$622)</f>
        <v/>
      </c>
      <c r="M316" s="6">
        <f>M315+L316</f>
        <v/>
      </c>
      <c r="N316" s="9">
        <f>IF(M316&lt;=0.8,"A",IF(M316&lt;=0.95,"B","C"))</f>
        <v/>
      </c>
    </row>
    <row r="317">
      <c r="A317" s="2" t="n">
        <v>316</v>
      </c>
      <c r="B317" s="2" t="inlineStr">
        <is>
          <t>213850</t>
        </is>
      </c>
      <c r="C317" s="2" t="inlineStr">
        <is>
          <t>KIT TAPETE HIG ESPACO DE BICHO 50X60 - 150 UNIDADES</t>
        </is>
      </c>
      <c r="D317" s="4" t="n">
        <v>0</v>
      </c>
      <c r="E317" s="4" t="n">
        <v>2</v>
      </c>
      <c r="F317" s="4" t="n">
        <v>2</v>
      </c>
      <c r="G317" s="4">
        <f>SUM(D317:F317)</f>
        <v/>
      </c>
      <c r="H317" s="5" t="n">
        <v>0</v>
      </c>
      <c r="I317" s="5" t="n">
        <v>341.8</v>
      </c>
      <c r="J317" s="5" t="n">
        <v>340.8</v>
      </c>
      <c r="K317" s="5">
        <f>SUM(H317:J317)</f>
        <v/>
      </c>
      <c r="L317" s="6">
        <f>IF($K$622=0,0,K317/$K$622)</f>
        <v/>
      </c>
      <c r="M317" s="6">
        <f>M316+L317</f>
        <v/>
      </c>
      <c r="N317" s="9">
        <f>IF(M317&lt;=0.8,"A",IF(M317&lt;=0.95,"B","C"))</f>
        <v/>
      </c>
    </row>
    <row r="318">
      <c r="A318" s="2" t="n">
        <v>317</v>
      </c>
      <c r="B318" s="2" t="inlineStr">
        <is>
          <t>215829</t>
        </is>
      </c>
      <c r="C318" s="2" t="inlineStr">
        <is>
          <t>KIT POTE DE VIDRO MARMITA - 640ML - SORTIDO - 1 POTE</t>
        </is>
      </c>
      <c r="D318" s="4" t="n">
        <v>0</v>
      </c>
      <c r="E318" s="4" t="n">
        <v>19</v>
      </c>
      <c r="F318" s="4" t="n">
        <v>0</v>
      </c>
      <c r="G318" s="4">
        <f>SUM(D318:F318)</f>
        <v/>
      </c>
      <c r="H318" s="5" t="n">
        <v>0</v>
      </c>
      <c r="I318" s="5" t="n">
        <v>682.1</v>
      </c>
      <c r="J318" s="5" t="n">
        <v>0</v>
      </c>
      <c r="K318" s="5">
        <f>SUM(H318:J318)</f>
        <v/>
      </c>
      <c r="L318" s="6">
        <f>IF($K$622=0,0,K318/$K$622)</f>
        <v/>
      </c>
      <c r="M318" s="6">
        <f>M317+L318</f>
        <v/>
      </c>
      <c r="N318" s="9">
        <f>IF(M318&lt;=0.8,"A",IF(M318&lt;=0.95,"B","C"))</f>
        <v/>
      </c>
    </row>
    <row r="319">
      <c r="A319" s="2" t="n">
        <v>318</v>
      </c>
      <c r="B319" s="2" t="inlineStr">
        <is>
          <t>KIT12-TAÇA</t>
        </is>
      </c>
      <c r="C319" s="2" t="inlineStr">
        <is>
          <t>12 Taças</t>
        </is>
      </c>
      <c r="D319" s="4" t="n">
        <v>0</v>
      </c>
      <c r="E319" s="4" t="n">
        <v>0</v>
      </c>
      <c r="F319" s="4" t="n">
        <v>6</v>
      </c>
      <c r="G319" s="4">
        <f>SUM(D319:F319)</f>
        <v/>
      </c>
      <c r="H319" s="5" t="n">
        <v>0</v>
      </c>
      <c r="I319" s="5" t="n">
        <v>0</v>
      </c>
      <c r="J319" s="5" t="n">
        <v>665.4</v>
      </c>
      <c r="K319" s="5">
        <f>SUM(H319:J319)</f>
        <v/>
      </c>
      <c r="L319" s="6">
        <f>IF($K$622=0,0,K319/$K$622)</f>
        <v/>
      </c>
      <c r="M319" s="6">
        <f>M318+L319</f>
        <v/>
      </c>
      <c r="N319" s="9">
        <f>IF(M319&lt;=0.8,"A",IF(M319&lt;=0.95,"B","C"))</f>
        <v/>
      </c>
    </row>
    <row r="320">
      <c r="A320" s="2" t="n">
        <v>319</v>
      </c>
      <c r="B320" s="2" t="inlineStr">
        <is>
          <t>GUABI-DOG-OBESOS-PEQ-10,1KG</t>
        </is>
      </c>
      <c r="C320" s="2" t="inlineStr">
        <is>
          <t>Ração Guabi Natural Cães Obesos Raças Mini e Pequenas 10,1kg</t>
        </is>
      </c>
      <c r="D320" s="4" t="n">
        <v>0</v>
      </c>
      <c r="E320" s="4" t="n">
        <v>2</v>
      </c>
      <c r="F320" s="4" t="n">
        <v>0</v>
      </c>
      <c r="G320" s="4">
        <f>SUM(D320:F320)</f>
        <v/>
      </c>
      <c r="H320" s="5" t="n">
        <v>0</v>
      </c>
      <c r="I320" s="5" t="n">
        <v>639.8</v>
      </c>
      <c r="J320" s="5" t="n">
        <v>0</v>
      </c>
      <c r="K320" s="5">
        <f>SUM(H320:J320)</f>
        <v/>
      </c>
      <c r="L320" s="6">
        <f>IF($K$622=0,0,K320/$K$622)</f>
        <v/>
      </c>
      <c r="M320" s="6">
        <f>M319+L320</f>
        <v/>
      </c>
      <c r="N320" s="9">
        <f>IF(M320&lt;=0.8,"A",IF(M320&lt;=0.95,"B","C"))</f>
        <v/>
      </c>
    </row>
    <row r="321">
      <c r="A321" s="2" t="n">
        <v>320</v>
      </c>
      <c r="B321" s="2" t="inlineStr">
        <is>
          <t>215186</t>
        </is>
      </c>
      <c r="C321" s="2" t="inlineStr">
        <is>
          <t>SHORT ATTACK - 71144-001 - LUPO  - P - FÚCSIA</t>
        </is>
      </c>
      <c r="D321" s="4" t="n">
        <v>0</v>
      </c>
      <c r="E321" s="4" t="n">
        <v>4</v>
      </c>
      <c r="F321" s="4" t="n">
        <v>4</v>
      </c>
      <c r="G321" s="4">
        <f>SUM(D321:F321)</f>
        <v/>
      </c>
      <c r="H321" s="5" t="n">
        <v>0</v>
      </c>
      <c r="I321" s="5" t="n">
        <v>319.6</v>
      </c>
      <c r="J321" s="5" t="n">
        <v>319.6</v>
      </c>
      <c r="K321" s="5">
        <f>SUM(H321:J321)</f>
        <v/>
      </c>
      <c r="L321" s="6">
        <f>IF($K$622=0,0,K321/$K$622)</f>
        <v/>
      </c>
      <c r="M321" s="6">
        <f>M320+L321</f>
        <v/>
      </c>
      <c r="N321" s="9">
        <f>IF(M321&lt;=0.8,"A",IF(M321&lt;=0.95,"B","C"))</f>
        <v/>
      </c>
    </row>
    <row r="322">
      <c r="A322" s="2" t="n">
        <v>321</v>
      </c>
      <c r="B322" s="2" t="inlineStr">
        <is>
          <t>0033</t>
        </is>
      </c>
      <c r="C322" s="2" t="inlineStr">
        <is>
          <t>Gelo Pan De 450g</t>
        </is>
      </c>
      <c r="D322" s="4" t="n">
        <v>0</v>
      </c>
      <c r="E322" s="4" t="n">
        <v>8</v>
      </c>
      <c r="F322" s="4" t="n">
        <v>0</v>
      </c>
      <c r="G322" s="4">
        <f>SUM(D322:F322)</f>
        <v/>
      </c>
      <c r="H322" s="5" t="n">
        <v>0</v>
      </c>
      <c r="I322" s="5" t="n">
        <v>631.2</v>
      </c>
      <c r="J322" s="5" t="n">
        <v>0</v>
      </c>
      <c r="K322" s="5">
        <f>SUM(H322:J322)</f>
        <v/>
      </c>
      <c r="L322" s="6">
        <f>IF($K$622=0,0,K322/$K$622)</f>
        <v/>
      </c>
      <c r="M322" s="6">
        <f>M321+L322</f>
        <v/>
      </c>
      <c r="N322" s="9">
        <f>IF(M322&lt;=0.8,"A",IF(M322&lt;=0.95,"B","C"))</f>
        <v/>
      </c>
    </row>
    <row r="323">
      <c r="A323" s="2" t="n">
        <v>322</v>
      </c>
      <c r="B323" s="2" t="inlineStr">
        <is>
          <t>213514</t>
        </is>
      </c>
      <c r="C323" s="2" t="inlineStr">
        <is>
          <t>GRANULADO HIGIÊNICO DE MADEIRA IPET WOOD'S - 4KG</t>
        </is>
      </c>
      <c r="D323" s="4" t="n">
        <v>0</v>
      </c>
      <c r="E323" s="4" t="n">
        <v>19</v>
      </c>
      <c r="F323" s="4" t="n">
        <v>18</v>
      </c>
      <c r="G323" s="4">
        <f>SUM(D323:F323)</f>
        <v/>
      </c>
      <c r="H323" s="5" t="n">
        <v>0</v>
      </c>
      <c r="I323" s="5" t="n">
        <v>325.29</v>
      </c>
      <c r="J323" s="5" t="n">
        <v>295.08</v>
      </c>
      <c r="K323" s="5">
        <f>SUM(H323:J323)</f>
        <v/>
      </c>
      <c r="L323" s="6">
        <f>IF($K$622=0,0,K323/$K$622)</f>
        <v/>
      </c>
      <c r="M323" s="6">
        <f>M322+L323</f>
        <v/>
      </c>
      <c r="N323" s="9">
        <f>IF(M323&lt;=0.8,"A",IF(M323&lt;=0.95,"B","C"))</f>
        <v/>
      </c>
    </row>
    <row r="324">
      <c r="A324" s="2" t="n">
        <v>323</v>
      </c>
      <c r="B324" s="2" t="inlineStr">
        <is>
          <t>214571</t>
        </is>
      </c>
      <c r="C324" s="2" t="inlineStr">
        <is>
          <t>KIT CUECAS BOXER MICROFIBRA - 000436-088 - LUPO - M - 42 A 44 - PRETO/BRANCO - 10 UNIDADES (5 PACOTES)</t>
        </is>
      </c>
      <c r="D324" s="4" t="n">
        <v>0</v>
      </c>
      <c r="E324" s="4" t="n">
        <v>1</v>
      </c>
      <c r="F324" s="4" t="n">
        <v>1</v>
      </c>
      <c r="G324" s="4">
        <f>SUM(D324:F324)</f>
        <v/>
      </c>
      <c r="H324" s="5" t="n">
        <v>0</v>
      </c>
      <c r="I324" s="5" t="n">
        <v>299.9</v>
      </c>
      <c r="J324" s="5" t="n">
        <v>299.9</v>
      </c>
      <c r="K324" s="5">
        <f>SUM(H324:J324)</f>
        <v/>
      </c>
      <c r="L324" s="6">
        <f>IF($K$622=0,0,K324/$K$622)</f>
        <v/>
      </c>
      <c r="M324" s="6">
        <f>M323+L324</f>
        <v/>
      </c>
      <c r="N324" s="9">
        <f>IF(M324&lt;=0.8,"A",IF(M324&lt;=0.95,"B","C"))</f>
        <v/>
      </c>
    </row>
    <row r="325">
      <c r="A325" s="2" t="n">
        <v>324</v>
      </c>
      <c r="B325" s="2" t="inlineStr">
        <is>
          <t>AREIA-EDB-20KG-GF</t>
        </is>
      </c>
      <c r="C325" s="2" t="inlineStr">
        <is>
          <t>20KG, Grãos Finos</t>
        </is>
      </c>
      <c r="D325" s="4" t="n">
        <v>0</v>
      </c>
      <c r="E325" s="4" t="n">
        <v>0</v>
      </c>
      <c r="F325" s="4" t="n">
        <v>2</v>
      </c>
      <c r="G325" s="4">
        <f>SUM(D325:F325)</f>
        <v/>
      </c>
      <c r="H325" s="5" t="n">
        <v>0</v>
      </c>
      <c r="I325" s="5" t="n">
        <v>0</v>
      </c>
      <c r="J325" s="5" t="n">
        <v>599.8</v>
      </c>
      <c r="K325" s="5">
        <f>SUM(H325:J325)</f>
        <v/>
      </c>
      <c r="L325" s="6">
        <f>IF($K$622=0,0,K325/$K$622)</f>
        <v/>
      </c>
      <c r="M325" s="6">
        <f>M324+L325</f>
        <v/>
      </c>
      <c r="N325" s="9">
        <f>IF(M325&lt;=0.8,"A",IF(M325&lt;=0.95,"B","C"))</f>
        <v/>
      </c>
    </row>
    <row r="326">
      <c r="A326" s="2" t="n">
        <v>325</v>
      </c>
      <c r="B326" s="2" t="inlineStr">
        <is>
          <t>730</t>
        </is>
      </c>
      <c r="C326" s="2" t="inlineStr">
        <is>
          <t>60 Unidades</t>
        </is>
      </c>
      <c r="D326" s="4" t="n">
        <v>0</v>
      </c>
      <c r="E326" s="4" t="n">
        <v>3</v>
      </c>
      <c r="F326" s="4" t="n">
        <v>0</v>
      </c>
      <c r="G326" s="4">
        <f>SUM(D326:F326)</f>
        <v/>
      </c>
      <c r="H326" s="5" t="n">
        <v>0</v>
      </c>
      <c r="I326" s="5" t="n">
        <v>599.7</v>
      </c>
      <c r="J326" s="5" t="n">
        <v>0</v>
      </c>
      <c r="K326" s="5">
        <f>SUM(H326:J326)</f>
        <v/>
      </c>
      <c r="L326" s="6">
        <f>IF($K$622=0,0,K326/$K$622)</f>
        <v/>
      </c>
      <c r="M326" s="6">
        <f>M325+L326</f>
        <v/>
      </c>
      <c r="N326" s="9">
        <f>IF(M326&lt;=0.8,"A",IF(M326&lt;=0.95,"B","C"))</f>
        <v/>
      </c>
    </row>
    <row r="327">
      <c r="A327" s="2" t="n">
        <v>326</v>
      </c>
      <c r="B327" s="2" t="inlineStr">
        <is>
          <t>214842</t>
        </is>
      </c>
      <c r="C327" s="2" t="inlineStr">
        <is>
          <t>KIT POTE DE VIDRO C/ TAMPA DE BAMBU - 2000ML - 2 UNIDADES</t>
        </is>
      </c>
      <c r="D327" s="4" t="n">
        <v>0</v>
      </c>
      <c r="E327" s="4" t="n">
        <v>0</v>
      </c>
      <c r="F327" s="4" t="n">
        <v>6</v>
      </c>
      <c r="G327" s="4">
        <f>SUM(D327:F327)</f>
        <v/>
      </c>
      <c r="H327" s="5" t="n">
        <v>0</v>
      </c>
      <c r="I327" s="5" t="n">
        <v>0</v>
      </c>
      <c r="J327" s="5" t="n">
        <v>599.4</v>
      </c>
      <c r="K327" s="5">
        <f>SUM(H327:J327)</f>
        <v/>
      </c>
      <c r="L327" s="6">
        <f>IF($K$622=0,0,K327/$K$622)</f>
        <v/>
      </c>
      <c r="M327" s="6">
        <f>M326+L327</f>
        <v/>
      </c>
      <c r="N327" s="9">
        <f>IF(M327&lt;=0.8,"A",IF(M327&lt;=0.95,"B","C"))</f>
        <v/>
      </c>
    </row>
    <row r="328">
      <c r="A328" s="2" t="n">
        <v>327</v>
      </c>
      <c r="B328" s="2" t="inlineStr">
        <is>
          <t>213815</t>
        </is>
      </c>
      <c r="C328" s="2" t="inlineStr">
        <is>
          <t>KIT TAPETE HIG SHOPITO 60X60 50UN - 150 UNIDADES</t>
        </is>
      </c>
      <c r="D328" s="4" t="n">
        <v>0</v>
      </c>
      <c r="E328" s="4" t="n">
        <v>3</v>
      </c>
      <c r="F328" s="4" t="n">
        <v>0</v>
      </c>
      <c r="G328" s="4">
        <f>SUM(D328:F328)</f>
        <v/>
      </c>
      <c r="H328" s="5" t="n">
        <v>0</v>
      </c>
      <c r="I328" s="5" t="n">
        <v>569.7</v>
      </c>
      <c r="J328" s="5" t="n">
        <v>0</v>
      </c>
      <c r="K328" s="5">
        <f>SUM(H328:J328)</f>
        <v/>
      </c>
      <c r="L328" s="6">
        <f>IF($K$622=0,0,K328/$K$622)</f>
        <v/>
      </c>
      <c r="M328" s="6">
        <f>M327+L328</f>
        <v/>
      </c>
      <c r="N328" s="9">
        <f>IF(M328&lt;=0.8,"A",IF(M328&lt;=0.95,"B","C"))</f>
        <v/>
      </c>
    </row>
    <row r="329">
      <c r="A329" s="2" t="n">
        <v>328</v>
      </c>
      <c r="B329" s="2" t="inlineStr">
        <is>
          <t>213518</t>
        </is>
      </c>
      <c r="C329" s="2" t="inlineStr">
        <is>
          <t>ESCOVA PENTE PLÁSTICO FERRO PARA PENTEAR CACHORROS E GATOS PET - VERDE</t>
        </is>
      </c>
      <c r="D329" s="4" t="n">
        <v>0</v>
      </c>
      <c r="E329" s="4" t="n">
        <v>12</v>
      </c>
      <c r="F329" s="4" t="n">
        <v>17</v>
      </c>
      <c r="G329" s="4">
        <f>SUM(D329:F329)</f>
        <v/>
      </c>
      <c r="H329" s="5" t="n">
        <v>0</v>
      </c>
      <c r="I329" s="5" t="n">
        <v>266.8</v>
      </c>
      <c r="J329" s="5" t="n">
        <v>296.2</v>
      </c>
      <c r="K329" s="5">
        <f>SUM(H329:J329)</f>
        <v/>
      </c>
      <c r="L329" s="6">
        <f>IF($K$622=0,0,K329/$K$622)</f>
        <v/>
      </c>
      <c r="M329" s="6">
        <f>M328+L329</f>
        <v/>
      </c>
      <c r="N329" s="9">
        <f>IF(M329&lt;=0.8,"A",IF(M329&lt;=0.95,"B","C"))</f>
        <v/>
      </c>
    </row>
    <row r="330">
      <c r="A330" s="2" t="n">
        <v>329</v>
      </c>
      <c r="B330" s="2" t="inlineStr">
        <is>
          <t>213600</t>
        </is>
      </c>
      <c r="C330" s="2" t="inlineStr">
        <is>
          <t>KIT 2 BRINQUEDO PARA GATOS COM CATNIP - PATINHA - SORTIDO</t>
        </is>
      </c>
      <c r="D330" s="4" t="n">
        <v>0</v>
      </c>
      <c r="E330" s="4" t="n">
        <v>24</v>
      </c>
      <c r="F330" s="4" t="n">
        <v>14</v>
      </c>
      <c r="G330" s="4">
        <f>SUM(D330:F330)</f>
        <v/>
      </c>
      <c r="H330" s="5" t="n">
        <v>0</v>
      </c>
      <c r="I330" s="5" t="n">
        <v>357.6</v>
      </c>
      <c r="J330" s="5" t="n">
        <v>204.6</v>
      </c>
      <c r="K330" s="5">
        <f>SUM(H330:J330)</f>
        <v/>
      </c>
      <c r="L330" s="6">
        <f>IF($K$622=0,0,K330/$K$622)</f>
        <v/>
      </c>
      <c r="M330" s="6">
        <f>M329+L330</f>
        <v/>
      </c>
      <c r="N330" s="9">
        <f>IF(M330&lt;=0.8,"A",IF(M330&lt;=0.95,"B","C"))</f>
        <v/>
      </c>
    </row>
    <row r="331">
      <c r="A331" s="2" t="n">
        <v>330</v>
      </c>
      <c r="B331" s="2" t="inlineStr">
        <is>
          <t>214479</t>
        </is>
      </c>
      <c r="C331" s="2" t="inlineStr">
        <is>
          <t>SHORT ATTACK - 71144-001 - LUPO  - M - AZUL</t>
        </is>
      </c>
      <c r="D331" s="4" t="n">
        <v>0</v>
      </c>
      <c r="E331" s="4" t="n">
        <v>3</v>
      </c>
      <c r="F331" s="4" t="n">
        <v>4</v>
      </c>
      <c r="G331" s="4">
        <f>SUM(D331:F331)</f>
        <v/>
      </c>
      <c r="H331" s="5" t="n">
        <v>0</v>
      </c>
      <c r="I331" s="5" t="n">
        <v>239.7</v>
      </c>
      <c r="J331" s="5" t="n">
        <v>319.6</v>
      </c>
      <c r="K331" s="5">
        <f>SUM(H331:J331)</f>
        <v/>
      </c>
      <c r="L331" s="6">
        <f>IF($K$622=0,0,K331/$K$622)</f>
        <v/>
      </c>
      <c r="M331" s="6">
        <f>M330+L331</f>
        <v/>
      </c>
      <c r="N331" s="9">
        <f>IF(M331&lt;=0.8,"A",IF(M331&lt;=0.95,"B","C"))</f>
        <v/>
      </c>
    </row>
    <row r="332">
      <c r="A332" s="2" t="n">
        <v>331</v>
      </c>
      <c r="B332" s="2" t="inlineStr">
        <is>
          <t>215187</t>
        </is>
      </c>
      <c r="C332" s="2" t="inlineStr">
        <is>
          <t>SHORT ATTACK - 71144-001 - LUPO  - M - FÚCSIA</t>
        </is>
      </c>
      <c r="D332" s="4" t="n">
        <v>0</v>
      </c>
      <c r="E332" s="4" t="n">
        <v>1</v>
      </c>
      <c r="F332" s="4" t="n">
        <v>6</v>
      </c>
      <c r="G332" s="4">
        <f>SUM(D332:F332)</f>
        <v/>
      </c>
      <c r="H332" s="5" t="n">
        <v>0</v>
      </c>
      <c r="I332" s="5" t="n">
        <v>79.90000000000001</v>
      </c>
      <c r="J332" s="5" t="n">
        <v>479.4</v>
      </c>
      <c r="K332" s="5">
        <f>SUM(H332:J332)</f>
        <v/>
      </c>
      <c r="L332" s="6">
        <f>IF($K$622=0,0,K332/$K$622)</f>
        <v/>
      </c>
      <c r="M332" s="6">
        <f>M331+L332</f>
        <v/>
      </c>
      <c r="N332" s="9">
        <f>IF(M332&lt;=0.8,"A",IF(M332&lt;=0.95,"B","C"))</f>
        <v/>
      </c>
    </row>
    <row r="333">
      <c r="A333" s="2" t="n">
        <v>332</v>
      </c>
      <c r="B333" s="2" t="inlineStr">
        <is>
          <t>214808</t>
        </is>
      </c>
      <c r="C333" s="2" t="inlineStr">
        <is>
          <t>KIT POTE DE VIDRO C/ TAMPA DE BAMBU - 200ML - 4 UNIDADES</t>
        </is>
      </c>
      <c r="D333" s="4" t="n">
        <v>0</v>
      </c>
      <c r="E333" s="4" t="n">
        <v>0</v>
      </c>
      <c r="F333" s="4" t="n">
        <v>5</v>
      </c>
      <c r="G333" s="4">
        <f>SUM(D333:F333)</f>
        <v/>
      </c>
      <c r="H333" s="5" t="n">
        <v>0</v>
      </c>
      <c r="I333" s="5" t="n">
        <v>0</v>
      </c>
      <c r="J333" s="5" t="n">
        <v>553.71</v>
      </c>
      <c r="K333" s="5">
        <f>SUM(H333:J333)</f>
        <v/>
      </c>
      <c r="L333" s="6">
        <f>IF($K$622=0,0,K333/$K$622)</f>
        <v/>
      </c>
      <c r="M333" s="6">
        <f>M332+L333</f>
        <v/>
      </c>
      <c r="N333" s="9">
        <f>IF(M333&lt;=0.8,"A",IF(M333&lt;=0.95,"B","C"))</f>
        <v/>
      </c>
    </row>
    <row r="334">
      <c r="A334" s="2" t="n">
        <v>333</v>
      </c>
      <c r="B334" s="2" t="inlineStr">
        <is>
          <t>213855</t>
        </is>
      </c>
      <c r="C334" s="2" t="inlineStr">
        <is>
          <t>KIT TAPETE HIG ULTRA PADS CARVAO ATIVADO 60X60 - 60 UNIDADES</t>
        </is>
      </c>
      <c r="D334" s="4" t="n">
        <v>0</v>
      </c>
      <c r="E334" s="4" t="n">
        <v>0</v>
      </c>
      <c r="F334" s="4" t="n">
        <v>5</v>
      </c>
      <c r="G334" s="4">
        <f>SUM(D334:F334)</f>
        <v/>
      </c>
      <c r="H334" s="5" t="n">
        <v>0</v>
      </c>
      <c r="I334" s="5" t="n">
        <v>0</v>
      </c>
      <c r="J334" s="5" t="n">
        <v>550.1</v>
      </c>
      <c r="K334" s="5">
        <f>SUM(H334:J334)</f>
        <v/>
      </c>
      <c r="L334" s="6">
        <f>IF($K$622=0,0,K334/$K$622)</f>
        <v/>
      </c>
      <c r="M334" s="6">
        <f>M333+L334</f>
        <v/>
      </c>
      <c r="N334" s="9">
        <f>IF(M334&lt;=0.8,"A",IF(M334&lt;=0.95,"B","C"))</f>
        <v/>
      </c>
    </row>
    <row r="335">
      <c r="A335" s="2" t="n">
        <v>334</v>
      </c>
      <c r="B335" s="2" t="inlineStr">
        <is>
          <t>215302</t>
        </is>
      </c>
      <c r="C335" s="2" t="inlineStr">
        <is>
          <t>CATNIP 4G IPET</t>
        </is>
      </c>
      <c r="D335" s="4" t="n">
        <v>0</v>
      </c>
      <c r="E335" s="4" t="n">
        <v>13</v>
      </c>
      <c r="F335" s="4" t="n">
        <v>15</v>
      </c>
      <c r="G335" s="4">
        <f>SUM(D335:F335)</f>
        <v/>
      </c>
      <c r="H335" s="5" t="n">
        <v>0</v>
      </c>
      <c r="I335" s="5" t="n">
        <v>258.7</v>
      </c>
      <c r="J335" s="5" t="n">
        <v>290.5</v>
      </c>
      <c r="K335" s="5">
        <f>SUM(H335:J335)</f>
        <v/>
      </c>
      <c r="L335" s="6">
        <f>IF($K$622=0,0,K335/$K$622)</f>
        <v/>
      </c>
      <c r="M335" s="6">
        <f>M334+L335</f>
        <v/>
      </c>
      <c r="N335" s="9">
        <f>IF(M335&lt;=0.8,"A",IF(M335&lt;=0.95,"B","C"))</f>
        <v/>
      </c>
    </row>
    <row r="336">
      <c r="A336" s="2" t="n">
        <v>335</v>
      </c>
      <c r="B336" s="2" t="inlineStr">
        <is>
          <t>214741</t>
        </is>
      </c>
      <c r="C336" s="2" t="inlineStr">
        <is>
          <t>CANELITO RUNNING COMPRESSAO - 15000 - LUPO - G</t>
        </is>
      </c>
      <c r="D336" s="4" t="n">
        <v>0</v>
      </c>
      <c r="E336" s="4" t="n">
        <v>11</v>
      </c>
      <c r="F336" s="4" t="n">
        <v>0</v>
      </c>
      <c r="G336" s="4">
        <f>SUM(D336:F336)</f>
        <v/>
      </c>
      <c r="H336" s="5" t="n">
        <v>0</v>
      </c>
      <c r="I336" s="5" t="n">
        <v>548.9</v>
      </c>
      <c r="J336" s="5" t="n">
        <v>0</v>
      </c>
      <c r="K336" s="5">
        <f>SUM(H336:J336)</f>
        <v/>
      </c>
      <c r="L336" s="6">
        <f>IF($K$622=0,0,K336/$K$622)</f>
        <v/>
      </c>
      <c r="M336" s="6">
        <f>M335+L336</f>
        <v/>
      </c>
      <c r="N336" s="9">
        <f>IF(M336&lt;=0.8,"A",IF(M336&lt;=0.95,"B","C"))</f>
        <v/>
      </c>
    </row>
    <row r="337">
      <c r="A337" s="2" t="n">
        <v>336</v>
      </c>
      <c r="B337" s="2" t="inlineStr">
        <is>
          <t>215118</t>
        </is>
      </c>
      <c r="C337" s="2" t="inlineStr">
        <is>
          <t>SHORT LSPORT BASIC - 71348 - LUPO - M - GOIABA</t>
        </is>
      </c>
      <c r="D337" s="4" t="n">
        <v>0</v>
      </c>
      <c r="E337" s="4" t="n">
        <v>1</v>
      </c>
      <c r="F337" s="4" t="n">
        <v>6</v>
      </c>
      <c r="G337" s="4">
        <f>SUM(D337:F337)</f>
        <v/>
      </c>
      <c r="H337" s="5" t="n">
        <v>0</v>
      </c>
      <c r="I337" s="5" t="n">
        <v>77.31999999999999</v>
      </c>
      <c r="J337" s="5" t="n">
        <v>471.03</v>
      </c>
      <c r="K337" s="5">
        <f>SUM(H337:J337)</f>
        <v/>
      </c>
      <c r="L337" s="6">
        <f>IF($K$622=0,0,K337/$K$622)</f>
        <v/>
      </c>
      <c r="M337" s="6">
        <f>M336+L337</f>
        <v/>
      </c>
      <c r="N337" s="9">
        <f>IF(M337&lt;=0.8,"A",IF(M337&lt;=0.95,"B","C"))</f>
        <v/>
      </c>
    </row>
    <row r="338">
      <c r="A338" s="2" t="n">
        <v>337</v>
      </c>
      <c r="B338" s="2" t="inlineStr">
        <is>
          <t>215117</t>
        </is>
      </c>
      <c r="C338" s="2" t="inlineStr">
        <is>
          <t>SHORT LSPORT BASIC - 71348 - LUPO - P - GOIABA</t>
        </is>
      </c>
      <c r="D338" s="4" t="n">
        <v>0</v>
      </c>
      <c r="E338" s="4" t="n">
        <v>1</v>
      </c>
      <c r="F338" s="4" t="n">
        <v>6</v>
      </c>
      <c r="G338" s="4">
        <f>SUM(D338:F338)</f>
        <v/>
      </c>
      <c r="H338" s="5" t="n">
        <v>0</v>
      </c>
      <c r="I338" s="5" t="n">
        <v>76.53</v>
      </c>
      <c r="J338" s="5" t="n">
        <v>466.29</v>
      </c>
      <c r="K338" s="5">
        <f>SUM(H338:J338)</f>
        <v/>
      </c>
      <c r="L338" s="6">
        <f>IF($K$622=0,0,K338/$K$622)</f>
        <v/>
      </c>
      <c r="M338" s="6">
        <f>M337+L338</f>
        <v/>
      </c>
      <c r="N338" s="9">
        <f>IF(M338&lt;=0.8,"A",IF(M338&lt;=0.95,"B","C"))</f>
        <v/>
      </c>
    </row>
    <row r="339">
      <c r="A339" s="2" t="n">
        <v>338</v>
      </c>
      <c r="B339" s="2" t="inlineStr">
        <is>
          <t>214838</t>
        </is>
      </c>
      <c r="C339" s="2" t="inlineStr">
        <is>
          <t>KIT POTE DE VIDRO C/ TAMPA DE BAMBU - 550ML - 4 UNIDADES</t>
        </is>
      </c>
      <c r="D339" s="4" t="n">
        <v>0</v>
      </c>
      <c r="E339" s="4" t="n">
        <v>0</v>
      </c>
      <c r="F339" s="4" t="n">
        <v>9</v>
      </c>
      <c r="G339" s="4">
        <f>SUM(D339:F339)</f>
        <v/>
      </c>
      <c r="H339" s="5" t="n">
        <v>0</v>
      </c>
      <c r="I339" s="5" t="n">
        <v>0</v>
      </c>
      <c r="J339" s="5" t="n">
        <v>539.04</v>
      </c>
      <c r="K339" s="5">
        <f>SUM(H339:J339)</f>
        <v/>
      </c>
      <c r="L339" s="6">
        <f>IF($K$622=0,0,K339/$K$622)</f>
        <v/>
      </c>
      <c r="M339" s="6">
        <f>M338+L339</f>
        <v/>
      </c>
      <c r="N339" s="9">
        <f>IF(M339&lt;=0.8,"A",IF(M339&lt;=0.95,"B","C"))</f>
        <v/>
      </c>
    </row>
    <row r="340">
      <c r="A340" s="2" t="n">
        <v>339</v>
      </c>
      <c r="B340" s="2" t="inlineStr">
        <is>
          <t>214054</t>
        </is>
      </c>
      <c r="C340" s="2" t="inlineStr">
        <is>
          <t>KIT CABIDE DE MADEIRA - 21 UNIDADES</t>
        </is>
      </c>
      <c r="D340" s="4" t="n">
        <v>0</v>
      </c>
      <c r="E340" s="4" t="n">
        <v>2</v>
      </c>
      <c r="F340" s="4" t="n">
        <v>2</v>
      </c>
      <c r="G340" s="4">
        <f>SUM(D340:F340)</f>
        <v/>
      </c>
      <c r="H340" s="5" t="n">
        <v>0</v>
      </c>
      <c r="I340" s="5" t="n">
        <v>284.8</v>
      </c>
      <c r="J340" s="5" t="n">
        <v>245.8</v>
      </c>
      <c r="K340" s="5">
        <f>SUM(H340:J340)</f>
        <v/>
      </c>
      <c r="L340" s="6">
        <f>IF($K$622=0,0,K340/$K$622)</f>
        <v/>
      </c>
      <c r="M340" s="6">
        <f>M339+L340</f>
        <v/>
      </c>
      <c r="N340" s="9">
        <f>IF(M340&lt;=0.8,"A",IF(M340&lt;=0.95,"B","C"))</f>
        <v/>
      </c>
    </row>
    <row r="341">
      <c r="A341" s="2" t="n">
        <v>340</v>
      </c>
      <c r="B341" s="2" t="inlineStr">
        <is>
          <t>214805</t>
        </is>
      </c>
      <c r="C341" s="2" t="inlineStr">
        <is>
          <t>KIT POTE DE VIDRO C/ TAMPA DE BAMBU - 200ML - 1 UNIDADE</t>
        </is>
      </c>
      <c r="D341" s="4" t="n">
        <v>0</v>
      </c>
      <c r="E341" s="4" t="n">
        <v>3</v>
      </c>
      <c r="F341" s="4" t="n">
        <v>39</v>
      </c>
      <c r="G341" s="4">
        <f>SUM(D341:F341)</f>
        <v/>
      </c>
      <c r="H341" s="5" t="n">
        <v>0</v>
      </c>
      <c r="I341" s="5" t="n">
        <v>119.7</v>
      </c>
      <c r="J341" s="5" t="n">
        <v>409.1</v>
      </c>
      <c r="K341" s="5">
        <f>SUM(H341:J341)</f>
        <v/>
      </c>
      <c r="L341" s="6">
        <f>IF($K$622=0,0,K341/$K$622)</f>
        <v/>
      </c>
      <c r="M341" s="6">
        <f>M340+L341</f>
        <v/>
      </c>
      <c r="N341" s="9">
        <f>IF(M341&lt;=0.8,"A",IF(M341&lt;=0.95,"B","C"))</f>
        <v/>
      </c>
    </row>
    <row r="342">
      <c r="A342" s="2" t="n">
        <v>341</v>
      </c>
      <c r="B342" s="2" t="inlineStr">
        <is>
          <t>214840</t>
        </is>
      </c>
      <c r="C342" s="2" t="inlineStr">
        <is>
          <t>KIT POTE DE VIDRO C/ TAMPA DE BAMBU - 550ML - 9 UNIDADES</t>
        </is>
      </c>
      <c r="D342" s="4" t="n">
        <v>0</v>
      </c>
      <c r="E342" s="4" t="n">
        <v>0</v>
      </c>
      <c r="F342" s="4" t="n">
        <v>4</v>
      </c>
      <c r="G342" s="4">
        <f>SUM(D342:F342)</f>
        <v/>
      </c>
      <c r="H342" s="5" t="n">
        <v>0</v>
      </c>
      <c r="I342" s="5" t="n">
        <v>0</v>
      </c>
      <c r="J342" s="5" t="n">
        <v>517</v>
      </c>
      <c r="K342" s="5">
        <f>SUM(H342:J342)</f>
        <v/>
      </c>
      <c r="L342" s="6">
        <f>IF($K$622=0,0,K342/$K$622)</f>
        <v/>
      </c>
      <c r="M342" s="6">
        <f>M341+L342</f>
        <v/>
      </c>
      <c r="N342" s="9">
        <f>IF(M342&lt;=0.8,"A",IF(M342&lt;=0.95,"B","C"))</f>
        <v/>
      </c>
    </row>
    <row r="343">
      <c r="A343" s="2" t="n">
        <v>342</v>
      </c>
      <c r="B343" s="2" t="inlineStr">
        <is>
          <t>214099</t>
        </is>
      </c>
      <c r="C343" s="2" t="inlineStr">
        <is>
          <t>KIT ROLOS REMOVEDOR DE PELOS - AZUL - 1 UNIDADE</t>
        </is>
      </c>
      <c r="D343" s="4" t="n">
        <v>0</v>
      </c>
      <c r="E343" s="4" t="n">
        <v>9</v>
      </c>
      <c r="F343" s="4" t="n">
        <v>11</v>
      </c>
      <c r="G343" s="4">
        <f>SUM(D343:F343)</f>
        <v/>
      </c>
      <c r="H343" s="5" t="n">
        <v>0</v>
      </c>
      <c r="I343" s="5" t="n">
        <v>217.5</v>
      </c>
      <c r="J343" s="5" t="n">
        <v>287.4</v>
      </c>
      <c r="K343" s="5">
        <f>SUM(H343:J343)</f>
        <v/>
      </c>
      <c r="L343" s="6">
        <f>IF($K$622=0,0,K343/$K$622)</f>
        <v/>
      </c>
      <c r="M343" s="6">
        <f>M342+L343</f>
        <v/>
      </c>
      <c r="N343" s="9">
        <f>IF(M343&lt;=0.8,"A",IF(M343&lt;=0.95,"B","C"))</f>
        <v/>
      </c>
    </row>
    <row r="344">
      <c r="A344" s="2" t="n">
        <v>343</v>
      </c>
      <c r="B344" s="2" t="inlineStr">
        <is>
          <t>215774</t>
        </is>
      </c>
      <c r="C344" s="2" t="inlineStr">
        <is>
          <t>KIT POTE DE VIDRO MARMITA - 1040ML - SORTIDO - 6 POTES</t>
        </is>
      </c>
      <c r="D344" s="4" t="n">
        <v>0</v>
      </c>
      <c r="E344" s="4" t="n">
        <v>3</v>
      </c>
      <c r="F344" s="4" t="n">
        <v>0</v>
      </c>
      <c r="G344" s="4">
        <f>SUM(D344:F344)</f>
        <v/>
      </c>
      <c r="H344" s="5" t="n">
        <v>0</v>
      </c>
      <c r="I344" s="5" t="n">
        <v>501.21</v>
      </c>
      <c r="J344" s="5" t="n">
        <v>0</v>
      </c>
      <c r="K344" s="5">
        <f>SUM(H344:J344)</f>
        <v/>
      </c>
      <c r="L344" s="6">
        <f>IF($K$622=0,0,K344/$K$622)</f>
        <v/>
      </c>
      <c r="M344" s="6">
        <f>M343+L344</f>
        <v/>
      </c>
      <c r="N344" s="9">
        <f>IF(M344&lt;=0.8,"A",IF(M344&lt;=0.95,"B","C"))</f>
        <v/>
      </c>
    </row>
    <row r="345">
      <c r="A345" s="2" t="n">
        <v>344</v>
      </c>
      <c r="B345" s="2" t="inlineStr">
        <is>
          <t>214930</t>
        </is>
      </c>
      <c r="C345" s="2" t="inlineStr">
        <is>
          <t>VETORYL C/30 COMPRIMIDOS - 60MG TRISLOSTANO</t>
        </is>
      </c>
      <c r="D345" s="4" t="n">
        <v>0</v>
      </c>
      <c r="E345" s="4" t="n">
        <v>0</v>
      </c>
      <c r="F345" s="4" t="n">
        <v>1</v>
      </c>
      <c r="G345" s="4">
        <f>SUM(D345:F345)</f>
        <v/>
      </c>
      <c r="H345" s="5" t="n">
        <v>0</v>
      </c>
      <c r="I345" s="5" t="n">
        <v>0</v>
      </c>
      <c r="J345" s="5" t="n">
        <v>489.9</v>
      </c>
      <c r="K345" s="5">
        <f>SUM(H345:J345)</f>
        <v/>
      </c>
      <c r="L345" s="6">
        <f>IF($K$622=0,0,K345/$K$622)</f>
        <v/>
      </c>
      <c r="M345" s="6">
        <f>M344+L345</f>
        <v/>
      </c>
      <c r="N345" s="9">
        <f>IF(M345&lt;=0.8,"A",IF(M345&lt;=0.95,"B","C"))</f>
        <v/>
      </c>
    </row>
    <row r="346">
      <c r="A346" s="2" t="n">
        <v>345</v>
      </c>
      <c r="B346" s="2" t="inlineStr">
        <is>
          <t>214070</t>
        </is>
      </c>
      <c r="C346" s="2" t="inlineStr">
        <is>
          <t>KIT REFIL DE POLIÉSTER PARA MOP GIRATÓRIO 14L - 3 UNIDADES</t>
        </is>
      </c>
      <c r="D346" s="4" t="n">
        <v>0</v>
      </c>
      <c r="E346" s="4" t="n">
        <v>3</v>
      </c>
      <c r="F346" s="4" t="n">
        <v>4</v>
      </c>
      <c r="G346" s="4">
        <f>SUM(D346:F346)</f>
        <v/>
      </c>
      <c r="H346" s="5" t="n">
        <v>0</v>
      </c>
      <c r="I346" s="5" t="n">
        <v>209.7</v>
      </c>
      <c r="J346" s="5" t="n">
        <v>279.6</v>
      </c>
      <c r="K346" s="5">
        <f>SUM(H346:J346)</f>
        <v/>
      </c>
      <c r="L346" s="6">
        <f>IF($K$622=0,0,K346/$K$622)</f>
        <v/>
      </c>
      <c r="M346" s="6">
        <f>M345+L346</f>
        <v/>
      </c>
      <c r="N346" s="9">
        <f>IF(M346&lt;=0.8,"A",IF(M346&lt;=0.95,"B","C"))</f>
        <v/>
      </c>
    </row>
    <row r="347">
      <c r="A347" s="2" t="n">
        <v>346</v>
      </c>
      <c r="B347" s="2" t="inlineStr">
        <is>
          <t>KIT6-ALCANCE-VESPAS</t>
        </is>
      </c>
      <c r="C347" s="2" t="inlineStr">
        <is>
          <t>Kit 6 Alcance Anti Vespas E Marimbondos 400ml - Labgard</t>
        </is>
      </c>
      <c r="D347" s="4" t="n">
        <v>0</v>
      </c>
      <c r="E347" s="4" t="n">
        <v>2</v>
      </c>
      <c r="F347" s="4" t="n">
        <v>0</v>
      </c>
      <c r="G347" s="4">
        <f>SUM(D347:F347)</f>
        <v/>
      </c>
      <c r="H347" s="5" t="n">
        <v>0</v>
      </c>
      <c r="I347" s="5" t="n">
        <v>479.8</v>
      </c>
      <c r="J347" s="5" t="n">
        <v>0</v>
      </c>
      <c r="K347" s="5">
        <f>SUM(H347:J347)</f>
        <v/>
      </c>
      <c r="L347" s="6">
        <f>IF($K$622=0,0,K347/$K$622)</f>
        <v/>
      </c>
      <c r="M347" s="6">
        <f>M346+L347</f>
        <v/>
      </c>
      <c r="N347" s="9">
        <f>IF(M347&lt;=0.8,"A",IF(M347&lt;=0.95,"B","C"))</f>
        <v/>
      </c>
    </row>
    <row r="348">
      <c r="A348" s="2" t="n">
        <v>347</v>
      </c>
      <c r="B348" s="2" t="inlineStr">
        <is>
          <t>Kit com 5 Branca</t>
        </is>
      </c>
      <c r="C348" s="2" t="inlineStr">
        <is>
          <t>Branca</t>
        </is>
      </c>
      <c r="D348" s="4" t="n">
        <v>0</v>
      </c>
      <c r="E348" s="4" t="n">
        <v>6</v>
      </c>
      <c r="F348" s="4" t="n">
        <v>0</v>
      </c>
      <c r="G348" s="4">
        <f>SUM(D348:F348)</f>
        <v/>
      </c>
      <c r="H348" s="5" t="n">
        <v>0</v>
      </c>
      <c r="I348" s="5" t="n">
        <v>479.4</v>
      </c>
      <c r="J348" s="5" t="n">
        <v>0</v>
      </c>
      <c r="K348" s="5">
        <f>SUM(H348:J348)</f>
        <v/>
      </c>
      <c r="L348" s="6">
        <f>IF($K$622=0,0,K348/$K$622)</f>
        <v/>
      </c>
      <c r="M348" s="6">
        <f>M347+L348</f>
        <v/>
      </c>
      <c r="N348" s="9">
        <f>IF(M348&lt;=0.8,"A",IF(M348&lt;=0.95,"B","C"))</f>
        <v/>
      </c>
    </row>
    <row r="349">
      <c r="A349" s="2" t="n">
        <v>348</v>
      </c>
      <c r="B349" s="2" t="inlineStr">
        <is>
          <t>214478</t>
        </is>
      </c>
      <c r="C349" s="2" t="inlineStr">
        <is>
          <t>SHORT ATTACK - 71144-001 - LUPO  - P - AZUL</t>
        </is>
      </c>
      <c r="D349" s="4" t="n">
        <v>0</v>
      </c>
      <c r="E349" s="4" t="n">
        <v>2</v>
      </c>
      <c r="F349" s="4" t="n">
        <v>4</v>
      </c>
      <c r="G349" s="4">
        <f>SUM(D349:F349)</f>
        <v/>
      </c>
      <c r="H349" s="5" t="n">
        <v>0</v>
      </c>
      <c r="I349" s="5" t="n">
        <v>159.8</v>
      </c>
      <c r="J349" s="5" t="n">
        <v>319.6</v>
      </c>
      <c r="K349" s="5">
        <f>SUM(H349:J349)</f>
        <v/>
      </c>
      <c r="L349" s="6">
        <f>IF($K$622=0,0,K349/$K$622)</f>
        <v/>
      </c>
      <c r="M349" s="6">
        <f>M348+L349</f>
        <v/>
      </c>
      <c r="N349" s="9">
        <f>IF(M349&lt;=0.8,"A",IF(M349&lt;=0.95,"B","C"))</f>
        <v/>
      </c>
    </row>
    <row r="350">
      <c r="A350" s="2" t="n">
        <v>349</v>
      </c>
      <c r="B350" s="2" t="inlineStr">
        <is>
          <t>215115</t>
        </is>
      </c>
      <c r="C350" s="2" t="inlineStr">
        <is>
          <t>SHORT LSPORT BASIC - 71348 - LUPO - G - PRETO</t>
        </is>
      </c>
      <c r="D350" s="4" t="n">
        <v>0</v>
      </c>
      <c r="E350" s="4" t="n">
        <v>2</v>
      </c>
      <c r="F350" s="4" t="n">
        <v>4</v>
      </c>
      <c r="G350" s="4">
        <f>SUM(D350:F350)</f>
        <v/>
      </c>
      <c r="H350" s="5" t="n">
        <v>0</v>
      </c>
      <c r="I350" s="5" t="n">
        <v>152.28</v>
      </c>
      <c r="J350" s="5" t="n">
        <v>315.6</v>
      </c>
      <c r="K350" s="5">
        <f>SUM(H350:J350)</f>
        <v/>
      </c>
      <c r="L350" s="6">
        <f>IF($K$622=0,0,K350/$K$622)</f>
        <v/>
      </c>
      <c r="M350" s="6">
        <f>M349+L350</f>
        <v/>
      </c>
      <c r="N350" s="9">
        <f>IF(M350&lt;=0.8,"A",IF(M350&lt;=0.95,"B","C"))</f>
        <v/>
      </c>
    </row>
    <row r="351">
      <c r="A351" s="2" t="n">
        <v>350</v>
      </c>
      <c r="B351" s="2" t="inlineStr">
        <is>
          <t>KIT10-370ML-VM</t>
        </is>
      </c>
      <c r="C351" s="2" t="inlineStr">
        <is>
          <t>Kit Potes de Vidro 370ml Hermético Marmita Fit com Tampa 4 Travas - 10 Potes,Vermelho</t>
        </is>
      </c>
      <c r="D351" s="4" t="n">
        <v>0</v>
      </c>
      <c r="E351" s="4" t="n">
        <v>0</v>
      </c>
      <c r="F351" s="4" t="n">
        <v>6</v>
      </c>
      <c r="G351" s="4">
        <f>SUM(D351:F351)</f>
        <v/>
      </c>
      <c r="H351" s="5" t="n">
        <v>0</v>
      </c>
      <c r="I351" s="5" t="n">
        <v>0</v>
      </c>
      <c r="J351" s="5" t="n">
        <v>467.4</v>
      </c>
      <c r="K351" s="5">
        <f>SUM(H351:J351)</f>
        <v/>
      </c>
      <c r="L351" s="6">
        <f>IF($K$622=0,0,K351/$K$622)</f>
        <v/>
      </c>
      <c r="M351" s="6">
        <f>M350+L351</f>
        <v/>
      </c>
      <c r="N351" s="9">
        <f>IF(M351&lt;=0.8,"A",IF(M351&lt;=0.95,"B","C"))</f>
        <v/>
      </c>
    </row>
    <row r="352">
      <c r="A352" s="2" t="n">
        <v>351</v>
      </c>
      <c r="B352" s="2" t="inlineStr">
        <is>
          <t>215209</t>
        </is>
      </c>
      <c r="C352" s="2" t="inlineStr">
        <is>
          <t>SHORT LSPORT BASIC - 71348 - LUPO - G - PURPLE</t>
        </is>
      </c>
      <c r="D352" s="4" t="n">
        <v>0</v>
      </c>
      <c r="E352" s="4" t="n">
        <v>2</v>
      </c>
      <c r="F352" s="4" t="n">
        <v>4</v>
      </c>
      <c r="G352" s="4">
        <f>SUM(D352:F352)</f>
        <v/>
      </c>
      <c r="H352" s="5" t="n">
        <v>0</v>
      </c>
      <c r="I352" s="5" t="n">
        <v>152.28</v>
      </c>
      <c r="J352" s="5" t="n">
        <v>313.23</v>
      </c>
      <c r="K352" s="5">
        <f>SUM(H352:J352)</f>
        <v/>
      </c>
      <c r="L352" s="6">
        <f>IF($K$622=0,0,K352/$K$622)</f>
        <v/>
      </c>
      <c r="M352" s="6">
        <f>M351+L352</f>
        <v/>
      </c>
      <c r="N352" s="9">
        <f>IF(M352&lt;=0.8,"A",IF(M352&lt;=0.95,"B","C"))</f>
        <v/>
      </c>
    </row>
    <row r="353">
      <c r="A353" s="2" t="n">
        <v>352</v>
      </c>
      <c r="B353" s="2" t="inlineStr">
        <is>
          <t>214775</t>
        </is>
      </c>
      <c r="C353" s="2" t="inlineStr">
        <is>
          <t>SUTIA BASICO SEM COSTURA - 41100 - LUPO - M - 40 A 42 - NUDE</t>
        </is>
      </c>
      <c r="D353" s="4" t="n">
        <v>0</v>
      </c>
      <c r="E353" s="4" t="n">
        <v>10</v>
      </c>
      <c r="F353" s="4" t="n">
        <v>2</v>
      </c>
      <c r="G353" s="4">
        <f>SUM(D353:F353)</f>
        <v/>
      </c>
      <c r="H353" s="5" t="n">
        <v>0</v>
      </c>
      <c r="I353" s="5" t="n">
        <v>383.86</v>
      </c>
      <c r="J353" s="5" t="n">
        <v>79</v>
      </c>
      <c r="K353" s="5">
        <f>SUM(H353:J353)</f>
        <v/>
      </c>
      <c r="L353" s="6">
        <f>IF($K$622=0,0,K353/$K$622)</f>
        <v/>
      </c>
      <c r="M353" s="6">
        <f>M352+L353</f>
        <v/>
      </c>
      <c r="N353" s="9">
        <f>IF(M353&lt;=0.8,"A",IF(M353&lt;=0.95,"B","C"))</f>
        <v/>
      </c>
    </row>
    <row r="354">
      <c r="A354" s="2" t="n">
        <v>353</v>
      </c>
      <c r="B354" s="2" t="inlineStr">
        <is>
          <t>213991</t>
        </is>
      </c>
      <c r="C354" s="2" t="inlineStr">
        <is>
          <t>KIT BALANÇAS - COZINHA</t>
        </is>
      </c>
      <c r="D354" s="4" t="n">
        <v>0</v>
      </c>
      <c r="E354" s="4" t="n">
        <v>1</v>
      </c>
      <c r="F354" s="4" t="n">
        <v>17</v>
      </c>
      <c r="G354" s="4">
        <f>SUM(D354:F354)</f>
        <v/>
      </c>
      <c r="H354" s="5" t="n">
        <v>0</v>
      </c>
      <c r="I354" s="5" t="n">
        <v>23.9</v>
      </c>
      <c r="J354" s="5" t="n">
        <v>432.3</v>
      </c>
      <c r="K354" s="5">
        <f>SUM(H354:J354)</f>
        <v/>
      </c>
      <c r="L354" s="6">
        <f>IF($K$622=0,0,K354/$K$622)</f>
        <v/>
      </c>
      <c r="M354" s="6">
        <f>M353+L354</f>
        <v/>
      </c>
      <c r="N354" s="9">
        <f>IF(M354&lt;=0.8,"A",IF(M354&lt;=0.95,"B","C"))</f>
        <v/>
      </c>
    </row>
    <row r="355">
      <c r="A355" s="2" t="n">
        <v>354</v>
      </c>
      <c r="B355" s="2" t="inlineStr">
        <is>
          <t>60UNI-TAPETE-EDB-LAVANDA</t>
        </is>
      </c>
      <c r="C355" s="2" t="inlineStr">
        <is>
          <t>60 Unidades</t>
        </is>
      </c>
      <c r="D355" s="4" t="n">
        <v>0</v>
      </c>
      <c r="E355" s="4" t="n">
        <v>0</v>
      </c>
      <c r="F355" s="4" t="n">
        <v>3</v>
      </c>
      <c r="G355" s="4">
        <f>SUM(D355:F355)</f>
        <v/>
      </c>
      <c r="H355" s="5" t="n">
        <v>0</v>
      </c>
      <c r="I355" s="5" t="n">
        <v>0</v>
      </c>
      <c r="J355" s="5" t="n">
        <v>452.7</v>
      </c>
      <c r="K355" s="5">
        <f>SUM(H355:J355)</f>
        <v/>
      </c>
      <c r="L355" s="6">
        <f>IF($K$622=0,0,K355/$K$622)</f>
        <v/>
      </c>
      <c r="M355" s="6">
        <f>M354+L355</f>
        <v/>
      </c>
      <c r="N355" s="9">
        <f>IF(M355&lt;=0.8,"A",IF(M355&lt;=0.95,"B","C"))</f>
        <v/>
      </c>
    </row>
    <row r="356">
      <c r="A356" s="2" t="n">
        <v>355</v>
      </c>
      <c r="B356" s="2" t="inlineStr">
        <is>
          <t>215835</t>
        </is>
      </c>
      <c r="C356" s="2" t="inlineStr">
        <is>
          <t>KIT POTE DE VIDRO MARMITA - 370ML - SORTIDO - 1 POTE</t>
        </is>
      </c>
      <c r="D356" s="4" t="n">
        <v>0</v>
      </c>
      <c r="E356" s="4" t="n">
        <v>15</v>
      </c>
      <c r="F356" s="4" t="n">
        <v>0</v>
      </c>
      <c r="G356" s="4">
        <f>SUM(D356:F356)</f>
        <v/>
      </c>
      <c r="H356" s="5" t="n">
        <v>0</v>
      </c>
      <c r="I356" s="5" t="n">
        <v>448.5</v>
      </c>
      <c r="J356" s="5" t="n">
        <v>0</v>
      </c>
      <c r="K356" s="5">
        <f>SUM(H356:J356)</f>
        <v/>
      </c>
      <c r="L356" s="6">
        <f>IF($K$622=0,0,K356/$K$622)</f>
        <v/>
      </c>
      <c r="M356" s="6">
        <f>M355+L356</f>
        <v/>
      </c>
      <c r="N356" s="9">
        <f>IF(M356&lt;=0.8,"A",IF(M356&lt;=0.95,"B","C"))</f>
        <v/>
      </c>
    </row>
    <row r="357">
      <c r="A357" s="2" t="n">
        <v>356</v>
      </c>
      <c r="B357" s="2" t="inlineStr">
        <is>
          <t>215417</t>
        </is>
      </c>
      <c r="C357" s="2" t="inlineStr">
        <is>
          <t>PACOTE 1 CUECA LONG LEG MICROMODAL - 00674 - LUPO - PRETO - G</t>
        </is>
      </c>
      <c r="D357" s="4" t="n">
        <v>0</v>
      </c>
      <c r="E357" s="4" t="n">
        <v>7</v>
      </c>
      <c r="F357" s="4" t="n">
        <v>0</v>
      </c>
      <c r="G357" s="4">
        <f>SUM(D357:F357)</f>
        <v/>
      </c>
      <c r="H357" s="5" t="n">
        <v>0</v>
      </c>
      <c r="I357" s="5" t="n">
        <v>447.8</v>
      </c>
      <c r="J357" s="5" t="n">
        <v>0</v>
      </c>
      <c r="K357" s="5">
        <f>SUM(H357:J357)</f>
        <v/>
      </c>
      <c r="L357" s="6">
        <f>IF($K$622=0,0,K357/$K$622)</f>
        <v/>
      </c>
      <c r="M357" s="6">
        <f>M356+L357</f>
        <v/>
      </c>
      <c r="N357" s="9">
        <f>IF(M357&lt;=0.8,"A",IF(M357&lt;=0.95,"B","C"))</f>
        <v/>
      </c>
    </row>
    <row r="358">
      <c r="A358" s="2" t="n">
        <v>357</v>
      </c>
      <c r="B358" s="2" t="inlineStr">
        <is>
          <t>212976</t>
        </is>
      </c>
      <c r="C358" s="2" t="inlineStr">
        <is>
          <t>TYROX 1000MCG CEPAV 60 COMP</t>
        </is>
      </c>
      <c r="D358" s="4" t="n">
        <v>0</v>
      </c>
      <c r="E358" s="4" t="n">
        <v>2</v>
      </c>
      <c r="F358" s="4" t="n">
        <v>0</v>
      </c>
      <c r="G358" s="4">
        <f>SUM(D358:F358)</f>
        <v/>
      </c>
      <c r="H358" s="5" t="n">
        <v>0</v>
      </c>
      <c r="I358" s="5" t="n">
        <v>445.8</v>
      </c>
      <c r="J358" s="5" t="n">
        <v>0</v>
      </c>
      <c r="K358" s="5">
        <f>SUM(H358:J358)</f>
        <v/>
      </c>
      <c r="L358" s="6">
        <f>IF($K$622=0,0,K358/$K$622)</f>
        <v/>
      </c>
      <c r="M358" s="6">
        <f>M357+L358</f>
        <v/>
      </c>
      <c r="N358" s="9">
        <f>IF(M358&lt;=0.8,"A",IF(M358&lt;=0.95,"B","C"))</f>
        <v/>
      </c>
    </row>
    <row r="359">
      <c r="A359" s="2" t="n">
        <v>358</v>
      </c>
      <c r="B359" s="2" t="inlineStr">
        <is>
          <t>KIT5-370ML-VM</t>
        </is>
      </c>
      <c r="C359" s="2" t="inlineStr">
        <is>
          <t>Kit Potes de Vidro 370ml Hermético Marmita Fit com Tampa 4 Travas - 5 Potes,Vermelho</t>
        </is>
      </c>
      <c r="D359" s="4" t="n">
        <v>0</v>
      </c>
      <c r="E359" s="4" t="n">
        <v>0</v>
      </c>
      <c r="F359" s="4" t="n">
        <v>7</v>
      </c>
      <c r="G359" s="4">
        <f>SUM(D359:F359)</f>
        <v/>
      </c>
      <c r="H359" s="5" t="n">
        <v>0</v>
      </c>
      <c r="I359" s="5" t="n">
        <v>0</v>
      </c>
      <c r="J359" s="5" t="n">
        <v>439.26</v>
      </c>
      <c r="K359" s="5">
        <f>SUM(H359:J359)</f>
        <v/>
      </c>
      <c r="L359" s="6">
        <f>IF($K$622=0,0,K359/$K$622)</f>
        <v/>
      </c>
      <c r="M359" s="6">
        <f>M358+L359</f>
        <v/>
      </c>
      <c r="N359" s="9">
        <f>IF(M359&lt;=0.8,"A",IF(M359&lt;=0.95,"B","C"))</f>
        <v/>
      </c>
    </row>
    <row r="360">
      <c r="A360" s="2" t="n">
        <v>359</v>
      </c>
      <c r="B360" s="2" t="inlineStr">
        <is>
          <t>214763</t>
        </is>
      </c>
      <c r="C360" s="2" t="inlineStr">
        <is>
          <t>SUTIA BASICO SEM COSTURA - 41100 - LUPO - M - 40 A 42 - PRETO</t>
        </is>
      </c>
      <c r="D360" s="4" t="n">
        <v>0</v>
      </c>
      <c r="E360" s="4" t="n">
        <v>9</v>
      </c>
      <c r="F360" s="4" t="n">
        <v>2</v>
      </c>
      <c r="G360" s="4">
        <f>SUM(D360:F360)</f>
        <v/>
      </c>
      <c r="H360" s="5" t="n">
        <v>0</v>
      </c>
      <c r="I360" s="5" t="n">
        <v>350.32</v>
      </c>
      <c r="J360" s="5" t="n">
        <v>79</v>
      </c>
      <c r="K360" s="5">
        <f>SUM(H360:J360)</f>
        <v/>
      </c>
      <c r="L360" s="6">
        <f>IF($K$622=0,0,K360/$K$622)</f>
        <v/>
      </c>
      <c r="M360" s="6">
        <f>M359+L360</f>
        <v/>
      </c>
      <c r="N360" s="9">
        <f>IF(M360&lt;=0.8,"A",IF(M360&lt;=0.95,"B","C"))</f>
        <v/>
      </c>
    </row>
    <row r="361">
      <c r="A361" s="2" t="n">
        <v>360</v>
      </c>
      <c r="B361" s="2" t="inlineStr">
        <is>
          <t>213519</t>
        </is>
      </c>
      <c r="C361" s="2" t="inlineStr">
        <is>
          <t>ESCOVA PENTE PLÁSTICO FERRO PARA PENTEAR CACHORROS E GATOS PET - BEGE</t>
        </is>
      </c>
      <c r="D361" s="4" t="n">
        <v>0</v>
      </c>
      <c r="E361" s="4" t="n">
        <v>13</v>
      </c>
      <c r="F361" s="4" t="n">
        <v>10</v>
      </c>
      <c r="G361" s="4">
        <f>SUM(D361:F361)</f>
        <v/>
      </c>
      <c r="H361" s="5" t="n">
        <v>0</v>
      </c>
      <c r="I361" s="5" t="n">
        <v>267.7</v>
      </c>
      <c r="J361" s="5" t="n">
        <v>160.93</v>
      </c>
      <c r="K361" s="5">
        <f>SUM(H361:J361)</f>
        <v/>
      </c>
      <c r="L361" s="6">
        <f>IF($K$622=0,0,K361/$K$622)</f>
        <v/>
      </c>
      <c r="M361" s="6">
        <f>M360+L361</f>
        <v/>
      </c>
      <c r="N361" s="9">
        <f>IF(M361&lt;=0.8,"A",IF(M361&lt;=0.95,"B","C"))</f>
        <v/>
      </c>
    </row>
    <row r="362">
      <c r="A362" s="2" t="n">
        <v>361</v>
      </c>
      <c r="B362" s="2" t="inlineStr">
        <is>
          <t>214847</t>
        </is>
      </c>
      <c r="C362" s="2" t="inlineStr">
        <is>
          <t>KIT POTE DE VIDRO C/ TAMPA DE BAMBU - 200ML - 8 UNIDADES</t>
        </is>
      </c>
      <c r="D362" s="4" t="n">
        <v>0</v>
      </c>
      <c r="E362" s="4" t="n">
        <v>0</v>
      </c>
      <c r="F362" s="4" t="n">
        <v>3</v>
      </c>
      <c r="G362" s="4">
        <f>SUM(D362:F362)</f>
        <v/>
      </c>
      <c r="H362" s="5" t="n">
        <v>0</v>
      </c>
      <c r="I362" s="5" t="n">
        <v>0</v>
      </c>
      <c r="J362" s="5" t="n">
        <v>423.7</v>
      </c>
      <c r="K362" s="5">
        <f>SUM(H362:J362)</f>
        <v/>
      </c>
      <c r="L362" s="6">
        <f>IF($K$622=0,0,K362/$K$622)</f>
        <v/>
      </c>
      <c r="M362" s="6">
        <f>M361+L362</f>
        <v/>
      </c>
      <c r="N362" s="9">
        <f>IF(M362&lt;=0.8,"A",IF(M362&lt;=0.95,"B","C"))</f>
        <v/>
      </c>
    </row>
    <row r="363">
      <c r="A363" s="2" t="n">
        <v>362</v>
      </c>
      <c r="B363" s="2" t="inlineStr">
        <is>
          <t>KIT4-TAÇA</t>
        </is>
      </c>
      <c r="C363" s="2" t="inlineStr">
        <is>
          <t>4 Taças</t>
        </is>
      </c>
      <c r="D363" s="4" t="n">
        <v>0</v>
      </c>
      <c r="E363" s="4" t="n">
        <v>3</v>
      </c>
      <c r="F363" s="4" t="n">
        <v>3</v>
      </c>
      <c r="G363" s="4">
        <f>SUM(D363:F363)</f>
        <v/>
      </c>
      <c r="H363" s="5" t="n">
        <v>0</v>
      </c>
      <c r="I363" s="5" t="n">
        <v>209.7</v>
      </c>
      <c r="J363" s="5" t="n">
        <v>209.7</v>
      </c>
      <c r="K363" s="5">
        <f>SUM(H363:J363)</f>
        <v/>
      </c>
      <c r="L363" s="6">
        <f>IF($K$622=0,0,K363/$K$622)</f>
        <v/>
      </c>
      <c r="M363" s="6">
        <f>M362+L363</f>
        <v/>
      </c>
      <c r="N363" s="9">
        <f>IF(M363&lt;=0.8,"A",IF(M363&lt;=0.95,"B","C"))</f>
        <v/>
      </c>
    </row>
    <row r="364">
      <c r="A364" s="2" t="n">
        <v>363</v>
      </c>
      <c r="B364" s="2" t="inlineStr">
        <is>
          <t>213547</t>
        </is>
      </c>
      <c r="C364" s="2" t="inlineStr">
        <is>
          <t>INVICTO ANTIPULGAS GATO E CACHORRO - BLISTER C/1 COMP - 57MG</t>
        </is>
      </c>
      <c r="D364" s="4" t="n">
        <v>0</v>
      </c>
      <c r="E364" s="4" t="n">
        <v>21</v>
      </c>
      <c r="F364" s="4" t="n">
        <v>2</v>
      </c>
      <c r="G364" s="4">
        <f>SUM(D364:F364)</f>
        <v/>
      </c>
      <c r="H364" s="5" t="n">
        <v>0</v>
      </c>
      <c r="I364" s="5" t="n">
        <v>372.9</v>
      </c>
      <c r="J364" s="5" t="n">
        <v>40.8</v>
      </c>
      <c r="K364" s="5">
        <f>SUM(H364:J364)</f>
        <v/>
      </c>
      <c r="L364" s="6">
        <f>IF($K$622=0,0,K364/$K$622)</f>
        <v/>
      </c>
      <c r="M364" s="6">
        <f>M363+L364</f>
        <v/>
      </c>
      <c r="N364" s="9">
        <f>IF(M364&lt;=0.8,"A",IF(M364&lt;=0.95,"B","C"))</f>
        <v/>
      </c>
    </row>
    <row r="365">
      <c r="A365" s="2" t="n">
        <v>364</v>
      </c>
      <c r="B365" s="2" t="inlineStr">
        <is>
          <t>213559</t>
        </is>
      </c>
      <c r="C365" s="2" t="inlineStr">
        <is>
          <t>FORTH ROSA DO DESERTO FERTILIZANTE  - 400G</t>
        </is>
      </c>
      <c r="D365" s="4" t="n">
        <v>0</v>
      </c>
      <c r="E365" s="4" t="n">
        <v>13</v>
      </c>
      <c r="F365" s="4" t="n">
        <v>14</v>
      </c>
      <c r="G365" s="4">
        <f>SUM(D365:F365)</f>
        <v/>
      </c>
      <c r="H365" s="5" t="n">
        <v>0</v>
      </c>
      <c r="I365" s="5" t="n">
        <v>193.7</v>
      </c>
      <c r="J365" s="5" t="n">
        <v>208.6</v>
      </c>
      <c r="K365" s="5">
        <f>SUM(H365:J365)</f>
        <v/>
      </c>
      <c r="L365" s="6">
        <f>IF($K$622=0,0,K365/$K$622)</f>
        <v/>
      </c>
      <c r="M365" s="6">
        <f>M364+L365</f>
        <v/>
      </c>
      <c r="N365" s="9">
        <f>IF(M365&lt;=0.8,"A",IF(M365&lt;=0.95,"B","C"))</f>
        <v/>
      </c>
    </row>
    <row r="366">
      <c r="A366" s="2" t="n">
        <v>365</v>
      </c>
      <c r="B366" s="2" t="inlineStr">
        <is>
          <t>214122</t>
        </is>
      </c>
      <c r="C366" s="2" t="inlineStr">
        <is>
          <t>ÁRVORE DE NATAL - 1.8M - 850 GALHOS</t>
        </is>
      </c>
      <c r="D366" s="4" t="n">
        <v>0</v>
      </c>
      <c r="E366" s="4" t="n">
        <v>1</v>
      </c>
      <c r="F366" s="4" t="n">
        <v>0</v>
      </c>
      <c r="G366" s="4">
        <f>SUM(D366:F366)</f>
        <v/>
      </c>
      <c r="H366" s="5" t="n">
        <v>0</v>
      </c>
      <c r="I366" s="5" t="n">
        <v>399.9</v>
      </c>
      <c r="J366" s="5" t="n">
        <v>0</v>
      </c>
      <c r="K366" s="5">
        <f>SUM(H366:J366)</f>
        <v/>
      </c>
      <c r="L366" s="6">
        <f>IF($K$622=0,0,K366/$K$622)</f>
        <v/>
      </c>
      <c r="M366" s="6">
        <f>M365+L366</f>
        <v/>
      </c>
      <c r="N366" s="9">
        <f>IF(M366&lt;=0.8,"A",IF(M366&lt;=0.95,"B","C"))</f>
        <v/>
      </c>
    </row>
    <row r="367">
      <c r="A367" s="2" t="n">
        <v>366</v>
      </c>
      <c r="B367" s="2" t="inlineStr">
        <is>
          <t>PREVICOX</t>
        </is>
      </c>
      <c r="C367" s="2" t="inlineStr">
        <is>
          <t>Anti-inflamatório Previcox 227mg 10 Comprimidos Firocoxib</t>
        </is>
      </c>
      <c r="D367" s="4" t="n">
        <v>0</v>
      </c>
      <c r="E367" s="4" t="n">
        <v>2</v>
      </c>
      <c r="F367" s="4" t="n">
        <v>0</v>
      </c>
      <c r="G367" s="4">
        <f>SUM(D367:F367)</f>
        <v/>
      </c>
      <c r="H367" s="5" t="n">
        <v>0</v>
      </c>
      <c r="I367" s="5" t="n">
        <v>399.8</v>
      </c>
      <c r="J367" s="5" t="n">
        <v>0</v>
      </c>
      <c r="K367" s="5">
        <f>SUM(H367:J367)</f>
        <v/>
      </c>
      <c r="L367" s="6">
        <f>IF($K$622=0,0,K367/$K$622)</f>
        <v/>
      </c>
      <c r="M367" s="6">
        <f>M366+L367</f>
        <v/>
      </c>
      <c r="N367" s="9">
        <f>IF(M367&lt;=0.8,"A",IF(M367&lt;=0.95,"B","C"))</f>
        <v/>
      </c>
    </row>
    <row r="368">
      <c r="A368" s="2" t="n">
        <v>367</v>
      </c>
      <c r="B368" s="2" t="inlineStr">
        <is>
          <t>213654</t>
        </is>
      </c>
      <c r="C368" s="2" t="inlineStr">
        <is>
          <t>KIT FORTH INSETICIDA PU 500ML - 3 UNI</t>
        </is>
      </c>
      <c r="D368" s="4" t="n">
        <v>0</v>
      </c>
      <c r="E368" s="4" t="n">
        <v>2</v>
      </c>
      <c r="F368" s="4" t="n">
        <v>0</v>
      </c>
      <c r="G368" s="4">
        <f>SUM(D368:F368)</f>
        <v/>
      </c>
      <c r="H368" s="5" t="n">
        <v>0</v>
      </c>
      <c r="I368" s="5" t="n">
        <v>399.8</v>
      </c>
      <c r="J368" s="5" t="n">
        <v>0</v>
      </c>
      <c r="K368" s="5">
        <f>SUM(H368:J368)</f>
        <v/>
      </c>
      <c r="L368" s="6">
        <f>IF($K$622=0,0,K368/$K$622)</f>
        <v/>
      </c>
      <c r="M368" s="6">
        <f>M367+L368</f>
        <v/>
      </c>
      <c r="N368" s="9">
        <f>IF(M368&lt;=0.8,"A",IF(M368&lt;=0.95,"B","C"))</f>
        <v/>
      </c>
    </row>
    <row r="369">
      <c r="A369" s="2" t="n">
        <v>368</v>
      </c>
      <c r="B369" s="2" t="inlineStr">
        <is>
          <t>AREIA-EDB-12KG-GF</t>
        </is>
      </c>
      <c r="C369" s="2" t="inlineStr">
        <is>
          <t>12KG, Grãos Finos</t>
        </is>
      </c>
      <c r="D369" s="4" t="n">
        <v>0</v>
      </c>
      <c r="E369" s="4" t="n">
        <v>0</v>
      </c>
      <c r="F369" s="4" t="n">
        <v>2</v>
      </c>
      <c r="G369" s="4">
        <f>SUM(D369:F369)</f>
        <v/>
      </c>
      <c r="H369" s="5" t="n">
        <v>0</v>
      </c>
      <c r="I369" s="5" t="n">
        <v>0</v>
      </c>
      <c r="J369" s="5" t="n">
        <v>399.8</v>
      </c>
      <c r="K369" s="5">
        <f>SUM(H369:J369)</f>
        <v/>
      </c>
      <c r="L369" s="6">
        <f>IF($K$622=0,0,K369/$K$622)</f>
        <v/>
      </c>
      <c r="M369" s="6">
        <f>M368+L369</f>
        <v/>
      </c>
      <c r="N369" s="9">
        <f>IF(M369&lt;=0.8,"A",IF(M369&lt;=0.95,"B","C"))</f>
        <v/>
      </c>
    </row>
    <row r="370">
      <c r="A370" s="2" t="n">
        <v>369</v>
      </c>
      <c r="B370" s="2" t="inlineStr">
        <is>
          <t>213273</t>
        </is>
      </c>
      <c r="C370" s="2" t="inlineStr">
        <is>
          <t>AMINOMIX PET 500G</t>
        </is>
      </c>
      <c r="D370" s="4" t="n">
        <v>0</v>
      </c>
      <c r="E370" s="4" t="n">
        <v>4</v>
      </c>
      <c r="F370" s="4" t="n">
        <v>0</v>
      </c>
      <c r="G370" s="4">
        <f>SUM(D370:F370)</f>
        <v/>
      </c>
      <c r="H370" s="5" t="n">
        <v>0</v>
      </c>
      <c r="I370" s="5" t="n">
        <v>399.6</v>
      </c>
      <c r="J370" s="5" t="n">
        <v>0</v>
      </c>
      <c r="K370" s="5">
        <f>SUM(H370:J370)</f>
        <v/>
      </c>
      <c r="L370" s="6">
        <f>IF($K$622=0,0,K370/$K$622)</f>
        <v/>
      </c>
      <c r="M370" s="6">
        <f>M369+L370</f>
        <v/>
      </c>
      <c r="N370" s="9">
        <f>IF(M370&lt;=0.8,"A",IF(M370&lt;=0.95,"B","C"))</f>
        <v/>
      </c>
    </row>
    <row r="371">
      <c r="A371" s="2" t="n">
        <v>370</v>
      </c>
      <c r="B371" s="2" t="inlineStr">
        <is>
          <t>KIT-20-CAB-VEL-PT</t>
        </is>
      </c>
      <c r="C371" s="2" t="inlineStr">
        <is>
          <t>Preto, 20 UNIDADES</t>
        </is>
      </c>
      <c r="D371" s="4" t="n">
        <v>0</v>
      </c>
      <c r="E371" s="4" t="n">
        <v>0</v>
      </c>
      <c r="F371" s="4" t="n">
        <v>4</v>
      </c>
      <c r="G371" s="4">
        <f>SUM(D371:F371)</f>
        <v/>
      </c>
      <c r="H371" s="5" t="n">
        <v>0</v>
      </c>
      <c r="I371" s="5" t="n">
        <v>0</v>
      </c>
      <c r="J371" s="5" t="n">
        <v>399.6</v>
      </c>
      <c r="K371" s="5">
        <f>SUM(H371:J371)</f>
        <v/>
      </c>
      <c r="L371" s="6">
        <f>IF($K$622=0,0,K371/$K$622)</f>
        <v/>
      </c>
      <c r="M371" s="6">
        <f>M370+L371</f>
        <v/>
      </c>
      <c r="N371" s="9">
        <f>IF(M371&lt;=0.8,"A",IF(M371&lt;=0.95,"B","C"))</f>
        <v/>
      </c>
    </row>
    <row r="372">
      <c r="A372" s="2" t="n">
        <v>371</v>
      </c>
      <c r="B372" s="2" t="inlineStr">
        <is>
          <t>CHALEIRA-BRANCO-110V</t>
        </is>
      </c>
      <c r="C372" s="2" t="inlineStr">
        <is>
          <t>Branco, 110V</t>
        </is>
      </c>
      <c r="D372" s="4" t="n">
        <v>0</v>
      </c>
      <c r="E372" s="4" t="n">
        <v>5</v>
      </c>
      <c r="F372" s="4" t="n">
        <v>0</v>
      </c>
      <c r="G372" s="4">
        <f>SUM(D372:F372)</f>
        <v/>
      </c>
      <c r="H372" s="5" t="n">
        <v>0</v>
      </c>
      <c r="I372" s="5" t="n">
        <v>399.5</v>
      </c>
      <c r="J372" s="5" t="n">
        <v>0</v>
      </c>
      <c r="K372" s="5">
        <f>SUM(H372:J372)</f>
        <v/>
      </c>
      <c r="L372" s="6">
        <f>IF($K$622=0,0,K372/$K$622)</f>
        <v/>
      </c>
      <c r="M372" s="6">
        <f>M371+L372</f>
        <v/>
      </c>
      <c r="N372" s="9">
        <f>IF(M372&lt;=0.8,"A",IF(M372&lt;=0.95,"B","C"))</f>
        <v/>
      </c>
    </row>
    <row r="373">
      <c r="A373" s="2" t="n">
        <v>372</v>
      </c>
      <c r="B373" s="2" t="inlineStr">
        <is>
          <t>KIT2-TAÇA</t>
        </is>
      </c>
      <c r="C373" s="2" t="inlineStr">
        <is>
          <t>2 Taças</t>
        </is>
      </c>
      <c r="D373" s="4" t="n">
        <v>0</v>
      </c>
      <c r="E373" s="4" t="n">
        <v>2</v>
      </c>
      <c r="F373" s="4" t="n">
        <v>6</v>
      </c>
      <c r="G373" s="4">
        <f>SUM(D373:F373)</f>
        <v/>
      </c>
      <c r="H373" s="5" t="n">
        <v>0</v>
      </c>
      <c r="I373" s="5" t="n">
        <v>99.8</v>
      </c>
      <c r="J373" s="5" t="n">
        <v>299.4</v>
      </c>
      <c r="K373" s="5">
        <f>SUM(H373:J373)</f>
        <v/>
      </c>
      <c r="L373" s="6">
        <f>IF($K$622=0,0,K373/$K$622)</f>
        <v/>
      </c>
      <c r="M373" s="6">
        <f>M372+L373</f>
        <v/>
      </c>
      <c r="N373" s="9">
        <f>IF(M373&lt;=0.8,"A",IF(M373&lt;=0.95,"B","C"))</f>
        <v/>
      </c>
    </row>
    <row r="374">
      <c r="A374" s="2" t="n">
        <v>373</v>
      </c>
      <c r="B374" s="2" t="inlineStr">
        <is>
          <t>214584</t>
        </is>
      </c>
      <c r="C374" s="2" t="inlineStr">
        <is>
          <t>MANGUITO PROTECAO UV - 15002 - LUPO - PRETO - P</t>
        </is>
      </c>
      <c r="D374" s="4" t="n">
        <v>0</v>
      </c>
      <c r="E374" s="4" t="n">
        <v>8</v>
      </c>
      <c r="F374" s="4" t="n">
        <v>0</v>
      </c>
      <c r="G374" s="4">
        <f>SUM(D374:F374)</f>
        <v/>
      </c>
      <c r="H374" s="5" t="n">
        <v>0</v>
      </c>
      <c r="I374" s="5" t="n">
        <v>399.2</v>
      </c>
      <c r="J374" s="5" t="n">
        <v>0</v>
      </c>
      <c r="K374" s="5">
        <f>SUM(H374:J374)</f>
        <v/>
      </c>
      <c r="L374" s="6">
        <f>IF($K$622=0,0,K374/$K$622)</f>
        <v/>
      </c>
      <c r="M374" s="6">
        <f>M373+L374</f>
        <v/>
      </c>
      <c r="N374" s="9">
        <f>IF(M374&lt;=0.8,"A",IF(M374&lt;=0.95,"B","C"))</f>
        <v/>
      </c>
    </row>
    <row r="375">
      <c r="A375" s="2" t="n">
        <v>374</v>
      </c>
      <c r="B375" s="2" t="inlineStr">
        <is>
          <t>213487</t>
        </is>
      </c>
      <c r="C375" s="2" t="inlineStr">
        <is>
          <t>SENSPERT CINOMOSE</t>
        </is>
      </c>
      <c r="D375" s="4" t="n">
        <v>0</v>
      </c>
      <c r="E375" s="4" t="n">
        <v>1</v>
      </c>
      <c r="F375" s="4" t="n">
        <v>7</v>
      </c>
      <c r="G375" s="4">
        <f>SUM(D375:F375)</f>
        <v/>
      </c>
      <c r="H375" s="5" t="n">
        <v>0</v>
      </c>
      <c r="I375" s="5" t="n">
        <v>49.9</v>
      </c>
      <c r="J375" s="5" t="n">
        <v>349.3</v>
      </c>
      <c r="K375" s="5">
        <f>SUM(H375:J375)</f>
        <v/>
      </c>
      <c r="L375" s="6">
        <f>IF($K$622=0,0,K375/$K$622)</f>
        <v/>
      </c>
      <c r="M375" s="6">
        <f>M374+L375</f>
        <v/>
      </c>
      <c r="N375" s="9">
        <f>IF(M375&lt;=0.8,"A",IF(M375&lt;=0.95,"B","C"))</f>
        <v/>
      </c>
    </row>
    <row r="376">
      <c r="A376" s="2" t="n">
        <v>375</v>
      </c>
      <c r="B376" s="2" t="inlineStr">
        <is>
          <t>KIT2-FORTH-ORQUIDEAS-500ML</t>
        </is>
      </c>
      <c r="C376" s="2" t="inlineStr">
        <is>
          <t>kit adubo fertilizante orquídeas pronto uso manutenção + floração 500 ml forth jardim kit</t>
        </is>
      </c>
      <c r="D376" s="4" t="n">
        <v>0</v>
      </c>
      <c r="E376" s="4" t="n">
        <v>10</v>
      </c>
      <c r="F376" s="4" t="n">
        <v>0</v>
      </c>
      <c r="G376" s="4">
        <f>SUM(D376:F376)</f>
        <v/>
      </c>
      <c r="H376" s="5" t="n">
        <v>0</v>
      </c>
      <c r="I376" s="5" t="n">
        <v>399</v>
      </c>
      <c r="J376" s="5" t="n">
        <v>0</v>
      </c>
      <c r="K376" s="5">
        <f>SUM(H376:J376)</f>
        <v/>
      </c>
      <c r="L376" s="6">
        <f>IF($K$622=0,0,K376/$K$622)</f>
        <v/>
      </c>
      <c r="M376" s="6">
        <f>M375+L376</f>
        <v/>
      </c>
      <c r="N376" s="9">
        <f>IF(M376&lt;=0.8,"A",IF(M376&lt;=0.95,"B","C"))</f>
        <v/>
      </c>
    </row>
    <row r="377">
      <c r="A377" s="2" t="n">
        <v>376</v>
      </c>
      <c r="B377" s="2" t="inlineStr">
        <is>
          <t>BIOFRESH-DOG-FILHOTE-GRANDE-15KG</t>
        </is>
      </c>
      <c r="C377" s="2" t="inlineStr">
        <is>
          <t>Ração Cães Biofresh Filhotes Raças Grandes E Gigantes 15kg - RAÇÃO - 15KG</t>
        </is>
      </c>
      <c r="D377" s="4" t="n">
        <v>0</v>
      </c>
      <c r="E377" s="4" t="n">
        <v>1</v>
      </c>
      <c r="F377" s="4" t="n">
        <v>0</v>
      </c>
      <c r="G377" s="4">
        <f>SUM(D377:F377)</f>
        <v/>
      </c>
      <c r="H377" s="5" t="n">
        <v>0</v>
      </c>
      <c r="I377" s="5" t="n">
        <v>396.9</v>
      </c>
      <c r="J377" s="5" t="n">
        <v>0</v>
      </c>
      <c r="K377" s="5">
        <f>SUM(H377:J377)</f>
        <v/>
      </c>
      <c r="L377" s="6">
        <f>IF($K$622=0,0,K377/$K$622)</f>
        <v/>
      </c>
      <c r="M377" s="6">
        <f>M376+L377</f>
        <v/>
      </c>
      <c r="N377" s="9">
        <f>IF(M377&lt;=0.8,"A",IF(M377&lt;=0.95,"B","C"))</f>
        <v/>
      </c>
    </row>
    <row r="378">
      <c r="A378" s="2" t="n">
        <v>377</v>
      </c>
      <c r="B378" s="2" t="inlineStr">
        <is>
          <t>215116</t>
        </is>
      </c>
      <c r="C378" s="2" t="inlineStr">
        <is>
          <t>SHORT LSPORT BASIC - 71348 - LUPO - GG - PRETO</t>
        </is>
      </c>
      <c r="D378" s="4" t="n">
        <v>0</v>
      </c>
      <c r="E378" s="4" t="n">
        <v>1</v>
      </c>
      <c r="F378" s="4" t="n">
        <v>4</v>
      </c>
      <c r="G378" s="4">
        <f>SUM(D378:F378)</f>
        <v/>
      </c>
      <c r="H378" s="5" t="n">
        <v>0</v>
      </c>
      <c r="I378" s="5" t="n">
        <v>78.90000000000001</v>
      </c>
      <c r="J378" s="5" t="n">
        <v>312.44</v>
      </c>
      <c r="K378" s="5">
        <f>SUM(H378:J378)</f>
        <v/>
      </c>
      <c r="L378" s="6">
        <f>IF($K$622=0,0,K378/$K$622)</f>
        <v/>
      </c>
      <c r="M378" s="6">
        <f>M377+L378</f>
        <v/>
      </c>
      <c r="N378" s="9">
        <f>IF(M378&lt;=0.8,"A",IF(M378&lt;=0.95,"B","C"))</f>
        <v/>
      </c>
    </row>
    <row r="379">
      <c r="A379" s="2" t="n">
        <v>378</v>
      </c>
      <c r="B379" s="2" t="inlineStr">
        <is>
          <t>215864</t>
        </is>
      </c>
      <c r="C379" s="2" t="inlineStr">
        <is>
          <t>KIT POTE DE VIDRO MARMITA - 370ML - VERMELHO - 10 POTES</t>
        </is>
      </c>
      <c r="D379" s="4" t="n">
        <v>0</v>
      </c>
      <c r="E379" s="4" t="n">
        <v>0</v>
      </c>
      <c r="F379" s="4" t="n">
        <v>5</v>
      </c>
      <c r="G379" s="4">
        <f>SUM(D379:F379)</f>
        <v/>
      </c>
      <c r="H379" s="5" t="n">
        <v>0</v>
      </c>
      <c r="I379" s="5" t="n">
        <v>0</v>
      </c>
      <c r="J379" s="5" t="n">
        <v>389.5</v>
      </c>
      <c r="K379" s="5">
        <f>SUM(H379:J379)</f>
        <v/>
      </c>
      <c r="L379" s="6">
        <f>IF($K$622=0,0,K379/$K$622)</f>
        <v/>
      </c>
      <c r="M379" s="6">
        <f>M378+L379</f>
        <v/>
      </c>
      <c r="N379" s="9">
        <f>IF(M379&lt;=0.8,"A",IF(M379&lt;=0.95,"B","C"))</f>
        <v/>
      </c>
    </row>
    <row r="380">
      <c r="A380" s="2" t="n">
        <v>379</v>
      </c>
      <c r="B380" s="2" t="inlineStr">
        <is>
          <t>214807</t>
        </is>
      </c>
      <c r="C380" s="2" t="inlineStr">
        <is>
          <t>KIT POTE DE VIDRO C/ TAMPA DE BAMBU - 200ML - 3 UNIDADES</t>
        </is>
      </c>
      <c r="D380" s="4" t="n">
        <v>0</v>
      </c>
      <c r="E380" s="4" t="n">
        <v>1</v>
      </c>
      <c r="F380" s="4" t="n">
        <v>10</v>
      </c>
      <c r="G380" s="4">
        <f>SUM(D380:F380)</f>
        <v/>
      </c>
      <c r="H380" s="5" t="n">
        <v>0</v>
      </c>
      <c r="I380" s="5" t="n">
        <v>64.90000000000001</v>
      </c>
      <c r="J380" s="5" t="n">
        <v>316</v>
      </c>
      <c r="K380" s="5">
        <f>SUM(H380:J380)</f>
        <v/>
      </c>
      <c r="L380" s="6">
        <f>IF($K$622=0,0,K380/$K$622)</f>
        <v/>
      </c>
      <c r="M380" s="6">
        <f>M379+L380</f>
        <v/>
      </c>
      <c r="N380" s="9">
        <f>IF(M380&lt;=0.8,"A",IF(M380&lt;=0.95,"B","C"))</f>
        <v/>
      </c>
    </row>
    <row r="381">
      <c r="A381" s="2" t="n">
        <v>380</v>
      </c>
      <c r="B381" s="2" t="inlineStr">
        <is>
          <t>212811</t>
        </is>
      </c>
      <c r="C381" s="2" t="inlineStr">
        <is>
          <t>BEBEDOURO BEIJA-FLOR LUXO CHAPEU C/ POLEIRO 250ML CORES MISTAS</t>
        </is>
      </c>
      <c r="D381" s="4" t="n">
        <v>0</v>
      </c>
      <c r="E381" s="4" t="n">
        <v>2</v>
      </c>
      <c r="F381" s="4" t="n">
        <v>15</v>
      </c>
      <c r="G381" s="4">
        <f>SUM(D381:F381)</f>
        <v/>
      </c>
      <c r="H381" s="5" t="n">
        <v>0</v>
      </c>
      <c r="I381" s="5" t="n">
        <v>59.8</v>
      </c>
      <c r="J381" s="5" t="n">
        <v>320.5</v>
      </c>
      <c r="K381" s="5">
        <f>SUM(H381:J381)</f>
        <v/>
      </c>
      <c r="L381" s="6">
        <f>IF($K$622=0,0,K381/$K$622)</f>
        <v/>
      </c>
      <c r="M381" s="6">
        <f>M380+L381</f>
        <v/>
      </c>
      <c r="N381" s="9">
        <f>IF(M381&lt;=0.8,"A",IF(M381&lt;=0.95,"B","C"))</f>
        <v/>
      </c>
    </row>
    <row r="382">
      <c r="A382" s="2" t="n">
        <v>381</v>
      </c>
      <c r="B382" s="2" t="inlineStr">
        <is>
          <t>213696</t>
        </is>
      </c>
      <c r="C382" s="2" t="inlineStr">
        <is>
          <t>KIT INVICTO ANTIPULGAS GATO E CACHORRO - BLISTER C/1 COMP - 57MG - 6 BLISTER</t>
        </is>
      </c>
      <c r="D382" s="4" t="n">
        <v>0</v>
      </c>
      <c r="E382" s="4" t="n">
        <v>6</v>
      </c>
      <c r="F382" s="4" t="n">
        <v>0</v>
      </c>
      <c r="G382" s="4">
        <f>SUM(D382:F382)</f>
        <v/>
      </c>
      <c r="H382" s="5" t="n">
        <v>0</v>
      </c>
      <c r="I382" s="5" t="n">
        <v>372.4</v>
      </c>
      <c r="J382" s="5" t="n">
        <v>0</v>
      </c>
      <c r="K382" s="5">
        <f>SUM(H382:J382)</f>
        <v/>
      </c>
      <c r="L382" s="6">
        <f>IF($K$622=0,0,K382/$K$622)</f>
        <v/>
      </c>
      <c r="M382" s="6">
        <f>M381+L382</f>
        <v/>
      </c>
      <c r="N382" s="9">
        <f>IF(M382&lt;=0.8,"A",IF(M382&lt;=0.95,"B","C"))</f>
        <v/>
      </c>
    </row>
    <row r="383">
      <c r="A383" s="2" t="n">
        <v>382</v>
      </c>
      <c r="B383" s="2" t="inlineStr">
        <is>
          <t>213535</t>
        </is>
      </c>
      <c r="C383" s="2" t="inlineStr">
        <is>
          <t>MELOXIVET DUPRAT - BLISTER C/ 10 COMP  - 1MG</t>
        </is>
      </c>
      <c r="D383" s="4" t="n">
        <v>0</v>
      </c>
      <c r="E383" s="4" t="n">
        <v>4</v>
      </c>
      <c r="F383" s="4" t="n">
        <v>9</v>
      </c>
      <c r="G383" s="4">
        <f>SUM(D383:F383)</f>
        <v/>
      </c>
      <c r="H383" s="5" t="n">
        <v>0</v>
      </c>
      <c r="I383" s="5" t="n">
        <v>129.6</v>
      </c>
      <c r="J383" s="5" t="n">
        <v>242.1</v>
      </c>
      <c r="K383" s="5">
        <f>SUM(H383:J383)</f>
        <v/>
      </c>
      <c r="L383" s="6">
        <f>IF($K$622=0,0,K383/$K$622)</f>
        <v/>
      </c>
      <c r="M383" s="6">
        <f>M382+L383</f>
        <v/>
      </c>
      <c r="N383" s="9">
        <f>IF(M383&lt;=0.8,"A",IF(M383&lt;=0.95,"B","C"))</f>
        <v/>
      </c>
    </row>
    <row r="384">
      <c r="A384" s="2" t="n">
        <v>383</v>
      </c>
      <c r="B384" s="2" t="inlineStr">
        <is>
          <t>214860</t>
        </is>
      </c>
      <c r="C384" s="2" t="inlineStr">
        <is>
          <t>KIT POTE DE VIDRO C/ TAMPA DE BAMBU - 550ML - 10 UNIDADES</t>
        </is>
      </c>
      <c r="D384" s="4" t="n">
        <v>0</v>
      </c>
      <c r="E384" s="4" t="n">
        <v>0</v>
      </c>
      <c r="F384" s="4" t="n">
        <v>3</v>
      </c>
      <c r="G384" s="4">
        <f>SUM(D384:F384)</f>
        <v/>
      </c>
      <c r="H384" s="5" t="n">
        <v>0</v>
      </c>
      <c r="I384" s="5" t="n">
        <v>0</v>
      </c>
      <c r="J384" s="5" t="n">
        <v>371.68</v>
      </c>
      <c r="K384" s="5">
        <f>SUM(H384:J384)</f>
        <v/>
      </c>
      <c r="L384" s="6">
        <f>IF($K$622=0,0,K384/$K$622)</f>
        <v/>
      </c>
      <c r="M384" s="6">
        <f>M383+L384</f>
        <v/>
      </c>
      <c r="N384" s="9">
        <f>IF(M384&lt;=0.8,"A",IF(M384&lt;=0.95,"B","C"))</f>
        <v/>
      </c>
    </row>
    <row r="385">
      <c r="A385" s="2" t="n">
        <v>384</v>
      </c>
      <c r="B385" s="2" t="inlineStr">
        <is>
          <t>213762</t>
        </is>
      </c>
      <c r="C385" s="2" t="inlineStr">
        <is>
          <t>FELIMAZOLE 5MG C/100 COMP DECHRA</t>
        </is>
      </c>
      <c r="D385" s="4" t="n">
        <v>0</v>
      </c>
      <c r="E385" s="4" t="n">
        <v>1</v>
      </c>
      <c r="F385" s="4" t="n">
        <v>0</v>
      </c>
      <c r="G385" s="4">
        <f>SUM(D385:F385)</f>
        <v/>
      </c>
      <c r="H385" s="5" t="n">
        <v>0</v>
      </c>
      <c r="I385" s="5" t="n">
        <v>359.9</v>
      </c>
      <c r="J385" s="5" t="n">
        <v>0</v>
      </c>
      <c r="K385" s="5">
        <f>SUM(H385:J385)</f>
        <v/>
      </c>
      <c r="L385" s="6">
        <f>IF($K$622=0,0,K385/$K$622)</f>
        <v/>
      </c>
      <c r="M385" s="6">
        <f>M384+L385</f>
        <v/>
      </c>
      <c r="N385" s="9">
        <f>IF(M385&lt;=0.8,"A",IF(M385&lt;=0.95,"B","C"))</f>
        <v/>
      </c>
    </row>
    <row r="386">
      <c r="A386" s="2" t="n">
        <v>385</v>
      </c>
      <c r="B386" s="2" t="inlineStr">
        <is>
          <t>1-UNI-BEBEDOURO-BEIJAFLOR</t>
        </is>
      </c>
      <c r="C386" s="2" t="inlineStr">
        <is>
          <t>1 Unidade</t>
        </is>
      </c>
      <c r="D386" s="4" t="n">
        <v>0</v>
      </c>
      <c r="E386" s="4" t="n">
        <v>6</v>
      </c>
      <c r="F386" s="4" t="n">
        <v>0</v>
      </c>
      <c r="G386" s="4">
        <f>SUM(D386:F386)</f>
        <v/>
      </c>
      <c r="H386" s="5" t="n">
        <v>0</v>
      </c>
      <c r="I386" s="5" t="n">
        <v>359.4</v>
      </c>
      <c r="J386" s="5" t="n">
        <v>0</v>
      </c>
      <c r="K386" s="5">
        <f>SUM(H386:J386)</f>
        <v/>
      </c>
      <c r="L386" s="6">
        <f>IF($K$622=0,0,K386/$K$622)</f>
        <v/>
      </c>
      <c r="M386" s="6">
        <f>M385+L386</f>
        <v/>
      </c>
      <c r="N386" s="9">
        <f>IF(M386&lt;=0.8,"A",IF(M386&lt;=0.95,"B","C"))</f>
        <v/>
      </c>
    </row>
    <row r="387">
      <c r="A387" s="2" t="n">
        <v>386</v>
      </c>
      <c r="B387" s="2" t="inlineStr">
        <is>
          <t>215832</t>
        </is>
      </c>
      <c r="C387" s="2" t="inlineStr">
        <is>
          <t>KIT POTE DE VIDRO MARMITA - 1040ML - SORTIDO - 1 POTE</t>
        </is>
      </c>
      <c r="D387" s="4" t="n">
        <v>0</v>
      </c>
      <c r="E387" s="4" t="n">
        <v>9</v>
      </c>
      <c r="F387" s="4" t="n">
        <v>0</v>
      </c>
      <c r="G387" s="4">
        <f>SUM(D387:F387)</f>
        <v/>
      </c>
      <c r="H387" s="5" t="n">
        <v>0</v>
      </c>
      <c r="I387" s="5" t="n">
        <v>359.1</v>
      </c>
      <c r="J387" s="5" t="n">
        <v>0</v>
      </c>
      <c r="K387" s="5">
        <f>SUM(H387:J387)</f>
        <v/>
      </c>
      <c r="L387" s="6">
        <f>IF($K$622=0,0,K387/$K$622)</f>
        <v/>
      </c>
      <c r="M387" s="6">
        <f>M386+L387</f>
        <v/>
      </c>
      <c r="N387" s="9">
        <f>IF(M387&lt;=0.8,"A",IF(M387&lt;=0.95,"B","C"))</f>
        <v/>
      </c>
    </row>
    <row r="388">
      <c r="A388" s="2" t="n">
        <v>387</v>
      </c>
      <c r="B388" s="2" t="inlineStr">
        <is>
          <t>213835</t>
        </is>
      </c>
      <c r="C388" s="2" t="inlineStr">
        <is>
          <t>KIT TAPETE HIG GOOD PAD 60X60 - 300 UNIDADES</t>
        </is>
      </c>
      <c r="D388" s="4" t="n">
        <v>0</v>
      </c>
      <c r="E388" s="4" t="n">
        <v>0</v>
      </c>
      <c r="F388" s="4" t="n">
        <v>1</v>
      </c>
      <c r="G388" s="4">
        <f>SUM(D388:F388)</f>
        <v/>
      </c>
      <c r="H388" s="5" t="n">
        <v>0</v>
      </c>
      <c r="I388" s="5" t="n">
        <v>0</v>
      </c>
      <c r="J388" s="5" t="n">
        <v>349.9</v>
      </c>
      <c r="K388" s="5">
        <f>SUM(H388:J388)</f>
        <v/>
      </c>
      <c r="L388" s="6">
        <f>IF($K$622=0,0,K388/$K$622)</f>
        <v/>
      </c>
      <c r="M388" s="6">
        <f>M387+L388</f>
        <v/>
      </c>
      <c r="N388" s="9">
        <f>IF(M388&lt;=0.8,"A",IF(M388&lt;=0.95,"B","C"))</f>
        <v/>
      </c>
    </row>
    <row r="389">
      <c r="A389" s="2" t="n">
        <v>388</v>
      </c>
      <c r="B389" s="2" t="inlineStr">
        <is>
          <t>214334</t>
        </is>
      </c>
      <c r="C389" s="2" t="inlineStr">
        <is>
          <t>CALCA LEG. MAX LUPO - 71053 - LUPO - PRETO - XG</t>
        </is>
      </c>
      <c r="D389" s="4" t="n">
        <v>0</v>
      </c>
      <c r="E389" s="4" t="n">
        <v>2</v>
      </c>
      <c r="F389" s="4" t="n">
        <v>0</v>
      </c>
      <c r="G389" s="4">
        <f>SUM(D389:F389)</f>
        <v/>
      </c>
      <c r="H389" s="5" t="n">
        <v>0</v>
      </c>
      <c r="I389" s="5" t="n">
        <v>349.8</v>
      </c>
      <c r="J389" s="5" t="n">
        <v>0</v>
      </c>
      <c r="K389" s="5">
        <f>SUM(H389:J389)</f>
        <v/>
      </c>
      <c r="L389" s="6">
        <f>IF($K$622=0,0,K389/$K$622)</f>
        <v/>
      </c>
      <c r="M389" s="6">
        <f>M388+L389</f>
        <v/>
      </c>
      <c r="N389" s="9">
        <f>IF(M389&lt;=0.8,"A",IF(M389&lt;=0.95,"B","C"))</f>
        <v/>
      </c>
    </row>
    <row r="390">
      <c r="A390" s="2" t="n">
        <v>389</v>
      </c>
      <c r="B390" s="2" t="inlineStr">
        <is>
          <t>215214</t>
        </is>
      </c>
      <c r="C390" s="2" t="inlineStr">
        <is>
          <t>CALCA LEG. MAX LUPO - 71053 - LUPO - BLUSH - GG</t>
        </is>
      </c>
      <c r="D390" s="4" t="n">
        <v>0</v>
      </c>
      <c r="E390" s="4" t="n">
        <v>0</v>
      </c>
      <c r="F390" s="4" t="n">
        <v>2</v>
      </c>
      <c r="G390" s="4">
        <f>SUM(D390:F390)</f>
        <v/>
      </c>
      <c r="H390" s="5" t="n">
        <v>0</v>
      </c>
      <c r="I390" s="5" t="n">
        <v>0</v>
      </c>
      <c r="J390" s="5" t="n">
        <v>349.8</v>
      </c>
      <c r="K390" s="5">
        <f>SUM(H390:J390)</f>
        <v/>
      </c>
      <c r="L390" s="6">
        <f>IF($K$622=0,0,K390/$K$622)</f>
        <v/>
      </c>
      <c r="M390" s="6">
        <f>M389+L390</f>
        <v/>
      </c>
      <c r="N390" s="9">
        <f>IF(M390&lt;=0.8,"A",IF(M390&lt;=0.95,"B","C"))</f>
        <v/>
      </c>
    </row>
    <row r="391">
      <c r="A391" s="2" t="n">
        <v>390</v>
      </c>
      <c r="B391" s="2" t="inlineStr">
        <is>
          <t>214329</t>
        </is>
      </c>
      <c r="C391" s="2" t="inlineStr">
        <is>
          <t>CALCA LEG. MAX LUPO - 71053 - LUPO - ANIL - XG</t>
        </is>
      </c>
      <c r="D391" s="4" t="n">
        <v>0</v>
      </c>
      <c r="E391" s="4" t="n">
        <v>2</v>
      </c>
      <c r="F391" s="4" t="n">
        <v>0</v>
      </c>
      <c r="G391" s="4">
        <f>SUM(D391:F391)</f>
        <v/>
      </c>
      <c r="H391" s="5" t="n">
        <v>0</v>
      </c>
      <c r="I391" s="5" t="n">
        <v>339.8</v>
      </c>
      <c r="J391" s="5" t="n">
        <v>0</v>
      </c>
      <c r="K391" s="5">
        <f>SUM(H391:J391)</f>
        <v/>
      </c>
      <c r="L391" s="6">
        <f>IF($K$622=0,0,K391/$K$622)</f>
        <v/>
      </c>
      <c r="M391" s="6">
        <f>M390+L391</f>
        <v/>
      </c>
      <c r="N391" s="9">
        <f>IF(M391&lt;=0.8,"A",IF(M391&lt;=0.95,"B","C"))</f>
        <v/>
      </c>
    </row>
    <row r="392">
      <c r="A392" s="2" t="n">
        <v>391</v>
      </c>
      <c r="B392" s="2" t="inlineStr">
        <is>
          <t>214841</t>
        </is>
      </c>
      <c r="C392" s="2" t="inlineStr">
        <is>
          <t>KIT POTE DE VIDRO C/ TAMPA DE BAMBU - 2000ML - 1 UNIDADE</t>
        </is>
      </c>
      <c r="D392" s="4" t="n">
        <v>0</v>
      </c>
      <c r="E392" s="4" t="n">
        <v>1</v>
      </c>
      <c r="F392" s="4" t="n">
        <v>7</v>
      </c>
      <c r="G392" s="4">
        <f>SUM(D392:F392)</f>
        <v/>
      </c>
      <c r="H392" s="5" t="n">
        <v>0</v>
      </c>
      <c r="I392" s="5" t="n">
        <v>39.9</v>
      </c>
      <c r="J392" s="5" t="n">
        <v>298.3</v>
      </c>
      <c r="K392" s="5">
        <f>SUM(H392:J392)</f>
        <v/>
      </c>
      <c r="L392" s="6">
        <f>IF($K$622=0,0,K392/$K$622)</f>
        <v/>
      </c>
      <c r="M392" s="6">
        <f>M391+L392</f>
        <v/>
      </c>
      <c r="N392" s="9">
        <f>IF(M392&lt;=0.8,"A",IF(M392&lt;=0.95,"B","C"))</f>
        <v/>
      </c>
    </row>
    <row r="393">
      <c r="A393" s="2" t="n">
        <v>392</v>
      </c>
      <c r="B393" s="2" t="inlineStr">
        <is>
          <t>214956</t>
        </is>
      </c>
      <c r="C393" s="2" t="inlineStr">
        <is>
          <t>KIT POMADA ANTIMICROBIANO FURANIL VETNIL - 500G - 2 UNIDADES</t>
        </is>
      </c>
      <c r="D393" s="4" t="n">
        <v>0</v>
      </c>
      <c r="E393" s="4" t="n">
        <v>0</v>
      </c>
      <c r="F393" s="4" t="n">
        <v>1</v>
      </c>
      <c r="G393" s="4">
        <f>SUM(D393:F393)</f>
        <v/>
      </c>
      <c r="H393" s="5" t="n">
        <v>0</v>
      </c>
      <c r="I393" s="5" t="n">
        <v>0</v>
      </c>
      <c r="J393" s="5" t="n">
        <v>329.9</v>
      </c>
      <c r="K393" s="5">
        <f>SUM(H393:J393)</f>
        <v/>
      </c>
      <c r="L393" s="6">
        <f>IF($K$622=0,0,K393/$K$622)</f>
        <v/>
      </c>
      <c r="M393" s="6">
        <f>M392+L393</f>
        <v/>
      </c>
      <c r="N393" s="9">
        <f>IF(M393&lt;=0.8,"A",IF(M393&lt;=0.95,"B","C"))</f>
        <v/>
      </c>
    </row>
    <row r="394">
      <c r="A394" s="2" t="n">
        <v>393</v>
      </c>
      <c r="B394" s="2" t="inlineStr">
        <is>
          <t>214353</t>
        </is>
      </c>
      <c r="C394" s="2" t="inlineStr">
        <is>
          <t>KIT 10 CUECAS BOXER ALGODÃO - 00523-952 - LUPO - PRETO - GG - 50 A 52</t>
        </is>
      </c>
      <c r="D394" s="4" t="n">
        <v>0</v>
      </c>
      <c r="E394" s="4" t="n">
        <v>2</v>
      </c>
      <c r="F394" s="4" t="n">
        <v>0</v>
      </c>
      <c r="G394" s="4">
        <f>SUM(D394:F394)</f>
        <v/>
      </c>
      <c r="H394" s="5" t="n">
        <v>0</v>
      </c>
      <c r="I394" s="5" t="n">
        <v>329.8</v>
      </c>
      <c r="J394" s="5" t="n">
        <v>0</v>
      </c>
      <c r="K394" s="5">
        <f>SUM(H394:J394)</f>
        <v/>
      </c>
      <c r="L394" s="6">
        <f>IF($K$622=0,0,K394/$K$622)</f>
        <v/>
      </c>
      <c r="M394" s="6">
        <f>M393+L394</f>
        <v/>
      </c>
      <c r="N394" s="9">
        <f>IF(M394&lt;=0.8,"A",IF(M394&lt;=0.95,"B","C"))</f>
        <v/>
      </c>
    </row>
    <row r="395">
      <c r="A395" s="2" t="n">
        <v>394</v>
      </c>
      <c r="B395" s="2" t="inlineStr">
        <is>
          <t>216021</t>
        </is>
      </c>
      <c r="C395" s="2" t="inlineStr">
        <is>
          <t>KIT POTE DE VIDRO MARMITA - 1040ML - SORTIDO - 3 POTES</t>
        </is>
      </c>
      <c r="D395" s="4" t="n">
        <v>0</v>
      </c>
      <c r="E395" s="4" t="n">
        <v>4</v>
      </c>
      <c r="F395" s="4" t="n">
        <v>0</v>
      </c>
      <c r="G395" s="4">
        <f>SUM(D395:F395)</f>
        <v/>
      </c>
      <c r="H395" s="5" t="n">
        <v>0</v>
      </c>
      <c r="I395" s="5" t="n">
        <v>329.7</v>
      </c>
      <c r="J395" s="5" t="n">
        <v>0</v>
      </c>
      <c r="K395" s="5">
        <f>SUM(H395:J395)</f>
        <v/>
      </c>
      <c r="L395" s="6">
        <f>IF($K$622=0,0,K395/$K$622)</f>
        <v/>
      </c>
      <c r="M395" s="6">
        <f>M394+L395</f>
        <v/>
      </c>
      <c r="N395" s="9">
        <f>IF(M395&lt;=0.8,"A",IF(M395&lt;=0.95,"B","C"))</f>
        <v/>
      </c>
    </row>
    <row r="396">
      <c r="A396" s="2" t="n">
        <v>395</v>
      </c>
      <c r="B396" s="2" t="inlineStr">
        <is>
          <t>837_SORTIDO</t>
        </is>
      </c>
      <c r="C396" s="2" t="inlineStr">
        <is>
          <t>Tapete de Atividades Musical com Piano Interativo Ginásio com Som e Luzes Cores Rosa e Verde - Sortido</t>
        </is>
      </c>
      <c r="D396" s="4" t="n">
        <v>0</v>
      </c>
      <c r="E396" s="4" t="n">
        <v>0</v>
      </c>
      <c r="F396" s="4" t="n">
        <v>5</v>
      </c>
      <c r="G396" s="4">
        <f>SUM(D396:F396)</f>
        <v/>
      </c>
      <c r="H396" s="5" t="n">
        <v>0</v>
      </c>
      <c r="I396" s="5" t="n">
        <v>0</v>
      </c>
      <c r="J396" s="5" t="n">
        <v>324.5</v>
      </c>
      <c r="K396" s="5">
        <f>SUM(H396:J396)</f>
        <v/>
      </c>
      <c r="L396" s="6">
        <f>IF($K$622=0,0,K396/$K$622)</f>
        <v/>
      </c>
      <c r="M396" s="6">
        <f>M395+L396</f>
        <v/>
      </c>
      <c r="N396" s="9">
        <f>IF(M396&lt;=0.8,"A",IF(M396&lt;=0.95,"B","C"))</f>
        <v/>
      </c>
    </row>
    <row r="397">
      <c r="A397" s="2" t="n">
        <v>396</v>
      </c>
      <c r="B397" s="2" t="inlineStr">
        <is>
          <t>215188</t>
        </is>
      </c>
      <c r="C397" s="2" t="inlineStr">
        <is>
          <t>SHORT ATTACK - 71144-001 - LUPO  - G - FÚCSIA</t>
        </is>
      </c>
      <c r="D397" s="4" t="n">
        <v>0</v>
      </c>
      <c r="E397" s="4" t="n">
        <v>2</v>
      </c>
      <c r="F397" s="4" t="n">
        <v>2</v>
      </c>
      <c r="G397" s="4">
        <f>SUM(D397:F397)</f>
        <v/>
      </c>
      <c r="H397" s="5" t="n">
        <v>0</v>
      </c>
      <c r="I397" s="5" t="n">
        <v>159.8</v>
      </c>
      <c r="J397" s="5" t="n">
        <v>159.8</v>
      </c>
      <c r="K397" s="5">
        <f>SUM(H397:J397)</f>
        <v/>
      </c>
      <c r="L397" s="6">
        <f>IF($K$622=0,0,K397/$K$622)</f>
        <v/>
      </c>
      <c r="M397" s="6">
        <f>M396+L397</f>
        <v/>
      </c>
      <c r="N397" s="9">
        <f>IF(M397&lt;=0.8,"A",IF(M397&lt;=0.95,"B","C"))</f>
        <v/>
      </c>
    </row>
    <row r="398">
      <c r="A398" s="2" t="n">
        <v>397</v>
      </c>
      <c r="B398" s="2" t="inlineStr">
        <is>
          <t>213966</t>
        </is>
      </c>
      <c r="C398" s="2" t="inlineStr">
        <is>
          <t>KIT POTE DE VIDRO MARMITA - 640ML - SORTIDO - 3 POTES</t>
        </is>
      </c>
      <c r="D398" s="4" t="n">
        <v>0</v>
      </c>
      <c r="E398" s="4" t="n">
        <v>4</v>
      </c>
      <c r="F398" s="4" t="n">
        <v>0</v>
      </c>
      <c r="G398" s="4">
        <f>SUM(D398:F398)</f>
        <v/>
      </c>
      <c r="H398" s="5" t="n">
        <v>0</v>
      </c>
      <c r="I398" s="5" t="n">
        <v>318</v>
      </c>
      <c r="J398" s="5" t="n">
        <v>0</v>
      </c>
      <c r="K398" s="5">
        <f>SUM(H398:J398)</f>
        <v/>
      </c>
      <c r="L398" s="6">
        <f>IF($K$622=0,0,K398/$K$622)</f>
        <v/>
      </c>
      <c r="M398" s="6">
        <f>M397+L398</f>
        <v/>
      </c>
      <c r="N398" s="9">
        <f>IF(M398&lt;=0.8,"A",IF(M398&lt;=0.95,"B","C"))</f>
        <v/>
      </c>
    </row>
    <row r="399">
      <c r="A399" s="2" t="n">
        <v>398</v>
      </c>
      <c r="B399" s="2" t="inlineStr">
        <is>
          <t>214336</t>
        </is>
      </c>
      <c r="C399" s="2" t="inlineStr">
        <is>
          <t>CALCA LEG. MAX LUPO - 71053 - LUPO - GOIABA - XG</t>
        </is>
      </c>
      <c r="D399" s="4" t="n">
        <v>0</v>
      </c>
      <c r="E399" s="4" t="n">
        <v>1</v>
      </c>
      <c r="F399" s="4" t="n">
        <v>1</v>
      </c>
      <c r="G399" s="4">
        <f>SUM(D399:F399)</f>
        <v/>
      </c>
      <c r="H399" s="5" t="n">
        <v>0</v>
      </c>
      <c r="I399" s="5" t="n">
        <v>169.9</v>
      </c>
      <c r="J399" s="5" t="n">
        <v>146.97</v>
      </c>
      <c r="K399" s="5">
        <f>SUM(H399:J399)</f>
        <v/>
      </c>
      <c r="L399" s="6">
        <f>IF($K$622=0,0,K399/$K$622)</f>
        <v/>
      </c>
      <c r="M399" s="6">
        <f>M398+L399</f>
        <v/>
      </c>
      <c r="N399" s="9">
        <f>IF(M399&lt;=0.8,"A",IF(M399&lt;=0.95,"B","C"))</f>
        <v/>
      </c>
    </row>
    <row r="400">
      <c r="A400" s="2" t="n">
        <v>399</v>
      </c>
      <c r="B400" s="2" t="inlineStr">
        <is>
          <t>215215</t>
        </is>
      </c>
      <c r="C400" s="2" t="inlineStr">
        <is>
          <t>CALCA LEG. MAX LUPO - 71053 - LUPO - BLUSH - XG</t>
        </is>
      </c>
      <c r="D400" s="4" t="n">
        <v>0</v>
      </c>
      <c r="E400" s="4" t="n">
        <v>1</v>
      </c>
      <c r="F400" s="4" t="n">
        <v>1</v>
      </c>
      <c r="G400" s="4">
        <f>SUM(D400:F400)</f>
        <v/>
      </c>
      <c r="H400" s="5" t="n">
        <v>0</v>
      </c>
      <c r="I400" s="5" t="n">
        <v>169.9</v>
      </c>
      <c r="J400" s="5" t="n">
        <v>146.97</v>
      </c>
      <c r="K400" s="5">
        <f>SUM(H400:J400)</f>
        <v/>
      </c>
      <c r="L400" s="6">
        <f>IF($K$622=0,0,K400/$K$622)</f>
        <v/>
      </c>
      <c r="M400" s="6">
        <f>M399+L400</f>
        <v/>
      </c>
      <c r="N400" s="9">
        <f>IF(M400&lt;=0.8,"A",IF(M400&lt;=0.95,"B","C"))</f>
        <v/>
      </c>
    </row>
    <row r="401">
      <c r="A401" s="2" t="n">
        <v>400</v>
      </c>
      <c r="B401" s="2" t="inlineStr">
        <is>
          <t>ECTOPAR-5ML-LAVIZOO</t>
        </is>
      </c>
      <c r="C401" s="2" t="inlineStr">
        <is>
          <t>Ectopar Ponta de Orelha Elmer Lavizoo para Cães - 5 mL</t>
        </is>
      </c>
      <c r="D401" s="4" t="n">
        <v>0</v>
      </c>
      <c r="E401" s="4" t="n">
        <v>9</v>
      </c>
      <c r="F401" s="4" t="n">
        <v>0</v>
      </c>
      <c r="G401" s="4">
        <f>SUM(D401:F401)</f>
        <v/>
      </c>
      <c r="H401" s="5" t="n">
        <v>0</v>
      </c>
      <c r="I401" s="5" t="n">
        <v>314.1</v>
      </c>
      <c r="J401" s="5" t="n">
        <v>0</v>
      </c>
      <c r="K401" s="5">
        <f>SUM(H401:J401)</f>
        <v/>
      </c>
      <c r="L401" s="6">
        <f>IF($K$622=0,0,K401/$K$622)</f>
        <v/>
      </c>
      <c r="M401" s="6">
        <f>M400+L401</f>
        <v/>
      </c>
      <c r="N401" s="9">
        <f>IF(M401&lt;=0.8,"A",IF(M401&lt;=0.95,"B","C"))</f>
        <v/>
      </c>
    </row>
    <row r="402">
      <c r="A402" s="2" t="n">
        <v>401</v>
      </c>
      <c r="B402" s="2" t="inlineStr">
        <is>
          <t>KIT6-CUECAS-S/COSTURA-PRETO/AZUL-P</t>
        </is>
      </c>
      <c r="C402" s="2" t="inlineStr">
        <is>
          <t>Kit Com 6 Cuecas Boxer Box Microfibra Sem Costura Original Lupo - PRETO/AZUL ESCURO,P</t>
        </is>
      </c>
      <c r="D402" s="4" t="n">
        <v>0</v>
      </c>
      <c r="E402" s="4" t="n">
        <v>1</v>
      </c>
      <c r="F402" s="4" t="n">
        <v>0</v>
      </c>
      <c r="G402" s="4">
        <f>SUM(D402:F402)</f>
        <v/>
      </c>
      <c r="H402" s="5" t="n">
        <v>0</v>
      </c>
      <c r="I402" s="5" t="n">
        <v>299.9</v>
      </c>
      <c r="J402" s="5" t="n">
        <v>0</v>
      </c>
      <c r="K402" s="5">
        <f>SUM(H402:J402)</f>
        <v/>
      </c>
      <c r="L402" s="6">
        <f>IF($K$622=0,0,K402/$K$622)</f>
        <v/>
      </c>
      <c r="M402" s="6">
        <f>M401+L402</f>
        <v/>
      </c>
      <c r="N402" s="9">
        <f>IF(M402&lt;=0.8,"A",IF(M402&lt;=0.95,"B","C"))</f>
        <v/>
      </c>
    </row>
    <row r="403">
      <c r="A403" s="2" t="n">
        <v>402</v>
      </c>
      <c r="B403" s="2" t="inlineStr">
        <is>
          <t>214121</t>
        </is>
      </c>
      <c r="C403" s="2" t="inlineStr">
        <is>
          <t>ÁRVORE DE NATAL - 1.5m - 650 GALHOS</t>
        </is>
      </c>
      <c r="D403" s="4" t="n">
        <v>0</v>
      </c>
      <c r="E403" s="4" t="n">
        <v>0</v>
      </c>
      <c r="F403" s="4" t="n">
        <v>1</v>
      </c>
      <c r="G403" s="4">
        <f>SUM(D403:F403)</f>
        <v/>
      </c>
      <c r="H403" s="5" t="n">
        <v>0</v>
      </c>
      <c r="I403" s="5" t="n">
        <v>0</v>
      </c>
      <c r="J403" s="5" t="n">
        <v>299.9</v>
      </c>
      <c r="K403" s="5">
        <f>SUM(H403:J403)</f>
        <v/>
      </c>
      <c r="L403" s="6">
        <f>IF($K$622=0,0,K403/$K$622)</f>
        <v/>
      </c>
      <c r="M403" s="6">
        <f>M402+L403</f>
        <v/>
      </c>
      <c r="N403" s="9">
        <f>IF(M403&lt;=0.8,"A",IF(M403&lt;=0.95,"B","C"))</f>
        <v/>
      </c>
    </row>
    <row r="404">
      <c r="A404" s="2" t="n">
        <v>403</v>
      </c>
      <c r="B404" s="2" t="inlineStr">
        <is>
          <t>214579</t>
        </is>
      </c>
      <c r="C404" s="2" t="inlineStr">
        <is>
          <t>KIT CUECAS BOXER MICROFIBRA - 000436-088 - LUPO - GG - 50 A 52 - PRETO/BRANCO - 10 UNIDADES (5 PACOTES)</t>
        </is>
      </c>
      <c r="D404" s="4" t="n">
        <v>0</v>
      </c>
      <c r="E404" s="4" t="n">
        <v>0</v>
      </c>
      <c r="F404" s="4" t="n">
        <v>1</v>
      </c>
      <c r="G404" s="4">
        <f>SUM(D404:F404)</f>
        <v/>
      </c>
      <c r="H404" s="5" t="n">
        <v>0</v>
      </c>
      <c r="I404" s="5" t="n">
        <v>0</v>
      </c>
      <c r="J404" s="5" t="n">
        <v>299.9</v>
      </c>
      <c r="K404" s="5">
        <f>SUM(H404:J404)</f>
        <v/>
      </c>
      <c r="L404" s="6">
        <f>IF($K$622=0,0,K404/$K$622)</f>
        <v/>
      </c>
      <c r="M404" s="6">
        <f>M403+L404</f>
        <v/>
      </c>
      <c r="N404" s="9">
        <f>IF(M404&lt;=0.8,"A",IF(M404&lt;=0.95,"B","C"))</f>
        <v/>
      </c>
    </row>
    <row r="405">
      <c r="A405" s="2" t="n">
        <v>404</v>
      </c>
      <c r="B405" s="2" t="inlineStr">
        <is>
          <t>KIT6-CUECAS-S/COSTURA-PRETO/AZUL-NAUTICO-M</t>
        </is>
      </c>
      <c r="C405" s="2" t="inlineStr">
        <is>
          <t>Kit Com 6 Cuecas Boxer Box Microfibra Sem Costura Original Lupo - PRETO/AZUL NÁUTICO,M</t>
        </is>
      </c>
      <c r="D405" s="4" t="n">
        <v>0</v>
      </c>
      <c r="E405" s="4" t="n">
        <v>0</v>
      </c>
      <c r="F405" s="4" t="n">
        <v>1</v>
      </c>
      <c r="G405" s="4">
        <f>SUM(D405:F405)</f>
        <v/>
      </c>
      <c r="H405" s="5" t="n">
        <v>0</v>
      </c>
      <c r="I405" s="5" t="n">
        <v>0</v>
      </c>
      <c r="J405" s="5" t="n">
        <v>299.9</v>
      </c>
      <c r="K405" s="5">
        <f>SUM(H405:J405)</f>
        <v/>
      </c>
      <c r="L405" s="6">
        <f>IF($K$622=0,0,K405/$K$622)</f>
        <v/>
      </c>
      <c r="M405" s="6">
        <f>M404+L405</f>
        <v/>
      </c>
      <c r="N405" s="9">
        <f>IF(M405&lt;=0.8,"A",IF(M405&lt;=0.95,"B","C"))</f>
        <v/>
      </c>
    </row>
    <row r="406">
      <c r="A406" s="2" t="n">
        <v>405</v>
      </c>
      <c r="B406" s="2" t="inlineStr">
        <is>
          <t>213833</t>
        </is>
      </c>
      <c r="C406" s="2" t="inlineStr">
        <is>
          <t>KIT TAPETE HIG GOOD PAD 60X60 - 150 UNIDADES</t>
        </is>
      </c>
      <c r="D406" s="4" t="n">
        <v>0</v>
      </c>
      <c r="E406" s="4" t="n">
        <v>0</v>
      </c>
      <c r="F406" s="4" t="n">
        <v>2</v>
      </c>
      <c r="G406" s="4">
        <f>SUM(D406:F406)</f>
        <v/>
      </c>
      <c r="H406" s="5" t="n">
        <v>0</v>
      </c>
      <c r="I406" s="5" t="n">
        <v>0</v>
      </c>
      <c r="J406" s="5" t="n">
        <v>299.8</v>
      </c>
      <c r="K406" s="5">
        <f>SUM(H406:J406)</f>
        <v/>
      </c>
      <c r="L406" s="6">
        <f>IF($K$622=0,0,K406/$K$622)</f>
        <v/>
      </c>
      <c r="M406" s="6">
        <f>M405+L406</f>
        <v/>
      </c>
      <c r="N406" s="9">
        <f>IF(M406&lt;=0.8,"A",IF(M406&lt;=0.95,"B","C"))</f>
        <v/>
      </c>
    </row>
    <row r="407">
      <c r="A407" s="2" t="n">
        <v>406</v>
      </c>
      <c r="B407" s="2" t="inlineStr">
        <is>
          <t>LAVIZ-M.O-PET-30G</t>
        </is>
      </c>
      <c r="C407" s="2" t="inlineStr">
        <is>
          <t>Laviz MO Pet Suplemento para Cães e Gatos Debilitados 30g</t>
        </is>
      </c>
      <c r="D407" s="4" t="n">
        <v>0</v>
      </c>
      <c r="E407" s="4" t="n">
        <v>6</v>
      </c>
      <c r="F407" s="4" t="n">
        <v>0</v>
      </c>
      <c r="G407" s="4">
        <f>SUM(D407:F407)</f>
        <v/>
      </c>
      <c r="H407" s="5" t="n">
        <v>0</v>
      </c>
      <c r="I407" s="5" t="n">
        <v>299.4</v>
      </c>
      <c r="J407" s="5" t="n">
        <v>0</v>
      </c>
      <c r="K407" s="5">
        <f>SUM(H407:J407)</f>
        <v/>
      </c>
      <c r="L407" s="6">
        <f>IF($K$622=0,0,K407/$K$622)</f>
        <v/>
      </c>
      <c r="M407" s="6">
        <f>M406+L407</f>
        <v/>
      </c>
      <c r="N407" s="9">
        <f>IF(M407&lt;=0.8,"A",IF(M407&lt;=0.95,"B","C"))</f>
        <v/>
      </c>
    </row>
    <row r="408">
      <c r="A408" s="2" t="n">
        <v>407</v>
      </c>
      <c r="B408" s="2" t="inlineStr">
        <is>
          <t>214787</t>
        </is>
      </c>
      <c r="C408" s="2" t="inlineStr">
        <is>
          <t>BERMUDA MAX LUPO - 71311 - LUPO - P - PRETO</t>
        </is>
      </c>
      <c r="D408" s="4" t="n">
        <v>0</v>
      </c>
      <c r="E408" s="4" t="n">
        <v>3</v>
      </c>
      <c r="F408" s="4" t="n">
        <v>1</v>
      </c>
      <c r="G408" s="4">
        <f>SUM(D408:F408)</f>
        <v/>
      </c>
      <c r="H408" s="5" t="n">
        <v>0</v>
      </c>
      <c r="I408" s="5" t="n">
        <v>223.2</v>
      </c>
      <c r="J408" s="5" t="n">
        <v>74.90000000000001</v>
      </c>
      <c r="K408" s="5">
        <f>SUM(H408:J408)</f>
        <v/>
      </c>
      <c r="L408" s="6">
        <f>IF($K$622=0,0,K408/$K$622)</f>
        <v/>
      </c>
      <c r="M408" s="6">
        <f>M407+L408</f>
        <v/>
      </c>
      <c r="N408" s="9">
        <f>IF(M408&lt;=0.8,"A",IF(M408&lt;=0.95,"B","C"))</f>
        <v/>
      </c>
    </row>
    <row r="409">
      <c r="A409" s="2" t="n">
        <v>408</v>
      </c>
      <c r="B409" s="2" t="inlineStr">
        <is>
          <t>213597</t>
        </is>
      </c>
      <c r="C409" s="2" t="inlineStr">
        <is>
          <t>KIT 2 BRINQUEDO PARA GATOS COM CATNIP - PATINHA - VERDE</t>
        </is>
      </c>
      <c r="D409" s="4" t="n">
        <v>0</v>
      </c>
      <c r="E409" s="4" t="n">
        <v>10</v>
      </c>
      <c r="F409" s="4" t="n">
        <v>10</v>
      </c>
      <c r="G409" s="4">
        <f>SUM(D409:F409)</f>
        <v/>
      </c>
      <c r="H409" s="5" t="n">
        <v>0</v>
      </c>
      <c r="I409" s="5" t="n">
        <v>149</v>
      </c>
      <c r="J409" s="5" t="n">
        <v>149</v>
      </c>
      <c r="K409" s="5">
        <f>SUM(H409:J409)</f>
        <v/>
      </c>
      <c r="L409" s="6">
        <f>IF($K$622=0,0,K409/$K$622)</f>
        <v/>
      </c>
      <c r="M409" s="6">
        <f>M408+L409</f>
        <v/>
      </c>
      <c r="N409" s="9">
        <f>IF(M409&lt;=0.8,"A",IF(M409&lt;=0.95,"B","C"))</f>
        <v/>
      </c>
    </row>
    <row r="410">
      <c r="A410" s="2" t="n">
        <v>409</v>
      </c>
      <c r="B410" s="2" t="inlineStr">
        <is>
          <t>212992</t>
        </is>
      </c>
      <c r="C410" s="2" t="inlineStr">
        <is>
          <t>BOLINHA COM GUIZO BRINQUEDO PARA GATO COLORIDO</t>
        </is>
      </c>
      <c r="D410" s="4" t="n">
        <v>1</v>
      </c>
      <c r="E410" s="4" t="n">
        <v>23</v>
      </c>
      <c r="F410" s="4" t="n">
        <v>7</v>
      </c>
      <c r="G410" s="4">
        <f>SUM(D410:F410)</f>
        <v/>
      </c>
      <c r="H410" s="5" t="n">
        <v>0</v>
      </c>
      <c r="I410" s="5" t="n">
        <v>227.7</v>
      </c>
      <c r="J410" s="5" t="n">
        <v>69.3</v>
      </c>
      <c r="K410" s="5">
        <f>SUM(H410:J410)</f>
        <v/>
      </c>
      <c r="L410" s="6">
        <f>IF($K$622=0,0,K410/$K$622)</f>
        <v/>
      </c>
      <c r="M410" s="6">
        <f>M409+L410</f>
        <v/>
      </c>
      <c r="N410" s="9">
        <f>IF(M410&lt;=0.8,"A",IF(M410&lt;=0.95,"B","C"))</f>
        <v/>
      </c>
    </row>
    <row r="411">
      <c r="A411" s="2" t="n">
        <v>410</v>
      </c>
      <c r="B411" s="2" t="inlineStr">
        <is>
          <t>214791</t>
        </is>
      </c>
      <c r="C411" s="2" t="inlineStr">
        <is>
          <t>BERMUDA MAX LUPO - 71311 - LUPO - XG - PRETO</t>
        </is>
      </c>
      <c r="D411" s="4" t="n">
        <v>0</v>
      </c>
      <c r="E411" s="4" t="n">
        <v>4</v>
      </c>
      <c r="F411" s="4" t="n">
        <v>0</v>
      </c>
      <c r="G411" s="4">
        <f>SUM(D411:F411)</f>
        <v/>
      </c>
      <c r="H411" s="5" t="n">
        <v>0</v>
      </c>
      <c r="I411" s="5" t="n">
        <v>296.6</v>
      </c>
      <c r="J411" s="5" t="n">
        <v>0</v>
      </c>
      <c r="K411" s="5">
        <f>SUM(H411:J411)</f>
        <v/>
      </c>
      <c r="L411" s="6">
        <f>IF($K$622=0,0,K411/$K$622)</f>
        <v/>
      </c>
      <c r="M411" s="6">
        <f>M410+L411</f>
        <v/>
      </c>
      <c r="N411" s="9">
        <f>IF(M411&lt;=0.8,"A",IF(M411&lt;=0.95,"B","C"))</f>
        <v/>
      </c>
    </row>
    <row r="412">
      <c r="A412" s="2" t="n">
        <v>411</v>
      </c>
      <c r="B412" s="2" t="inlineStr">
        <is>
          <t>213829</t>
        </is>
      </c>
      <c r="C412" s="2" t="inlineStr">
        <is>
          <t>KIT TAPETE HIG GOOD PAD 60X60 - 30 UNIDADES</t>
        </is>
      </c>
      <c r="D412" s="4" t="n">
        <v>0</v>
      </c>
      <c r="E412" s="4" t="n">
        <v>1</v>
      </c>
      <c r="F412" s="4" t="n">
        <v>6</v>
      </c>
      <c r="G412" s="4">
        <f>SUM(D412:F412)</f>
        <v/>
      </c>
      <c r="H412" s="5" t="n">
        <v>0</v>
      </c>
      <c r="I412" s="5" t="n">
        <v>41.9</v>
      </c>
      <c r="J412" s="5" t="n">
        <v>251.34</v>
      </c>
      <c r="K412" s="5">
        <f>SUM(H412:J412)</f>
        <v/>
      </c>
      <c r="L412" s="6">
        <f>IF($K$622=0,0,K412/$K$622)</f>
        <v/>
      </c>
      <c r="M412" s="6">
        <f>M411+L412</f>
        <v/>
      </c>
      <c r="N412" s="9">
        <f>IF(M412&lt;=0.8,"A",IF(M412&lt;=0.95,"B","C"))</f>
        <v/>
      </c>
    </row>
    <row r="413">
      <c r="A413" s="2" t="n">
        <v>412</v>
      </c>
      <c r="B413" s="2" t="inlineStr">
        <is>
          <t>213139</t>
        </is>
      </c>
      <c r="C413" s="2" t="inlineStr">
        <is>
          <t>PROVERMIN ENVELOPE - FEMBENDAZOL - 20 G</t>
        </is>
      </c>
      <c r="D413" s="4" t="n">
        <v>0</v>
      </c>
      <c r="E413" s="4" t="n">
        <v>3</v>
      </c>
      <c r="F413" s="4" t="n">
        <v>33</v>
      </c>
      <c r="G413" s="4">
        <f>SUM(D413:F413)</f>
        <v/>
      </c>
      <c r="H413" s="5" t="n">
        <v>0</v>
      </c>
      <c r="I413" s="5" t="n">
        <v>23.97</v>
      </c>
      <c r="J413" s="5" t="n">
        <v>263.67</v>
      </c>
      <c r="K413" s="5">
        <f>SUM(H413:J413)</f>
        <v/>
      </c>
      <c r="L413" s="6">
        <f>IF($K$622=0,0,K413/$K$622)</f>
        <v/>
      </c>
      <c r="M413" s="6">
        <f>M412+L413</f>
        <v/>
      </c>
      <c r="N413" s="9">
        <f>IF(M413&lt;=0.8,"A",IF(M413&lt;=0.95,"B","C"))</f>
        <v/>
      </c>
    </row>
    <row r="414">
      <c r="A414" s="2" t="n">
        <v>413</v>
      </c>
      <c r="B414" s="2" t="inlineStr">
        <is>
          <t>213521</t>
        </is>
      </c>
      <c r="C414" s="2" t="inlineStr">
        <is>
          <t>KIT TIURAN AEROSSOL + SABONETE TIURAN + SOLUÇÃO 30ML - 1 KIT</t>
        </is>
      </c>
      <c r="D414" s="4" t="n">
        <v>0</v>
      </c>
      <c r="E414" s="4" t="n">
        <v>2</v>
      </c>
      <c r="F414" s="4" t="n">
        <v>2</v>
      </c>
      <c r="G414" s="4">
        <f>SUM(D414:F414)</f>
        <v/>
      </c>
      <c r="H414" s="5" t="n">
        <v>0</v>
      </c>
      <c r="I414" s="5" t="n">
        <v>141.8</v>
      </c>
      <c r="J414" s="5" t="n">
        <v>141.8</v>
      </c>
      <c r="K414" s="5">
        <f>SUM(H414:J414)</f>
        <v/>
      </c>
      <c r="L414" s="6">
        <f>IF($K$622=0,0,K414/$K$622)</f>
        <v/>
      </c>
      <c r="M414" s="6">
        <f>M413+L414</f>
        <v/>
      </c>
      <c r="N414" s="9">
        <f>IF(M414&lt;=0.8,"A",IF(M414&lt;=0.95,"B","C"))</f>
        <v/>
      </c>
    </row>
    <row r="415">
      <c r="A415" s="2" t="n">
        <v>414</v>
      </c>
      <c r="B415" s="2" t="inlineStr">
        <is>
          <t>214739</t>
        </is>
      </c>
      <c r="C415" s="2" t="inlineStr">
        <is>
          <t>CANELITO RUNNING COMPRESSAO - 15000 - LUPO - P</t>
        </is>
      </c>
      <c r="D415" s="4" t="n">
        <v>0</v>
      </c>
      <c r="E415" s="4" t="n">
        <v>2</v>
      </c>
      <c r="F415" s="4" t="n">
        <v>2</v>
      </c>
      <c r="G415" s="4">
        <f>SUM(D415:F415)</f>
        <v/>
      </c>
      <c r="H415" s="5" t="n">
        <v>0</v>
      </c>
      <c r="I415" s="5" t="n">
        <v>139.8</v>
      </c>
      <c r="J415" s="5" t="n">
        <v>139.8</v>
      </c>
      <c r="K415" s="5">
        <f>SUM(H415:J415)</f>
        <v/>
      </c>
      <c r="L415" s="6">
        <f>IF($K$622=0,0,K415/$K$622)</f>
        <v/>
      </c>
      <c r="M415" s="6">
        <f>M414+L415</f>
        <v/>
      </c>
      <c r="N415" s="9">
        <f>IF(M415&lt;=0.8,"A",IF(M415&lt;=0.95,"B","C"))</f>
        <v/>
      </c>
    </row>
    <row r="416">
      <c r="A416" s="2" t="n">
        <v>415</v>
      </c>
      <c r="B416" s="2" t="inlineStr">
        <is>
          <t>213680</t>
        </is>
      </c>
      <c r="C416" s="2" t="inlineStr">
        <is>
          <t>KIT PROTETOR DE COLCHÃO  LENÇOL OLIVER HOME G DESCARTÁVEL - KIT 2 - 10 UNIDADES</t>
        </is>
      </c>
      <c r="D416" s="4" t="n">
        <v>0</v>
      </c>
      <c r="E416" s="4" t="n">
        <v>4</v>
      </c>
      <c r="F416" s="4" t="n">
        <v>1</v>
      </c>
      <c r="G416" s="4">
        <f>SUM(D416:F416)</f>
        <v/>
      </c>
      <c r="H416" s="5" t="n">
        <v>0</v>
      </c>
      <c r="I416" s="5" t="n">
        <v>196.59</v>
      </c>
      <c r="J416" s="5" t="n">
        <v>79.90000000000001</v>
      </c>
      <c r="K416" s="5">
        <f>SUM(H416:J416)</f>
        <v/>
      </c>
      <c r="L416" s="6">
        <f>IF($K$622=0,0,K416/$K$622)</f>
        <v/>
      </c>
      <c r="M416" s="6">
        <f>M415+L416</f>
        <v/>
      </c>
      <c r="N416" s="9">
        <f>IF(M416&lt;=0.8,"A",IF(M416&lt;=0.95,"B","C"))</f>
        <v/>
      </c>
    </row>
    <row r="417">
      <c r="A417" s="2" t="n">
        <v>416</v>
      </c>
      <c r="B417" s="2" t="inlineStr">
        <is>
          <t>_CHALEIRA-BRANCA-110V</t>
        </is>
      </c>
      <c r="C417" s="2" t="inlineStr">
        <is>
          <t>Chaleira Jarra Elétrica 1,5 Litros (110v) Com Desligamento Automático Moderna Luz Indicadora Branca Oliver Home</t>
        </is>
      </c>
      <c r="D417" s="4" t="n">
        <v>0</v>
      </c>
      <c r="E417" s="4" t="n">
        <v>0</v>
      </c>
      <c r="F417" s="4" t="n">
        <v>5</v>
      </c>
      <c r="G417" s="4">
        <f>SUM(D417:F417)</f>
        <v/>
      </c>
      <c r="H417" s="5" t="n">
        <v>0</v>
      </c>
      <c r="I417" s="5" t="n">
        <v>0</v>
      </c>
      <c r="J417" s="5" t="n">
        <v>274.5</v>
      </c>
      <c r="K417" s="5">
        <f>SUM(H417:J417)</f>
        <v/>
      </c>
      <c r="L417" s="6">
        <f>IF($K$622=0,0,K417/$K$622)</f>
        <v/>
      </c>
      <c r="M417" s="6">
        <f>M416+L417</f>
        <v/>
      </c>
      <c r="N417" s="9">
        <f>IF(M417&lt;=0.8,"A",IF(M417&lt;=0.95,"B","C"))</f>
        <v/>
      </c>
    </row>
    <row r="418">
      <c r="A418" s="2" t="n">
        <v>417</v>
      </c>
      <c r="B418" s="2" t="inlineStr">
        <is>
          <t>214816</t>
        </is>
      </c>
      <c r="C418" s="2" t="inlineStr">
        <is>
          <t>KIT POTE DE VIDRO C/ TAMPA DE BAMBU - 300ML - 9 UNIDADES</t>
        </is>
      </c>
      <c r="D418" s="4" t="n">
        <v>0</v>
      </c>
      <c r="E418" s="4" t="n">
        <v>0</v>
      </c>
      <c r="F418" s="4" t="n">
        <v>3</v>
      </c>
      <c r="G418" s="4">
        <f>SUM(D418:F418)</f>
        <v/>
      </c>
      <c r="H418" s="5" t="n">
        <v>0</v>
      </c>
      <c r="I418" s="5" t="n">
        <v>0</v>
      </c>
      <c r="J418" s="5" t="n">
        <v>260.69</v>
      </c>
      <c r="K418" s="5">
        <f>SUM(H418:J418)</f>
        <v/>
      </c>
      <c r="L418" s="6">
        <f>IF($K$622=0,0,K418/$K$622)</f>
        <v/>
      </c>
      <c r="M418" s="6">
        <f>M417+L418</f>
        <v/>
      </c>
      <c r="N418" s="9">
        <f>IF(M418&lt;=0.8,"A",IF(M418&lt;=0.95,"B","C"))</f>
        <v/>
      </c>
    </row>
    <row r="419">
      <c r="A419" s="2" t="n">
        <v>418</v>
      </c>
      <c r="B419" s="2" t="inlineStr">
        <is>
          <t>0302</t>
        </is>
      </c>
      <c r="C419" s="2" t="inlineStr">
        <is>
          <t>3 Alcance Anti Vespa Marimbondo Abelha Mangava 400ml Labgard</t>
        </is>
      </c>
      <c r="D419" s="4" t="n">
        <v>0</v>
      </c>
      <c r="E419" s="4" t="n">
        <v>2</v>
      </c>
      <c r="F419" s="4" t="n">
        <v>0</v>
      </c>
      <c r="G419" s="4">
        <f>SUM(D419:F419)</f>
        <v/>
      </c>
      <c r="H419" s="5" t="n">
        <v>0</v>
      </c>
      <c r="I419" s="5" t="n">
        <v>259.8</v>
      </c>
      <c r="J419" s="5" t="n">
        <v>0</v>
      </c>
      <c r="K419" s="5">
        <f>SUM(H419:J419)</f>
        <v/>
      </c>
      <c r="L419" s="6">
        <f>IF($K$622=0,0,K419/$K$622)</f>
        <v/>
      </c>
      <c r="M419" s="6">
        <f>M418+L419</f>
        <v/>
      </c>
      <c r="N419" s="9">
        <f>IF(M419&lt;=0.8,"A",IF(M419&lt;=0.95,"B","C"))</f>
        <v/>
      </c>
    </row>
    <row r="420">
      <c r="A420" s="2" t="n">
        <v>419</v>
      </c>
      <c r="B420" s="2" t="inlineStr">
        <is>
          <t>213449</t>
        </is>
      </c>
      <c r="C420" s="2" t="inlineStr">
        <is>
          <t>BALANÇA CORPORAL TRANSPARENTE 180KG</t>
        </is>
      </c>
      <c r="D420" s="4" t="n">
        <v>0</v>
      </c>
      <c r="E420" s="4" t="n">
        <v>1</v>
      </c>
      <c r="F420" s="4" t="n">
        <v>3</v>
      </c>
      <c r="G420" s="4">
        <f>SUM(D420:F420)</f>
        <v/>
      </c>
      <c r="H420" s="5" t="n">
        <v>0</v>
      </c>
      <c r="I420" s="5" t="n">
        <v>79.90000000000001</v>
      </c>
      <c r="J420" s="5" t="n">
        <v>179.7</v>
      </c>
      <c r="K420" s="5">
        <f>SUM(H420:J420)</f>
        <v/>
      </c>
      <c r="L420" s="6">
        <f>IF($K$622=0,0,K420/$K$622)</f>
        <v/>
      </c>
      <c r="M420" s="6">
        <f>M419+L420</f>
        <v/>
      </c>
      <c r="N420" s="9">
        <f>IF(M420&lt;=0.8,"A",IF(M420&lt;=0.95,"B","C"))</f>
        <v/>
      </c>
    </row>
    <row r="421">
      <c r="A421" s="2" t="n">
        <v>420</v>
      </c>
      <c r="B421" s="2" t="inlineStr">
        <is>
          <t>213648</t>
        </is>
      </c>
      <c r="C421" s="2" t="inlineStr">
        <is>
          <t>MEGA POTRUS GEL SUPLEMENTO 1KG LAVIZOO</t>
        </is>
      </c>
      <c r="D421" s="4" t="n">
        <v>0</v>
      </c>
      <c r="E421" s="4" t="n">
        <v>0</v>
      </c>
      <c r="F421" s="4" t="n">
        <v>1</v>
      </c>
      <c r="G421" s="4">
        <f>SUM(D421:F421)</f>
        <v/>
      </c>
      <c r="H421" s="5" t="n">
        <v>0</v>
      </c>
      <c r="I421" s="5" t="n">
        <v>0</v>
      </c>
      <c r="J421" s="5" t="n">
        <v>253.61</v>
      </c>
      <c r="K421" s="5">
        <f>SUM(H421:J421)</f>
        <v/>
      </c>
      <c r="L421" s="6">
        <f>IF($K$622=0,0,K421/$K$622)</f>
        <v/>
      </c>
      <c r="M421" s="6">
        <f>M420+L421</f>
        <v/>
      </c>
      <c r="N421" s="9">
        <f>IF(M421&lt;=0.8,"A",IF(M421&lt;=0.95,"B","C"))</f>
        <v/>
      </c>
    </row>
    <row r="422">
      <c r="A422" s="2" t="n">
        <v>421</v>
      </c>
      <c r="B422" s="2" t="inlineStr">
        <is>
          <t>212866</t>
        </is>
      </c>
      <c r="C422" s="2" t="inlineStr">
        <is>
          <t>FELIMAZOLE 2,5MG C/100 COMP DECHRA</t>
        </is>
      </c>
      <c r="D422" s="4" t="n">
        <v>0</v>
      </c>
      <c r="E422" s="4" t="n">
        <v>1</v>
      </c>
      <c r="F422" s="4" t="n">
        <v>0</v>
      </c>
      <c r="G422" s="4">
        <f>SUM(D422:F422)</f>
        <v/>
      </c>
      <c r="H422" s="5" t="n">
        <v>0</v>
      </c>
      <c r="I422" s="5" t="n">
        <v>250.9</v>
      </c>
      <c r="J422" s="5" t="n">
        <v>0</v>
      </c>
      <c r="K422" s="5">
        <f>SUM(H422:J422)</f>
        <v/>
      </c>
      <c r="L422" s="6">
        <f>IF($K$622=0,0,K422/$K$622)</f>
        <v/>
      </c>
      <c r="M422" s="6">
        <f>M421+L422</f>
        <v/>
      </c>
      <c r="N422" s="9">
        <f>IF(M422&lt;=0.8,"A",IF(M422&lt;=0.95,"B","C"))</f>
        <v/>
      </c>
    </row>
    <row r="423">
      <c r="A423" s="2" t="n">
        <v>422</v>
      </c>
      <c r="B423" s="2" t="inlineStr">
        <is>
          <t>214740</t>
        </is>
      </c>
      <c r="C423" s="2" t="inlineStr">
        <is>
          <t>CANELITO RUNNING COMPRESSAO - 15000 - LUPO - M</t>
        </is>
      </c>
      <c r="D423" s="4" t="n">
        <v>0</v>
      </c>
      <c r="E423" s="4" t="n">
        <v>5</v>
      </c>
      <c r="F423" s="4" t="n">
        <v>0</v>
      </c>
      <c r="G423" s="4">
        <f>SUM(D423:F423)</f>
        <v/>
      </c>
      <c r="H423" s="5" t="n">
        <v>0</v>
      </c>
      <c r="I423" s="5" t="n">
        <v>249.5</v>
      </c>
      <c r="J423" s="5" t="n">
        <v>0</v>
      </c>
      <c r="K423" s="5">
        <f>SUM(H423:J423)</f>
        <v/>
      </c>
      <c r="L423" s="6">
        <f>IF($K$622=0,0,K423/$K$622)</f>
        <v/>
      </c>
      <c r="M423" s="6">
        <f>M422+L423</f>
        <v/>
      </c>
      <c r="N423" s="9">
        <f>IF(M423&lt;=0.8,"A",IF(M423&lt;=0.95,"B","C"))</f>
        <v/>
      </c>
    </row>
    <row r="424">
      <c r="A424" s="2" t="n">
        <v>423</v>
      </c>
      <c r="B424" s="2" t="inlineStr">
        <is>
          <t>214597</t>
        </is>
      </c>
      <c r="C424" s="2" t="inlineStr">
        <is>
          <t>TOP BASICO SEM COSTURA - 41300  - LUPO - G - 44 A 46 - NUDE</t>
        </is>
      </c>
      <c r="D424" s="4" t="n">
        <v>0</v>
      </c>
      <c r="E424" s="4" t="n">
        <v>2</v>
      </c>
      <c r="F424" s="4" t="n">
        <v>3</v>
      </c>
      <c r="G424" s="4">
        <f>SUM(D424:F424)</f>
        <v/>
      </c>
      <c r="H424" s="5" t="n">
        <v>0</v>
      </c>
      <c r="I424" s="5" t="n">
        <v>99.8</v>
      </c>
      <c r="J424" s="5" t="n">
        <v>147.7</v>
      </c>
      <c r="K424" s="5">
        <f>SUM(H424:J424)</f>
        <v/>
      </c>
      <c r="L424" s="6">
        <f>IF($K$622=0,0,K424/$K$622)</f>
        <v/>
      </c>
      <c r="M424" s="6">
        <f>M423+L424</f>
        <v/>
      </c>
      <c r="N424" s="9">
        <f>IF(M424&lt;=0.8,"A",IF(M424&lt;=0.95,"B","C"))</f>
        <v/>
      </c>
    </row>
    <row r="425">
      <c r="A425" s="2" t="n">
        <v>424</v>
      </c>
      <c r="B425" s="2" t="inlineStr">
        <is>
          <t>CHALEIRA-PRETO-220V</t>
        </is>
      </c>
      <c r="C425" s="2" t="inlineStr">
        <is>
          <t>Preto, 220V</t>
        </is>
      </c>
      <c r="D425" s="4" t="n">
        <v>0</v>
      </c>
      <c r="E425" s="4" t="n">
        <v>3</v>
      </c>
      <c r="F425" s="4" t="n">
        <v>0</v>
      </c>
      <c r="G425" s="4">
        <f>SUM(D425:F425)</f>
        <v/>
      </c>
      <c r="H425" s="5" t="n">
        <v>0</v>
      </c>
      <c r="I425" s="5" t="n">
        <v>239.7</v>
      </c>
      <c r="J425" s="5" t="n">
        <v>0</v>
      </c>
      <c r="K425" s="5">
        <f>SUM(H425:J425)</f>
        <v/>
      </c>
      <c r="L425" s="6">
        <f>IF($K$622=0,0,K425/$K$622)</f>
        <v/>
      </c>
      <c r="M425" s="6">
        <f>M424+L425</f>
        <v/>
      </c>
      <c r="N425" s="9">
        <f>IF(M425&lt;=0.8,"A",IF(M425&lt;=0.95,"B","C"))</f>
        <v/>
      </c>
    </row>
    <row r="426">
      <c r="A426" s="2" t="n">
        <v>425</v>
      </c>
      <c r="B426" s="2" t="inlineStr">
        <is>
          <t>214480</t>
        </is>
      </c>
      <c r="C426" s="2" t="inlineStr">
        <is>
          <t>SHORT ATTACK - 71144-001 - LUPO  - G - AZUL</t>
        </is>
      </c>
      <c r="D426" s="4" t="n">
        <v>0</v>
      </c>
      <c r="E426" s="4" t="n">
        <v>0</v>
      </c>
      <c r="F426" s="4" t="n">
        <v>3</v>
      </c>
      <c r="G426" s="4">
        <f>SUM(D426:F426)</f>
        <v/>
      </c>
      <c r="H426" s="5" t="n">
        <v>0</v>
      </c>
      <c r="I426" s="5" t="n">
        <v>0</v>
      </c>
      <c r="J426" s="5" t="n">
        <v>239.7</v>
      </c>
      <c r="K426" s="5">
        <f>SUM(H426:J426)</f>
        <v/>
      </c>
      <c r="L426" s="6">
        <f>IF($K$622=0,0,K426/$K$622)</f>
        <v/>
      </c>
      <c r="M426" s="6">
        <f>M425+L426</f>
        <v/>
      </c>
      <c r="N426" s="9">
        <f>IF(M426&lt;=0.8,"A",IF(M426&lt;=0.95,"B","C"))</f>
        <v/>
      </c>
    </row>
    <row r="427">
      <c r="A427" s="2" t="n">
        <v>426</v>
      </c>
      <c r="B427" s="2" t="inlineStr">
        <is>
          <t>213704</t>
        </is>
      </c>
      <c r="C427" s="2" t="inlineStr">
        <is>
          <t>INVICTO ANTIPULGAS GATO E CACHORRO - CAIXA C/6 COMP - 57MG</t>
        </is>
      </c>
      <c r="D427" s="4" t="n">
        <v>0</v>
      </c>
      <c r="E427" s="4" t="n">
        <v>2</v>
      </c>
      <c r="F427" s="4" t="n">
        <v>2</v>
      </c>
      <c r="G427" s="4">
        <f>SUM(D427:F427)</f>
        <v/>
      </c>
      <c r="H427" s="5" t="n">
        <v>0</v>
      </c>
      <c r="I427" s="5" t="n">
        <v>119.8</v>
      </c>
      <c r="J427" s="5" t="n">
        <v>119.8</v>
      </c>
      <c r="K427" s="5">
        <f>SUM(H427:J427)</f>
        <v/>
      </c>
      <c r="L427" s="6">
        <f>IF($K$622=0,0,K427/$K$622)</f>
        <v/>
      </c>
      <c r="M427" s="6">
        <f>M426+L427</f>
        <v/>
      </c>
      <c r="N427" s="9">
        <f>IF(M427&lt;=0.8,"A",IF(M427&lt;=0.95,"B","C"))</f>
        <v/>
      </c>
    </row>
    <row r="428">
      <c r="A428" s="2" t="n">
        <v>427</v>
      </c>
      <c r="B428" s="2" t="inlineStr">
        <is>
          <t>213689</t>
        </is>
      </c>
      <c r="C428" s="2" t="inlineStr">
        <is>
          <t>KIT INVICTO ANTIPULGAS GATO E CACHORRO - BLISTER C/1 COMP - 11.4MG - 1 BLISTER</t>
        </is>
      </c>
      <c r="D428" s="4" t="n">
        <v>0</v>
      </c>
      <c r="E428" s="4" t="n">
        <v>0</v>
      </c>
      <c r="F428" s="4" t="n">
        <v>12</v>
      </c>
      <c r="G428" s="4">
        <f>SUM(D428:F428)</f>
        <v/>
      </c>
      <c r="H428" s="5" t="n">
        <v>0</v>
      </c>
      <c r="I428" s="5" t="n">
        <v>0</v>
      </c>
      <c r="J428" s="5" t="n">
        <v>238.8</v>
      </c>
      <c r="K428" s="5">
        <f>SUM(H428:J428)</f>
        <v/>
      </c>
      <c r="L428" s="6">
        <f>IF($K$622=0,0,K428/$K$622)</f>
        <v/>
      </c>
      <c r="M428" s="6">
        <f>M427+L428</f>
        <v/>
      </c>
      <c r="N428" s="9">
        <f>IF(M428&lt;=0.8,"A",IF(M428&lt;=0.95,"B","C"))</f>
        <v/>
      </c>
    </row>
    <row r="429">
      <c r="A429" s="2" t="n">
        <v>428</v>
      </c>
      <c r="B429" s="2" t="inlineStr">
        <is>
          <t>214809</t>
        </is>
      </c>
      <c r="C429" s="2" t="inlineStr">
        <is>
          <t>KIT POTE DE VIDRO C/ TAMPA DE BAMBU - 200ML - 6 UNIDADES</t>
        </is>
      </c>
      <c r="D429" s="4" t="n">
        <v>0</v>
      </c>
      <c r="E429" s="4" t="n">
        <v>0</v>
      </c>
      <c r="F429" s="4" t="n">
        <v>5</v>
      </c>
      <c r="G429" s="4">
        <f>SUM(D429:F429)</f>
        <v/>
      </c>
      <c r="H429" s="5" t="n">
        <v>0</v>
      </c>
      <c r="I429" s="5" t="n">
        <v>0</v>
      </c>
      <c r="J429" s="5" t="n">
        <v>238.54</v>
      </c>
      <c r="K429" s="5">
        <f>SUM(H429:J429)</f>
        <v/>
      </c>
      <c r="L429" s="6">
        <f>IF($K$622=0,0,K429/$K$622)</f>
        <v/>
      </c>
      <c r="M429" s="6">
        <f>M428+L429</f>
        <v/>
      </c>
      <c r="N429" s="9">
        <f>IF(M429&lt;=0.8,"A",IF(M429&lt;=0.95,"B","C"))</f>
        <v/>
      </c>
    </row>
    <row r="430">
      <c r="A430" s="2" t="n">
        <v>429</v>
      </c>
      <c r="B430" s="2" t="inlineStr">
        <is>
          <t>0771-100UN</t>
        </is>
      </c>
      <c r="C430" s="2" t="inlineStr">
        <is>
          <t>Tapetes Higiênico Good Pad Para Cachorro 60x60 100 Unidades - Branco -</t>
        </is>
      </c>
      <c r="D430" s="4" t="n">
        <v>0</v>
      </c>
      <c r="E430" s="4" t="n">
        <v>1</v>
      </c>
      <c r="F430" s="4" t="n">
        <v>1</v>
      </c>
      <c r="G430" s="4">
        <f>SUM(D430:F430)</f>
        <v/>
      </c>
      <c r="H430" s="5" t="n">
        <v>0</v>
      </c>
      <c r="I430" s="5" t="n">
        <v>118.9</v>
      </c>
      <c r="J430" s="5" t="n">
        <v>118.9</v>
      </c>
      <c r="K430" s="5">
        <f>SUM(H430:J430)</f>
        <v/>
      </c>
      <c r="L430" s="6">
        <f>IF($K$622=0,0,K430/$K$622)</f>
        <v/>
      </c>
      <c r="M430" s="6">
        <f>M429+L430</f>
        <v/>
      </c>
      <c r="N430" s="9">
        <f>IF(M430&lt;=0.8,"A",IF(M430&lt;=0.95,"B","C"))</f>
        <v/>
      </c>
    </row>
    <row r="431">
      <c r="A431" s="2" t="n">
        <v>430</v>
      </c>
      <c r="B431" s="2" t="inlineStr">
        <is>
          <t>215210</t>
        </is>
      </c>
      <c r="C431" s="2" t="inlineStr">
        <is>
          <t>SHORT LSPORT BASIC - 71348 - LUPO - GG - PURPLE</t>
        </is>
      </c>
      <c r="D431" s="4" t="n">
        <v>0</v>
      </c>
      <c r="E431" s="4" t="n">
        <v>1</v>
      </c>
      <c r="F431" s="4" t="n">
        <v>2</v>
      </c>
      <c r="G431" s="4">
        <f>SUM(D431:F431)</f>
        <v/>
      </c>
      <c r="H431" s="5" t="n">
        <v>0</v>
      </c>
      <c r="I431" s="5" t="n">
        <v>78.90000000000001</v>
      </c>
      <c r="J431" s="5" t="n">
        <v>157.8</v>
      </c>
      <c r="K431" s="5">
        <f>SUM(H431:J431)</f>
        <v/>
      </c>
      <c r="L431" s="6">
        <f>IF($K$622=0,0,K431/$K$622)</f>
        <v/>
      </c>
      <c r="M431" s="6">
        <f>M430+L431</f>
        <v/>
      </c>
      <c r="N431" s="9">
        <f>IF(M431&lt;=0.8,"A",IF(M431&lt;=0.95,"B","C"))</f>
        <v/>
      </c>
    </row>
    <row r="432">
      <c r="A432" s="2" t="n">
        <v>431</v>
      </c>
      <c r="B432" s="2" t="inlineStr">
        <is>
          <t>214192</t>
        </is>
      </c>
      <c r="C432" s="2" t="inlineStr">
        <is>
          <t>KIT CABIDE PARA CALÇA C/5 DIVISORIAS - PRETO - 4 UNIDADES</t>
        </is>
      </c>
      <c r="D432" s="4" t="n">
        <v>0</v>
      </c>
      <c r="E432" s="4" t="n">
        <v>3</v>
      </c>
      <c r="F432" s="4" t="n">
        <v>1</v>
      </c>
      <c r="G432" s="4">
        <f>SUM(D432:F432)</f>
        <v/>
      </c>
      <c r="H432" s="5" t="n">
        <v>0</v>
      </c>
      <c r="I432" s="5" t="n">
        <v>176.67</v>
      </c>
      <c r="J432" s="5" t="n">
        <v>58.89</v>
      </c>
      <c r="K432" s="5">
        <f>SUM(H432:J432)</f>
        <v/>
      </c>
      <c r="L432" s="6">
        <f>IF($K$622=0,0,K432/$K$622)</f>
        <v/>
      </c>
      <c r="M432" s="6">
        <f>M431+L432</f>
        <v/>
      </c>
      <c r="N432" s="9">
        <f>IF(M432&lt;=0.8,"A",IF(M432&lt;=0.95,"B","C"))</f>
        <v/>
      </c>
    </row>
    <row r="433">
      <c r="A433" s="2" t="n">
        <v>432</v>
      </c>
      <c r="B433" s="2" t="inlineStr">
        <is>
          <t>214191</t>
        </is>
      </c>
      <c r="C433" s="2" t="inlineStr">
        <is>
          <t>KIT CABIDE PARA CALÇA C/5 DIVISORIAS - BRANCO - 4 UNIDADES</t>
        </is>
      </c>
      <c r="D433" s="4" t="n">
        <v>0</v>
      </c>
      <c r="E433" s="4" t="n">
        <v>2</v>
      </c>
      <c r="F433" s="4" t="n">
        <v>2</v>
      </c>
      <c r="G433" s="4">
        <f>SUM(D433:F433)</f>
        <v/>
      </c>
      <c r="H433" s="5" t="n">
        <v>0</v>
      </c>
      <c r="I433" s="5" t="n">
        <v>116.61</v>
      </c>
      <c r="J433" s="5" t="n">
        <v>117.79</v>
      </c>
      <c r="K433" s="5">
        <f>SUM(H433:J433)</f>
        <v/>
      </c>
      <c r="L433" s="6">
        <f>IF($K$622=0,0,K433/$K$622)</f>
        <v/>
      </c>
      <c r="M433" s="6">
        <f>M432+L433</f>
        <v/>
      </c>
      <c r="N433" s="9">
        <f>IF(M433&lt;=0.8,"A",IF(M433&lt;=0.95,"B","C"))</f>
        <v/>
      </c>
    </row>
    <row r="434">
      <c r="A434" s="2" t="n">
        <v>433</v>
      </c>
      <c r="B434" s="2" t="inlineStr">
        <is>
          <t>215771</t>
        </is>
      </c>
      <c r="C434" s="2" t="inlineStr">
        <is>
          <t>KIT POTE DE VIDRO MARMITA - 640ML - SORTIDO - 6 POTES</t>
        </is>
      </c>
      <c r="D434" s="4" t="n">
        <v>0</v>
      </c>
      <c r="E434" s="4" t="n">
        <v>2</v>
      </c>
      <c r="F434" s="4" t="n">
        <v>0</v>
      </c>
      <c r="G434" s="4">
        <f>SUM(D434:F434)</f>
        <v/>
      </c>
      <c r="H434" s="5" t="n">
        <v>0</v>
      </c>
      <c r="I434" s="5" t="n">
        <v>233.81</v>
      </c>
      <c r="J434" s="5" t="n">
        <v>0</v>
      </c>
      <c r="K434" s="5">
        <f>SUM(H434:J434)</f>
        <v/>
      </c>
      <c r="L434" s="6">
        <f>IF($K$622=0,0,K434/$K$622)</f>
        <v/>
      </c>
      <c r="M434" s="6">
        <f>M433+L434</f>
        <v/>
      </c>
      <c r="N434" s="9">
        <f>IF(M434&lt;=0.8,"A",IF(M434&lt;=0.95,"B","C"))</f>
        <v/>
      </c>
    </row>
    <row r="435">
      <c r="A435" s="2" t="n">
        <v>434</v>
      </c>
      <c r="B435" s="2" t="inlineStr">
        <is>
          <t>214102</t>
        </is>
      </c>
      <c r="C435" s="2" t="inlineStr">
        <is>
          <t>KIT ROLOS REMOVEDOR DE PELOS - AZUL - 2 UNIDADES</t>
        </is>
      </c>
      <c r="D435" s="4" t="n">
        <v>0</v>
      </c>
      <c r="E435" s="4" t="n">
        <v>4</v>
      </c>
      <c r="F435" s="4" t="n">
        <v>2</v>
      </c>
      <c r="G435" s="4">
        <f>SUM(D435:F435)</f>
        <v/>
      </c>
      <c r="H435" s="5" t="n">
        <v>0</v>
      </c>
      <c r="I435" s="5" t="n">
        <v>151.6</v>
      </c>
      <c r="J435" s="5" t="n">
        <v>79.8</v>
      </c>
      <c r="K435" s="5">
        <f>SUM(H435:J435)</f>
        <v/>
      </c>
      <c r="L435" s="6">
        <f>IF($K$622=0,0,K435/$K$622)</f>
        <v/>
      </c>
      <c r="M435" s="6">
        <f>M434+L435</f>
        <v/>
      </c>
      <c r="N435" s="9">
        <f>IF(M435&lt;=0.8,"A",IF(M435&lt;=0.95,"B","C"))</f>
        <v/>
      </c>
    </row>
    <row r="436">
      <c r="A436" s="2" t="n">
        <v>435</v>
      </c>
      <c r="B436" s="2" t="inlineStr">
        <is>
          <t>213649</t>
        </is>
      </c>
      <c r="C436" s="2" t="inlineStr">
        <is>
          <t>KIT PROVERMIN ENVELOPE - FEMBENDAZOL - 20 G - 6</t>
        </is>
      </c>
      <c r="D436" s="4" t="n">
        <v>0</v>
      </c>
      <c r="E436" s="4" t="n">
        <v>7</v>
      </c>
      <c r="F436" s="4" t="n">
        <v>0</v>
      </c>
      <c r="G436" s="4">
        <f>SUM(D436:F436)</f>
        <v/>
      </c>
      <c r="H436" s="5" t="n">
        <v>0</v>
      </c>
      <c r="I436" s="5" t="n">
        <v>230.3</v>
      </c>
      <c r="J436" s="5" t="n">
        <v>0</v>
      </c>
      <c r="K436" s="5">
        <f>SUM(H436:J436)</f>
        <v/>
      </c>
      <c r="L436" s="6">
        <f>IF($K$622=0,0,K436/$K$622)</f>
        <v/>
      </c>
      <c r="M436" s="6">
        <f>M435+L436</f>
        <v/>
      </c>
      <c r="N436" s="9">
        <f>IF(M436&lt;=0.8,"A",IF(M436&lt;=0.95,"B","C"))</f>
        <v/>
      </c>
    </row>
    <row r="437">
      <c r="A437" s="2" t="n">
        <v>436</v>
      </c>
      <c r="B437" s="2" t="inlineStr">
        <is>
          <t>212434</t>
        </is>
      </c>
      <c r="C437" s="2" t="inlineStr">
        <is>
          <t>DUPRANTEL GATOS VERMÍFUGO - CAIXA C/ 30 BLISTER DE 2 COMP</t>
        </is>
      </c>
      <c r="D437" s="4" t="n">
        <v>0</v>
      </c>
      <c r="E437" s="4" t="n">
        <v>1</v>
      </c>
      <c r="F437" s="4" t="n">
        <v>0</v>
      </c>
      <c r="G437" s="4">
        <f>SUM(D437:F437)</f>
        <v/>
      </c>
      <c r="H437" s="5" t="n">
        <v>0</v>
      </c>
      <c r="I437" s="5" t="n">
        <v>229.9</v>
      </c>
      <c r="J437" s="5" t="n">
        <v>0</v>
      </c>
      <c r="K437" s="5">
        <f>SUM(H437:J437)</f>
        <v/>
      </c>
      <c r="L437" s="6">
        <f>IF($K$622=0,0,K437/$K$622)</f>
        <v/>
      </c>
      <c r="M437" s="6">
        <f>M436+L437</f>
        <v/>
      </c>
      <c r="N437" s="9">
        <f>IF(M437&lt;=0.8,"A",IF(M437&lt;=0.95,"B","C"))</f>
        <v/>
      </c>
    </row>
    <row r="438">
      <c r="A438" s="2" t="n">
        <v>437</v>
      </c>
      <c r="B438" s="2" t="inlineStr">
        <is>
          <t>DUFULVIN-250ML</t>
        </is>
      </c>
      <c r="C438" s="2" t="inlineStr">
        <is>
          <t>Dufulvin Suspensão Oral 250ml - Duprat Neutro - Neutro</t>
        </is>
      </c>
      <c r="D438" s="4" t="n">
        <v>0</v>
      </c>
      <c r="E438" s="4" t="n">
        <v>2</v>
      </c>
      <c r="F438" s="4" t="n">
        <v>1</v>
      </c>
      <c r="G438" s="4">
        <f>SUM(D438:F438)</f>
        <v/>
      </c>
      <c r="H438" s="5" t="n">
        <v>0</v>
      </c>
      <c r="I438" s="5" t="n">
        <v>154.86</v>
      </c>
      <c r="J438" s="5" t="n">
        <v>69.90000000000001</v>
      </c>
      <c r="K438" s="5">
        <f>SUM(H438:J438)</f>
        <v/>
      </c>
      <c r="L438" s="6">
        <f>IF($K$622=0,0,K438/$K$622)</f>
        <v/>
      </c>
      <c r="M438" s="6">
        <f>M437+L438</f>
        <v/>
      </c>
      <c r="N438" s="9">
        <f>IF(M438&lt;=0.8,"A",IF(M438&lt;=0.95,"B","C"))</f>
        <v/>
      </c>
    </row>
    <row r="439">
      <c r="A439" s="2" t="n">
        <v>438</v>
      </c>
      <c r="B439" s="2" t="inlineStr">
        <is>
          <t>214053</t>
        </is>
      </c>
      <c r="C439" s="2" t="inlineStr">
        <is>
          <t>KIT CABIDE DE MADEIRA - 12 UNIDADES</t>
        </is>
      </c>
      <c r="D439" s="4" t="n">
        <v>0</v>
      </c>
      <c r="E439" s="4" t="n">
        <v>1</v>
      </c>
      <c r="F439" s="4" t="n">
        <v>1</v>
      </c>
      <c r="G439" s="4">
        <f>SUM(D439:F439)</f>
        <v/>
      </c>
      <c r="H439" s="5" t="n">
        <v>0</v>
      </c>
      <c r="I439" s="5" t="n">
        <v>69.90000000000001</v>
      </c>
      <c r="J439" s="5" t="n">
        <v>150.9</v>
      </c>
      <c r="K439" s="5">
        <f>SUM(H439:J439)</f>
        <v/>
      </c>
      <c r="L439" s="6">
        <f>IF($K$622=0,0,K439/$K$622)</f>
        <v/>
      </c>
      <c r="M439" s="6">
        <f>M438+L439</f>
        <v/>
      </c>
      <c r="N439" s="9">
        <f>IF(M439&lt;=0.8,"A",IF(M439&lt;=0.95,"B","C"))</f>
        <v/>
      </c>
    </row>
    <row r="440">
      <c r="A440" s="2" t="n">
        <v>439</v>
      </c>
      <c r="B440" s="2" t="inlineStr">
        <is>
          <t>AREIA-EDB-8KG-GF</t>
        </is>
      </c>
      <c r="C440" s="2" t="inlineStr">
        <is>
          <t>8KG, Grãos Finos</t>
        </is>
      </c>
      <c r="D440" s="4" t="n">
        <v>0</v>
      </c>
      <c r="E440" s="4" t="n">
        <v>0</v>
      </c>
      <c r="F440" s="4" t="n">
        <v>2</v>
      </c>
      <c r="G440" s="4">
        <f>SUM(D440:F440)</f>
        <v/>
      </c>
      <c r="H440" s="5" t="n">
        <v>0</v>
      </c>
      <c r="I440" s="5" t="n">
        <v>0</v>
      </c>
      <c r="J440" s="5" t="n">
        <v>220.8</v>
      </c>
      <c r="K440" s="5">
        <f>SUM(H440:J440)</f>
        <v/>
      </c>
      <c r="L440" s="6">
        <f>IF($K$622=0,0,K440/$K$622)</f>
        <v/>
      </c>
      <c r="M440" s="6">
        <f>M439+L440</f>
        <v/>
      </c>
      <c r="N440" s="9">
        <f>IF(M440&lt;=0.8,"A",IF(M440&lt;=0.95,"B","C"))</f>
        <v/>
      </c>
    </row>
    <row r="441">
      <c r="A441" s="2" t="n">
        <v>440</v>
      </c>
      <c r="B441" s="2" t="inlineStr">
        <is>
          <t>213513</t>
        </is>
      </c>
      <c r="C441" s="2" t="inlineStr">
        <is>
          <t>GRANULADO HIGIÊNICO DE MADEIRA IPET WOOD'S - 2KG</t>
        </is>
      </c>
      <c r="D441" s="4" t="n">
        <v>0</v>
      </c>
      <c r="E441" s="4" t="n">
        <v>17</v>
      </c>
      <c r="F441" s="4" t="n">
        <v>5</v>
      </c>
      <c r="G441" s="4">
        <f>SUM(D441:F441)</f>
        <v/>
      </c>
      <c r="H441" s="5" t="n">
        <v>0</v>
      </c>
      <c r="I441" s="5" t="n">
        <v>139.3</v>
      </c>
      <c r="J441" s="5" t="n">
        <v>80.5</v>
      </c>
      <c r="K441" s="5">
        <f>SUM(H441:J441)</f>
        <v/>
      </c>
      <c r="L441" s="6">
        <f>IF($K$622=0,0,K441/$K$622)</f>
        <v/>
      </c>
      <c r="M441" s="6">
        <f>M440+L441</f>
        <v/>
      </c>
      <c r="N441" s="9">
        <f>IF(M441&lt;=0.8,"A",IF(M441&lt;=0.95,"B","C"))</f>
        <v/>
      </c>
    </row>
    <row r="442">
      <c r="A442" s="2" t="n">
        <v>441</v>
      </c>
      <c r="B442" s="2" t="inlineStr">
        <is>
          <t>213520</t>
        </is>
      </c>
      <c r="C442" s="2" t="inlineStr">
        <is>
          <t>ESCOVA PENTE PLÁSTICO FERRO PARA PENTEAR CACHORROS E GATOS PET - AZUL</t>
        </is>
      </c>
      <c r="D442" s="4" t="n">
        <v>0</v>
      </c>
      <c r="E442" s="4" t="n">
        <v>6</v>
      </c>
      <c r="F442" s="4" t="n">
        <v>7</v>
      </c>
      <c r="G442" s="4">
        <f>SUM(D442:F442)</f>
        <v/>
      </c>
      <c r="H442" s="5" t="n">
        <v>0</v>
      </c>
      <c r="I442" s="5" t="n">
        <v>115.4</v>
      </c>
      <c r="J442" s="5" t="n">
        <v>104.23</v>
      </c>
      <c r="K442" s="5">
        <f>SUM(H442:J442)</f>
        <v/>
      </c>
      <c r="L442" s="6">
        <f>IF($K$622=0,0,K442/$K$622)</f>
        <v/>
      </c>
      <c r="M442" s="6">
        <f>M441+L442</f>
        <v/>
      </c>
      <c r="N442" s="9">
        <f>IF(M442&lt;=0.8,"A",IF(M442&lt;=0.95,"B","C"))</f>
        <v/>
      </c>
    </row>
    <row r="443">
      <c r="A443" s="2" t="n">
        <v>442</v>
      </c>
      <c r="B443" s="2" t="inlineStr">
        <is>
          <t>213529</t>
        </is>
      </c>
      <c r="C443" s="2" t="inlineStr">
        <is>
          <t>BRINQUEDO PARA GATOS VARINHA COM VENTOSA - VERDE</t>
        </is>
      </c>
      <c r="D443" s="4" t="n">
        <v>0</v>
      </c>
      <c r="E443" s="4" t="n">
        <v>4</v>
      </c>
      <c r="F443" s="4" t="n">
        <v>4</v>
      </c>
      <c r="G443" s="4">
        <f>SUM(D443:F443)</f>
        <v/>
      </c>
      <c r="H443" s="5" t="n">
        <v>0</v>
      </c>
      <c r="I443" s="5" t="n">
        <v>109.08</v>
      </c>
      <c r="J443" s="5" t="n">
        <v>110.48</v>
      </c>
      <c r="K443" s="5">
        <f>SUM(H443:J443)</f>
        <v/>
      </c>
      <c r="L443" s="6">
        <f>IF($K$622=0,0,K443/$K$622)</f>
        <v/>
      </c>
      <c r="M443" s="6">
        <f>M442+L443</f>
        <v/>
      </c>
      <c r="N443" s="9">
        <f>IF(M443&lt;=0.8,"A",IF(M443&lt;=0.95,"B","C"))</f>
        <v/>
      </c>
    </row>
    <row r="444">
      <c r="A444" s="2" t="n">
        <v>443</v>
      </c>
      <c r="B444" s="2" t="inlineStr">
        <is>
          <t>213555</t>
        </is>
      </c>
      <c r="C444" s="2" t="inlineStr">
        <is>
          <t>BRINQUEDO INTERATIVO PARA GATOS ARRANHADOR VARINHA - RATO</t>
        </is>
      </c>
      <c r="D444" s="4" t="n">
        <v>0</v>
      </c>
      <c r="E444" s="4" t="n">
        <v>3</v>
      </c>
      <c r="F444" s="4" t="n">
        <v>7</v>
      </c>
      <c r="G444" s="4">
        <f>SUM(D444:F444)</f>
        <v/>
      </c>
      <c r="H444" s="5" t="n">
        <v>0</v>
      </c>
      <c r="I444" s="5" t="n">
        <v>69.7</v>
      </c>
      <c r="J444" s="5" t="n">
        <v>137.28</v>
      </c>
      <c r="K444" s="5">
        <f>SUM(H444:J444)</f>
        <v/>
      </c>
      <c r="L444" s="6">
        <f>IF($K$622=0,0,K444/$K$622)</f>
        <v/>
      </c>
      <c r="M444" s="6">
        <f>M443+L444</f>
        <v/>
      </c>
      <c r="N444" s="9">
        <f>IF(M444&lt;=0.8,"A",IF(M444&lt;=0.95,"B","C"))</f>
        <v/>
      </c>
    </row>
    <row r="445">
      <c r="A445" s="2" t="n">
        <v>444</v>
      </c>
      <c r="B445" s="2" t="inlineStr">
        <is>
          <t>213631</t>
        </is>
      </c>
      <c r="C445" s="2" t="inlineStr">
        <is>
          <t>D-FENSE PRO REPELENTE 500ML HAXEA</t>
        </is>
      </c>
      <c r="D445" s="4" t="n">
        <v>0</v>
      </c>
      <c r="E445" s="4" t="n">
        <v>3</v>
      </c>
      <c r="F445" s="4" t="n">
        <v>0</v>
      </c>
      <c r="G445" s="4">
        <f>SUM(D445:F445)</f>
        <v/>
      </c>
      <c r="H445" s="5" t="n">
        <v>0</v>
      </c>
      <c r="I445" s="5" t="n">
        <v>206.7</v>
      </c>
      <c r="J445" s="5" t="n">
        <v>0</v>
      </c>
      <c r="K445" s="5">
        <f>SUM(H445:J445)</f>
        <v/>
      </c>
      <c r="L445" s="6">
        <f>IF($K$622=0,0,K445/$K$622)</f>
        <v/>
      </c>
      <c r="M445" s="6">
        <f>M444+L445</f>
        <v/>
      </c>
      <c r="N445" s="9">
        <f>IF(M445&lt;=0.8,"A",IF(M445&lt;=0.95,"B","C"))</f>
        <v/>
      </c>
    </row>
    <row r="446">
      <c r="A446" s="2" t="n">
        <v>445</v>
      </c>
      <c r="B446" s="2" t="inlineStr">
        <is>
          <t>213474</t>
        </is>
      </c>
      <c r="C446" s="2" t="inlineStr">
        <is>
          <t>STRONDAL PLUS C/ 4 COMP INDUBRAS</t>
        </is>
      </c>
      <c r="D446" s="4" t="n">
        <v>0</v>
      </c>
      <c r="E446" s="4" t="n">
        <v>8</v>
      </c>
      <c r="F446" s="4" t="n">
        <v>8</v>
      </c>
      <c r="G446" s="4">
        <f>SUM(D446:F446)</f>
        <v/>
      </c>
      <c r="H446" s="5" t="n">
        <v>0</v>
      </c>
      <c r="I446" s="5" t="n">
        <v>103.2</v>
      </c>
      <c r="J446" s="5" t="n">
        <v>103.2</v>
      </c>
      <c r="K446" s="5">
        <f>SUM(H446:J446)</f>
        <v/>
      </c>
      <c r="L446" s="6">
        <f>IF($K$622=0,0,K446/$K$622)</f>
        <v/>
      </c>
      <c r="M446" s="6">
        <f>M445+L446</f>
        <v/>
      </c>
      <c r="N446" s="9">
        <f>IF(M446&lt;=0.8,"A",IF(M446&lt;=0.95,"B","C"))</f>
        <v/>
      </c>
    </row>
    <row r="447">
      <c r="A447" s="2" t="n">
        <v>446</v>
      </c>
      <c r="B447" s="2" t="inlineStr">
        <is>
          <t>214852</t>
        </is>
      </c>
      <c r="C447" s="2" t="inlineStr">
        <is>
          <t>KIT POTE DE VIDRO C/ TAMPA DE BAMBU - 550ML - 8 UNIDADES</t>
        </is>
      </c>
      <c r="D447" s="4" t="n">
        <v>0</v>
      </c>
      <c r="E447" s="4" t="n">
        <v>0</v>
      </c>
      <c r="F447" s="4" t="n">
        <v>2</v>
      </c>
      <c r="G447" s="4">
        <f>SUM(D447:F447)</f>
        <v/>
      </c>
      <c r="H447" s="5" t="n">
        <v>0</v>
      </c>
      <c r="I447" s="5" t="n">
        <v>0</v>
      </c>
      <c r="J447" s="5" t="n">
        <v>205.8</v>
      </c>
      <c r="K447" s="5">
        <f>SUM(H447:J447)</f>
        <v/>
      </c>
      <c r="L447" s="6">
        <f>IF($K$622=0,0,K447/$K$622)</f>
        <v/>
      </c>
      <c r="M447" s="6">
        <f>M446+L447</f>
        <v/>
      </c>
      <c r="N447" s="9">
        <f>IF(M447&lt;=0.8,"A",IF(M447&lt;=0.95,"B","C"))</f>
        <v/>
      </c>
    </row>
    <row r="448">
      <c r="A448" s="2" t="n">
        <v>447</v>
      </c>
      <c r="B448" s="2" t="inlineStr">
        <is>
          <t>215126</t>
        </is>
      </c>
      <c r="C448" s="2" t="inlineStr">
        <is>
          <t>BANHEX EQUUS SHAMPOO BRANQUEADOR 5L LAVIZOO</t>
        </is>
      </c>
      <c r="D448" s="4" t="n">
        <v>0</v>
      </c>
      <c r="E448" s="4" t="n">
        <v>1</v>
      </c>
      <c r="F448" s="4" t="n">
        <v>0</v>
      </c>
      <c r="G448" s="4">
        <f>SUM(D448:F448)</f>
        <v/>
      </c>
      <c r="H448" s="5" t="n">
        <v>0</v>
      </c>
      <c r="I448" s="5" t="n">
        <v>199.9</v>
      </c>
      <c r="J448" s="5" t="n">
        <v>0</v>
      </c>
      <c r="K448" s="5">
        <f>SUM(H448:J448)</f>
        <v/>
      </c>
      <c r="L448" s="6">
        <f>IF($K$622=0,0,K448/$K$622)</f>
        <v/>
      </c>
      <c r="M448" s="6">
        <f>M447+L448</f>
        <v/>
      </c>
      <c r="N448" s="9">
        <f>IF(M448&lt;=0.8,"A",IF(M448&lt;=0.95,"B","C"))</f>
        <v/>
      </c>
    </row>
    <row r="449">
      <c r="A449" s="2" t="n">
        <v>448</v>
      </c>
      <c r="B449" s="2" t="inlineStr">
        <is>
          <t>729</t>
        </is>
      </c>
      <c r="C449" s="2" t="inlineStr">
        <is>
          <t>Padrão</t>
        </is>
      </c>
      <c r="D449" s="4" t="n">
        <v>0</v>
      </c>
      <c r="E449" s="4" t="n">
        <v>2</v>
      </c>
      <c r="F449" s="4" t="n">
        <v>0</v>
      </c>
      <c r="G449" s="4">
        <f>SUM(D449:F449)</f>
        <v/>
      </c>
      <c r="H449" s="5" t="n">
        <v>0</v>
      </c>
      <c r="I449" s="5" t="n">
        <v>199.8</v>
      </c>
      <c r="J449" s="5" t="n">
        <v>0</v>
      </c>
      <c r="K449" s="5">
        <f>SUM(H449:J449)</f>
        <v/>
      </c>
      <c r="L449" s="6">
        <f>IF($K$622=0,0,K449/$K$622)</f>
        <v/>
      </c>
      <c r="M449" s="6">
        <f>M448+L449</f>
        <v/>
      </c>
      <c r="N449" s="9">
        <f>IF(M449&lt;=0.8,"A",IF(M449&lt;=0.95,"B","C"))</f>
        <v/>
      </c>
    </row>
    <row r="450">
      <c r="A450" s="2" t="n">
        <v>449</v>
      </c>
      <c r="B450" s="2" t="inlineStr">
        <is>
          <t>KIT-20-CAB-VEL-CZ</t>
        </is>
      </c>
      <c r="C450" s="2" t="inlineStr">
        <is>
          <t>Cinza, 20 UNIDADES</t>
        </is>
      </c>
      <c r="D450" s="4" t="n">
        <v>0</v>
      </c>
      <c r="E450" s="4" t="n">
        <v>0</v>
      </c>
      <c r="F450" s="4" t="n">
        <v>2</v>
      </c>
      <c r="G450" s="4">
        <f>SUM(D450:F450)</f>
        <v/>
      </c>
      <c r="H450" s="5" t="n">
        <v>0</v>
      </c>
      <c r="I450" s="5" t="n">
        <v>0</v>
      </c>
      <c r="J450" s="5" t="n">
        <v>199.8</v>
      </c>
      <c r="K450" s="5">
        <f>SUM(H450:J450)</f>
        <v/>
      </c>
      <c r="L450" s="6">
        <f>IF($K$622=0,0,K450/$K$622)</f>
        <v/>
      </c>
      <c r="M450" s="6">
        <f>M449+L450</f>
        <v/>
      </c>
      <c r="N450" s="9">
        <f>IF(M450&lt;=0.8,"A",IF(M450&lt;=0.95,"B","C"))</f>
        <v/>
      </c>
    </row>
    <row r="451">
      <c r="A451" s="2" t="n">
        <v>450</v>
      </c>
      <c r="B451" s="2" t="inlineStr">
        <is>
          <t>KIT-30-CAB-VEL-PT</t>
        </is>
      </c>
      <c r="C451" s="2" t="inlineStr">
        <is>
          <t>Preto, 30 UNIDADES</t>
        </is>
      </c>
      <c r="D451" s="4" t="n">
        <v>0</v>
      </c>
      <c r="E451" s="4" t="n">
        <v>0</v>
      </c>
      <c r="F451" s="4" t="n">
        <v>2</v>
      </c>
      <c r="G451" s="4">
        <f>SUM(D451:F451)</f>
        <v/>
      </c>
      <c r="H451" s="5" t="n">
        <v>0</v>
      </c>
      <c r="I451" s="5" t="n">
        <v>0</v>
      </c>
      <c r="J451" s="5" t="n">
        <v>199.8</v>
      </c>
      <c r="K451" s="5">
        <f>SUM(H451:J451)</f>
        <v/>
      </c>
      <c r="L451" s="6">
        <f>IF($K$622=0,0,K451/$K$622)</f>
        <v/>
      </c>
      <c r="M451" s="6">
        <f>M450+L451</f>
        <v/>
      </c>
      <c r="N451" s="9">
        <f>IF(M451&lt;=0.8,"A",IF(M451&lt;=0.95,"B","C"))</f>
        <v/>
      </c>
    </row>
    <row r="452">
      <c r="A452" s="2" t="n">
        <v>451</v>
      </c>
      <c r="B452" s="2" t="inlineStr">
        <is>
          <t>215190</t>
        </is>
      </c>
      <c r="C452" s="2" t="inlineStr">
        <is>
          <t>MANGUITO PROTECAO UV - 15002 - LUPO - FÚCSIA - P</t>
        </is>
      </c>
      <c r="D452" s="4" t="n">
        <v>0</v>
      </c>
      <c r="E452" s="4" t="n">
        <v>0</v>
      </c>
      <c r="F452" s="4" t="n">
        <v>4</v>
      </c>
      <c r="G452" s="4">
        <f>SUM(D452:F452)</f>
        <v/>
      </c>
      <c r="H452" s="5" t="n">
        <v>0</v>
      </c>
      <c r="I452" s="5" t="n">
        <v>0</v>
      </c>
      <c r="J452" s="5" t="n">
        <v>199.6</v>
      </c>
      <c r="K452" s="5">
        <f>SUM(H452:J452)</f>
        <v/>
      </c>
      <c r="L452" s="6">
        <f>IF($K$622=0,0,K452/$K$622)</f>
        <v/>
      </c>
      <c r="M452" s="6">
        <f>M451+L452</f>
        <v/>
      </c>
      <c r="N452" s="9">
        <f>IF(M452&lt;=0.8,"A",IF(M452&lt;=0.95,"B","C"))</f>
        <v/>
      </c>
    </row>
    <row r="453">
      <c r="A453" s="2" t="n">
        <v>452</v>
      </c>
      <c r="B453" s="2" t="inlineStr">
        <is>
          <t>MLB4667272337</t>
        </is>
      </c>
      <c r="C453" s="2" t="inlineStr">
        <is>
          <t>Comprimido Nexgard G Boehringer Para Cães 10 A 25kg, 3 Tabletes</t>
        </is>
      </c>
      <c r="D453" s="4" t="n">
        <v>0</v>
      </c>
      <c r="E453" s="4" t="n">
        <v>0</v>
      </c>
      <c r="F453" s="4" t="n">
        <v>1</v>
      </c>
      <c r="G453" s="4">
        <f>SUM(D453:F453)</f>
        <v/>
      </c>
      <c r="H453" s="5" t="n">
        <v>0</v>
      </c>
      <c r="I453" s="5" t="n">
        <v>0</v>
      </c>
      <c r="J453" s="5" t="n">
        <v>198.9</v>
      </c>
      <c r="K453" s="5">
        <f>SUM(H453:J453)</f>
        <v/>
      </c>
      <c r="L453" s="6">
        <f>IF($K$622=0,0,K453/$K$622)</f>
        <v/>
      </c>
      <c r="M453" s="6">
        <f>M452+L453</f>
        <v/>
      </c>
      <c r="N453" s="9">
        <f>IF(M453&lt;=0.8,"A",IF(M453&lt;=0.95,"B","C"))</f>
        <v/>
      </c>
    </row>
    <row r="454">
      <c r="A454" s="2" t="n">
        <v>453</v>
      </c>
      <c r="B454" s="2" t="inlineStr">
        <is>
          <t>214000</t>
        </is>
      </c>
      <c r="C454" s="2" t="inlineStr">
        <is>
          <t>CABIDE DE VELUDO - BRANCO</t>
        </is>
      </c>
      <c r="D454" s="4" t="n">
        <v>0</v>
      </c>
      <c r="E454" s="4" t="n">
        <v>0</v>
      </c>
      <c r="F454" s="4" t="n">
        <v>150</v>
      </c>
      <c r="G454" s="4">
        <f>SUM(D454:F454)</f>
        <v/>
      </c>
      <c r="H454" s="5" t="n">
        <v>0</v>
      </c>
      <c r="I454" s="5" t="n">
        <v>0</v>
      </c>
      <c r="J454" s="5" t="n">
        <v>198</v>
      </c>
      <c r="K454" s="5">
        <f>SUM(H454:J454)</f>
        <v/>
      </c>
      <c r="L454" s="6">
        <f>IF($K$622=0,0,K454/$K$622)</f>
        <v/>
      </c>
      <c r="M454" s="6">
        <f>M453+L454</f>
        <v/>
      </c>
      <c r="N454" s="9">
        <f>IF(M454&lt;=0.8,"A",IF(M454&lt;=0.95,"B","C"))</f>
        <v/>
      </c>
    </row>
    <row r="455">
      <c r="A455" s="2" t="n">
        <v>454</v>
      </c>
      <c r="B455" s="2" t="inlineStr">
        <is>
          <t>214776</t>
        </is>
      </c>
      <c r="C455" s="2" t="inlineStr">
        <is>
          <t>SUTIA BASICO SEM COSTURA - 41100 - LUPO - G - 44 A 46 - NUDE</t>
        </is>
      </c>
      <c r="D455" s="4" t="n">
        <v>0</v>
      </c>
      <c r="E455" s="4" t="n">
        <v>5</v>
      </c>
      <c r="F455" s="4" t="n">
        <v>0</v>
      </c>
      <c r="G455" s="4">
        <f>SUM(D455:F455)</f>
        <v/>
      </c>
      <c r="H455" s="5" t="n">
        <v>0</v>
      </c>
      <c r="I455" s="5" t="n">
        <v>197.9</v>
      </c>
      <c r="J455" s="5" t="n">
        <v>0</v>
      </c>
      <c r="K455" s="5">
        <f>SUM(H455:J455)</f>
        <v/>
      </c>
      <c r="L455" s="6">
        <f>IF($K$622=0,0,K455/$K$622)</f>
        <v/>
      </c>
      <c r="M455" s="6">
        <f>M454+L455</f>
        <v/>
      </c>
      <c r="N455" s="9">
        <f>IF(M455&lt;=0.8,"A",IF(M455&lt;=0.95,"B","C"))</f>
        <v/>
      </c>
    </row>
    <row r="456">
      <c r="A456" s="2" t="n">
        <v>455</v>
      </c>
      <c r="B456" s="2" t="inlineStr">
        <is>
          <t>215219</t>
        </is>
      </c>
      <c r="C456" s="2" t="inlineStr">
        <is>
          <t>KIT CABIDE PARA CALÇA C/5 DIVISORIAS - PRETO - 1 UNIDADE</t>
        </is>
      </c>
      <c r="D456" s="4" t="n">
        <v>0</v>
      </c>
      <c r="E456" s="4" t="n">
        <v>1</v>
      </c>
      <c r="F456" s="4" t="n">
        <v>5</v>
      </c>
      <c r="G456" s="4">
        <f>SUM(D456:F456)</f>
        <v/>
      </c>
      <c r="H456" s="5" t="n">
        <v>0</v>
      </c>
      <c r="I456" s="5" t="n">
        <v>21.9</v>
      </c>
      <c r="J456" s="5" t="n">
        <v>174.62</v>
      </c>
      <c r="K456" s="5">
        <f>SUM(H456:J456)</f>
        <v/>
      </c>
      <c r="L456" s="6">
        <f>IF($K$622=0,0,K456/$K$622)</f>
        <v/>
      </c>
      <c r="M456" s="6">
        <f>M455+L456</f>
        <v/>
      </c>
      <c r="N456" s="9">
        <f>IF(M456&lt;=0.8,"A",IF(M456&lt;=0.95,"B","C"))</f>
        <v/>
      </c>
    </row>
    <row r="457">
      <c r="A457" s="2" t="n">
        <v>456</v>
      </c>
      <c r="B457" s="2" t="inlineStr">
        <is>
          <t>213420</t>
        </is>
      </c>
      <c r="C457" s="2" t="inlineStr">
        <is>
          <t>BITTERPET EDUCADOR 140ML DUPRAT</t>
        </is>
      </c>
      <c r="D457" s="4" t="n">
        <v>0</v>
      </c>
      <c r="E457" s="4" t="n">
        <v>3</v>
      </c>
      <c r="F457" s="4" t="n">
        <v>2</v>
      </c>
      <c r="G457" s="4">
        <f>SUM(D457:F457)</f>
        <v/>
      </c>
      <c r="H457" s="5" t="n">
        <v>0</v>
      </c>
      <c r="I457" s="5" t="n">
        <v>114.99</v>
      </c>
      <c r="J457" s="5" t="n">
        <v>79.8</v>
      </c>
      <c r="K457" s="5">
        <f>SUM(H457:J457)</f>
        <v/>
      </c>
      <c r="L457" s="6">
        <f>IF($K$622=0,0,K457/$K$622)</f>
        <v/>
      </c>
      <c r="M457" s="6">
        <f>M456+L457</f>
        <v/>
      </c>
      <c r="N457" s="9">
        <f>IF(M457&lt;=0.8,"A",IF(M457&lt;=0.95,"B","C"))</f>
        <v/>
      </c>
    </row>
    <row r="458">
      <c r="A458" s="2" t="n">
        <v>457</v>
      </c>
      <c r="B458" s="2" t="inlineStr">
        <is>
          <t>213602</t>
        </is>
      </c>
      <c r="C458" s="2" t="inlineStr">
        <is>
          <t>KIT 2 BRINQUEDO PARA GATOS COM CATNIP - GATINHO - SORTIDO</t>
        </is>
      </c>
      <c r="D458" s="4" t="n">
        <v>0</v>
      </c>
      <c r="E458" s="4" t="n">
        <v>4</v>
      </c>
      <c r="F458" s="4" t="n">
        <v>9</v>
      </c>
      <c r="G458" s="4">
        <f>SUM(D458:F458)</f>
        <v/>
      </c>
      <c r="H458" s="5" t="n">
        <v>0</v>
      </c>
      <c r="I458" s="5" t="n">
        <v>59.6</v>
      </c>
      <c r="J458" s="5" t="n">
        <v>134.1</v>
      </c>
      <c r="K458" s="5">
        <f>SUM(H458:J458)</f>
        <v/>
      </c>
      <c r="L458" s="6">
        <f>IF($K$622=0,0,K458/$K$622)</f>
        <v/>
      </c>
      <c r="M458" s="6">
        <f>M457+L458</f>
        <v/>
      </c>
      <c r="N458" s="9">
        <f>IF(M458&lt;=0.8,"A",IF(M458&lt;=0.95,"B","C"))</f>
        <v/>
      </c>
    </row>
    <row r="459">
      <c r="A459" s="2" t="n">
        <v>458</v>
      </c>
      <c r="B459" s="2" t="inlineStr">
        <is>
          <t>214595</t>
        </is>
      </c>
      <c r="C459" s="2" t="inlineStr">
        <is>
          <t>TOP BASICO SEM COSTURA - 41300  - LUPO - P - 36 A 38 - NUDE</t>
        </is>
      </c>
      <c r="D459" s="4" t="n">
        <v>0</v>
      </c>
      <c r="E459" s="4" t="n">
        <v>4</v>
      </c>
      <c r="F459" s="4" t="n">
        <v>0</v>
      </c>
      <c r="G459" s="4">
        <f>SUM(D459:F459)</f>
        <v/>
      </c>
      <c r="H459" s="5" t="n">
        <v>0</v>
      </c>
      <c r="I459" s="5" t="n">
        <v>192.62</v>
      </c>
      <c r="J459" s="5" t="n">
        <v>0</v>
      </c>
      <c r="K459" s="5">
        <f>SUM(H459:J459)</f>
        <v/>
      </c>
      <c r="L459" s="6">
        <f>IF($K$622=0,0,K459/$K$622)</f>
        <v/>
      </c>
      <c r="M459" s="6">
        <f>M458+L459</f>
        <v/>
      </c>
      <c r="N459" s="9">
        <f>IF(M459&lt;=0.8,"A",IF(M459&lt;=0.95,"B","C"))</f>
        <v/>
      </c>
    </row>
    <row r="460">
      <c r="A460" s="2" t="n">
        <v>459</v>
      </c>
      <c r="B460" s="2" t="inlineStr">
        <is>
          <t>213690</t>
        </is>
      </c>
      <c r="C460" s="2" t="inlineStr">
        <is>
          <t>KIT INVICTO ANTIPULGAS GATO E CACHORRO - BLISTER C/1 COMP - 57MG - 1 BLISTER</t>
        </is>
      </c>
      <c r="D460" s="4" t="n">
        <v>0</v>
      </c>
      <c r="E460" s="4" t="n">
        <v>7</v>
      </c>
      <c r="F460" s="4" t="n">
        <v>4</v>
      </c>
      <c r="G460" s="4">
        <f>SUM(D460:F460)</f>
        <v/>
      </c>
      <c r="H460" s="5" t="n">
        <v>0</v>
      </c>
      <c r="I460" s="5" t="n">
        <v>118.3</v>
      </c>
      <c r="J460" s="5" t="n">
        <v>71.59999999999999</v>
      </c>
      <c r="K460" s="5">
        <f>SUM(H460:J460)</f>
        <v/>
      </c>
      <c r="L460" s="6">
        <f>IF($K$622=0,0,K460/$K$622)</f>
        <v/>
      </c>
      <c r="M460" s="6">
        <f>M459+L460</f>
        <v/>
      </c>
      <c r="N460" s="9">
        <f>IF(M460&lt;=0.8,"A",IF(M460&lt;=0.95,"B","C"))</f>
        <v/>
      </c>
    </row>
    <row r="461">
      <c r="A461" s="2" t="n">
        <v>460</v>
      </c>
      <c r="B461" s="2" t="inlineStr">
        <is>
          <t>Kit 100 Un Espaço</t>
        </is>
      </c>
      <c r="C461" s="2" t="inlineStr">
        <is>
          <t>100 Unidades</t>
        </is>
      </c>
      <c r="D461" s="4" t="n">
        <v>0</v>
      </c>
      <c r="E461" s="4" t="n">
        <v>0</v>
      </c>
      <c r="F461" s="4" t="n">
        <v>1</v>
      </c>
      <c r="G461" s="4">
        <f>SUM(D461:F461)</f>
        <v/>
      </c>
      <c r="H461" s="5" t="n">
        <v>0</v>
      </c>
      <c r="I461" s="5" t="n">
        <v>0</v>
      </c>
      <c r="J461" s="5" t="n">
        <v>189.9</v>
      </c>
      <c r="K461" s="5">
        <f>SUM(H461:J461)</f>
        <v/>
      </c>
      <c r="L461" s="6">
        <f>IF($K$622=0,0,K461/$K$622)</f>
        <v/>
      </c>
      <c r="M461" s="6">
        <f>M460+L461</f>
        <v/>
      </c>
      <c r="N461" s="9">
        <f>IF(M461&lt;=0.8,"A",IF(M461&lt;=0.95,"B","C"))</f>
        <v/>
      </c>
    </row>
    <row r="462">
      <c r="A462" s="2" t="n">
        <v>461</v>
      </c>
      <c r="B462" s="2" t="inlineStr">
        <is>
          <t>214833</t>
        </is>
      </c>
      <c r="C462" s="2" t="inlineStr">
        <is>
          <t>KIT POTE DE VIDRO C/ TAMPA DE BAMBU - 500ML - 6 UNIDADES</t>
        </is>
      </c>
      <c r="D462" s="4" t="n">
        <v>0</v>
      </c>
      <c r="E462" s="4" t="n">
        <v>0</v>
      </c>
      <c r="F462" s="4" t="n">
        <v>1</v>
      </c>
      <c r="G462" s="4">
        <f>SUM(D462:F462)</f>
        <v/>
      </c>
      <c r="H462" s="5" t="n">
        <v>0</v>
      </c>
      <c r="I462" s="5" t="n">
        <v>0</v>
      </c>
      <c r="J462" s="5" t="n">
        <v>189.9</v>
      </c>
      <c r="K462" s="5">
        <f>SUM(H462:J462)</f>
        <v/>
      </c>
      <c r="L462" s="6">
        <f>IF($K$622=0,0,K462/$K$622)</f>
        <v/>
      </c>
      <c r="M462" s="6">
        <f>M461+L462</f>
        <v/>
      </c>
      <c r="N462" s="9">
        <f>IF(M462&lt;=0.8,"A",IF(M462&lt;=0.95,"B","C"))</f>
        <v/>
      </c>
    </row>
    <row r="463">
      <c r="A463" s="2" t="n">
        <v>462</v>
      </c>
      <c r="B463" s="2" t="inlineStr">
        <is>
          <t>MLB6744665166</t>
        </is>
      </c>
      <c r="C463" s="2" t="inlineStr">
        <is>
          <t>Frontline Topspot Gatos Mata Pulgas Carrapatos Piolhos Pipeta</t>
        </is>
      </c>
      <c r="D463" s="4" t="n">
        <v>0</v>
      </c>
      <c r="E463" s="4" t="n">
        <v>2</v>
      </c>
      <c r="F463" s="4" t="n">
        <v>3</v>
      </c>
      <c r="G463" s="4">
        <f>SUM(D463:F463)</f>
        <v/>
      </c>
      <c r="H463" s="5" t="n">
        <v>0</v>
      </c>
      <c r="I463" s="5" t="n">
        <v>75.8</v>
      </c>
      <c r="J463" s="5" t="n">
        <v>113.7</v>
      </c>
      <c r="K463" s="5">
        <f>SUM(H463:J463)</f>
        <v/>
      </c>
      <c r="L463" s="6">
        <f>IF($K$622=0,0,K463/$K$622)</f>
        <v/>
      </c>
      <c r="M463" s="6">
        <f>M462+L463</f>
        <v/>
      </c>
      <c r="N463" s="9">
        <f>IF(M463&lt;=0.8,"A",IF(M463&lt;=0.95,"B","C"))</f>
        <v/>
      </c>
    </row>
    <row r="464">
      <c r="A464" s="2" t="n">
        <v>463</v>
      </c>
      <c r="B464" s="2" t="inlineStr">
        <is>
          <t>213970</t>
        </is>
      </c>
      <c r="C464" s="2" t="inlineStr">
        <is>
          <t>KIT POTE DE VIDRO MARMITA - 640ML - SORTIDO - 12 POTES</t>
        </is>
      </c>
      <c r="D464" s="4" t="n">
        <v>0</v>
      </c>
      <c r="E464" s="4" t="n">
        <v>0</v>
      </c>
      <c r="F464" s="4" t="n">
        <v>1</v>
      </c>
      <c r="G464" s="4">
        <f>SUM(D464:F464)</f>
        <v/>
      </c>
      <c r="H464" s="5" t="n">
        <v>0</v>
      </c>
      <c r="I464" s="5" t="n">
        <v>0</v>
      </c>
      <c r="J464" s="5" t="n">
        <v>179.9</v>
      </c>
      <c r="K464" s="5">
        <f>SUM(H464:J464)</f>
        <v/>
      </c>
      <c r="L464" s="6">
        <f>IF($K$622=0,0,K464/$K$622)</f>
        <v/>
      </c>
      <c r="M464" s="6">
        <f>M463+L464</f>
        <v/>
      </c>
      <c r="N464" s="9">
        <f>IF(M464&lt;=0.8,"A",IF(M464&lt;=0.95,"B","C"))</f>
        <v/>
      </c>
    </row>
    <row r="465">
      <c r="A465" s="2" t="n">
        <v>464</v>
      </c>
      <c r="B465" s="2" t="inlineStr">
        <is>
          <t>213765</t>
        </is>
      </c>
      <c r="C465" s="2" t="inlineStr">
        <is>
          <t>FORTH FRUTAS FERTILIZANTE 400G</t>
        </is>
      </c>
      <c r="D465" s="4" t="n">
        <v>0</v>
      </c>
      <c r="E465" s="4" t="n">
        <v>3</v>
      </c>
      <c r="F465" s="4" t="n">
        <v>0</v>
      </c>
      <c r="G465" s="4">
        <f>SUM(D465:F465)</f>
        <v/>
      </c>
      <c r="H465" s="5" t="n">
        <v>0</v>
      </c>
      <c r="I465" s="5" t="n">
        <v>179.7</v>
      </c>
      <c r="J465" s="5" t="n">
        <v>0</v>
      </c>
      <c r="K465" s="5">
        <f>SUM(H465:J465)</f>
        <v/>
      </c>
      <c r="L465" s="6">
        <f>IF($K$622=0,0,K465/$K$622)</f>
        <v/>
      </c>
      <c r="M465" s="6">
        <f>M464+L465</f>
        <v/>
      </c>
      <c r="N465" s="9">
        <f>IF(M465&lt;=0.8,"A",IF(M465&lt;=0.95,"B","C"))</f>
        <v/>
      </c>
    </row>
    <row r="466">
      <c r="A466" s="2" t="n">
        <v>465</v>
      </c>
      <c r="B466" s="2" t="inlineStr">
        <is>
          <t>BALANÇA-CORPORAL</t>
        </is>
      </c>
      <c r="C466" s="2" t="inlineStr">
        <is>
          <t>Balança Digital Medidora Corporal Bioimpedância até 180kg OliverHome - Balança Digital</t>
        </is>
      </c>
      <c r="D466" s="4" t="n">
        <v>0</v>
      </c>
      <c r="E466" s="4" t="n">
        <v>0</v>
      </c>
      <c r="F466" s="4" t="n">
        <v>6</v>
      </c>
      <c r="G466" s="4">
        <f>SUM(D466:F466)</f>
        <v/>
      </c>
      <c r="H466" s="5" t="n">
        <v>0</v>
      </c>
      <c r="I466" s="5" t="n">
        <v>0</v>
      </c>
      <c r="J466" s="5" t="n">
        <v>179.4</v>
      </c>
      <c r="K466" s="5">
        <f>SUM(H466:J466)</f>
        <v/>
      </c>
      <c r="L466" s="6">
        <f>IF($K$622=0,0,K466/$K$622)</f>
        <v/>
      </c>
      <c r="M466" s="6">
        <f>M465+L466</f>
        <v/>
      </c>
      <c r="N466" s="9">
        <f>IF(M466&lt;=0.8,"A",IF(M466&lt;=0.95,"B","C"))</f>
        <v/>
      </c>
    </row>
    <row r="467">
      <c r="A467" s="2" t="n">
        <v>466</v>
      </c>
      <c r="B467" s="2" t="inlineStr">
        <is>
          <t>BRINQUEDO-VARA-CAT</t>
        </is>
      </c>
      <c r="C467" s="2" t="inlineStr">
        <is>
          <t>Brinquedo Interativo Simulador de Pássaro- Varinha para provocar e estimular gato</t>
        </is>
      </c>
      <c r="D467" s="4" t="n">
        <v>0</v>
      </c>
      <c r="E467" s="4" t="n">
        <v>4</v>
      </c>
      <c r="F467" s="4" t="n">
        <v>3</v>
      </c>
      <c r="G467" s="4">
        <f>SUM(D467:F467)</f>
        <v/>
      </c>
      <c r="H467" s="5" t="n">
        <v>0</v>
      </c>
      <c r="I467" s="5" t="n">
        <v>103.6</v>
      </c>
      <c r="J467" s="5" t="n">
        <v>75.7</v>
      </c>
      <c r="K467" s="5">
        <f>SUM(H467:J467)</f>
        <v/>
      </c>
      <c r="L467" s="6">
        <f>IF($K$622=0,0,K467/$K$622)</f>
        <v/>
      </c>
      <c r="M467" s="6">
        <f>M466+L467</f>
        <v/>
      </c>
      <c r="N467" s="9">
        <f>IF(M467&lt;=0.8,"A",IF(M467&lt;=0.95,"B","C"))</f>
        <v/>
      </c>
    </row>
    <row r="468">
      <c r="A468" s="2" t="n">
        <v>467</v>
      </c>
      <c r="B468" s="2" t="inlineStr">
        <is>
          <t>215224</t>
        </is>
      </c>
      <c r="C468" s="2" t="inlineStr">
        <is>
          <t>CALCA LEG. MAX LUPO - 71053 - LUPO - PURPLE - XG</t>
        </is>
      </c>
      <c r="D468" s="4" t="n">
        <v>0</v>
      </c>
      <c r="E468" s="4" t="n">
        <v>1</v>
      </c>
      <c r="F468" s="4" t="n">
        <v>0</v>
      </c>
      <c r="G468" s="4">
        <f>SUM(D468:F468)</f>
        <v/>
      </c>
      <c r="H468" s="5" t="n">
        <v>0</v>
      </c>
      <c r="I468" s="5" t="n">
        <v>174.9</v>
      </c>
      <c r="J468" s="5" t="n">
        <v>0</v>
      </c>
      <c r="K468" s="5">
        <f>SUM(H468:J468)</f>
        <v/>
      </c>
      <c r="L468" s="6">
        <f>IF($K$622=0,0,K468/$K$622)</f>
        <v/>
      </c>
      <c r="M468" s="6">
        <f>M467+L468</f>
        <v/>
      </c>
      <c r="N468" s="9">
        <f>IF(M468&lt;=0.8,"A",IF(M468&lt;=0.95,"B","C"))</f>
        <v/>
      </c>
    </row>
    <row r="469">
      <c r="A469" s="2" t="n">
        <v>468</v>
      </c>
      <c r="B469" s="2" t="inlineStr">
        <is>
          <t>215223</t>
        </is>
      </c>
      <c r="C469" s="2" t="inlineStr">
        <is>
          <t>CALCA LEG. MAX LUPO - 71053 - LUPO - PURPLE - GG</t>
        </is>
      </c>
      <c r="D469" s="4" t="n">
        <v>0</v>
      </c>
      <c r="E469" s="4" t="n">
        <v>1</v>
      </c>
      <c r="F469" s="4" t="n">
        <v>0</v>
      </c>
      <c r="G469" s="4">
        <f>SUM(D469:F469)</f>
        <v/>
      </c>
      <c r="H469" s="5" t="n">
        <v>0</v>
      </c>
      <c r="I469" s="5" t="n">
        <v>174.9</v>
      </c>
      <c r="J469" s="5" t="n">
        <v>0</v>
      </c>
      <c r="K469" s="5">
        <f>SUM(H469:J469)</f>
        <v/>
      </c>
      <c r="L469" s="6">
        <f>IF($K$622=0,0,K469/$K$622)</f>
        <v/>
      </c>
      <c r="M469" s="6">
        <f>M468+L469</f>
        <v/>
      </c>
      <c r="N469" s="9">
        <f>IF(M469&lt;=0.8,"A",IF(M469&lt;=0.95,"B","C"))</f>
        <v/>
      </c>
    </row>
    <row r="470">
      <c r="A470" s="2" t="n">
        <v>469</v>
      </c>
      <c r="B470" s="2" t="inlineStr">
        <is>
          <t>214281</t>
        </is>
      </c>
      <c r="C470" s="2" t="inlineStr">
        <is>
          <t>CALCA LEG. MAX LUPO - 71053 - LUPO - ANIL - M</t>
        </is>
      </c>
      <c r="D470" s="4" t="n">
        <v>0</v>
      </c>
      <c r="E470" s="4" t="n">
        <v>1</v>
      </c>
      <c r="F470" s="4" t="n">
        <v>0</v>
      </c>
      <c r="G470" s="4">
        <f>SUM(D470:F470)</f>
        <v/>
      </c>
      <c r="H470" s="5" t="n">
        <v>0</v>
      </c>
      <c r="I470" s="5" t="n">
        <v>174.9</v>
      </c>
      <c r="J470" s="5" t="n">
        <v>0</v>
      </c>
      <c r="K470" s="5">
        <f>SUM(H470:J470)</f>
        <v/>
      </c>
      <c r="L470" s="6">
        <f>IF($K$622=0,0,K470/$K$622)</f>
        <v/>
      </c>
      <c r="M470" s="6">
        <f>M469+L470</f>
        <v/>
      </c>
      <c r="N470" s="9">
        <f>IF(M470&lt;=0.8,"A",IF(M470&lt;=0.95,"B","C"))</f>
        <v/>
      </c>
    </row>
    <row r="471">
      <c r="A471" s="2" t="n">
        <v>470</v>
      </c>
      <c r="B471" s="2" t="inlineStr">
        <is>
          <t>214313</t>
        </is>
      </c>
      <c r="C471" s="2" t="inlineStr">
        <is>
          <t>CALCA LEG. MAX LUPO - 71053 - LUPO - ANIL - GG</t>
        </is>
      </c>
      <c r="D471" s="4" t="n">
        <v>0</v>
      </c>
      <c r="E471" s="4" t="n">
        <v>0</v>
      </c>
      <c r="F471" s="4" t="n">
        <v>1</v>
      </c>
      <c r="G471" s="4">
        <f>SUM(D471:F471)</f>
        <v/>
      </c>
      <c r="H471" s="5" t="n">
        <v>0</v>
      </c>
      <c r="I471" s="5" t="n">
        <v>0</v>
      </c>
      <c r="J471" s="5" t="n">
        <v>174.9</v>
      </c>
      <c r="K471" s="5">
        <f>SUM(H471:J471)</f>
        <v/>
      </c>
      <c r="L471" s="6">
        <f>IF($K$622=0,0,K471/$K$622)</f>
        <v/>
      </c>
      <c r="M471" s="6">
        <f>M470+L471</f>
        <v/>
      </c>
      <c r="N471" s="9">
        <f>IF(M471&lt;=0.8,"A",IF(M471&lt;=0.95,"B","C"))</f>
        <v/>
      </c>
    </row>
    <row r="472">
      <c r="A472" s="2" t="n">
        <v>471</v>
      </c>
      <c r="B472" s="2" t="inlineStr">
        <is>
          <t>214195</t>
        </is>
      </c>
      <c r="C472" s="2" t="inlineStr">
        <is>
          <t>PISCA-PISCA 10M C/100 LED - QUENTE - 110V</t>
        </is>
      </c>
      <c r="D472" s="4" t="n">
        <v>0</v>
      </c>
      <c r="E472" s="4" t="n">
        <v>9</v>
      </c>
      <c r="F472" s="4" t="n">
        <v>1</v>
      </c>
      <c r="G472" s="4">
        <f>SUM(D472:F472)</f>
        <v/>
      </c>
      <c r="H472" s="5" t="n">
        <v>0</v>
      </c>
      <c r="I472" s="5" t="n">
        <v>156.82</v>
      </c>
      <c r="J472" s="5" t="n">
        <v>17.9</v>
      </c>
      <c r="K472" s="5">
        <f>SUM(H472:J472)</f>
        <v/>
      </c>
      <c r="L472" s="6">
        <f>IF($K$622=0,0,K472/$K$622)</f>
        <v/>
      </c>
      <c r="M472" s="6">
        <f>M471+L472</f>
        <v/>
      </c>
      <c r="N472" s="9">
        <f>IF(M472&lt;=0.8,"A",IF(M472&lt;=0.95,"B","C"))</f>
        <v/>
      </c>
    </row>
    <row r="473">
      <c r="A473" s="2" t="n">
        <v>472</v>
      </c>
      <c r="B473" s="2" t="inlineStr">
        <is>
          <t>214379</t>
        </is>
      </c>
      <c r="C473" s="2" t="inlineStr">
        <is>
          <t>TOP SEAMLESS MAX II LUPO  - GRAFITE - P</t>
        </is>
      </c>
      <c r="D473" s="4" t="n">
        <v>0</v>
      </c>
      <c r="E473" s="4" t="n">
        <v>1</v>
      </c>
      <c r="F473" s="4" t="n">
        <v>0</v>
      </c>
      <c r="G473" s="4">
        <f>SUM(D473:F473)</f>
        <v/>
      </c>
      <c r="H473" s="5" t="n">
        <v>0</v>
      </c>
      <c r="I473" s="5" t="n">
        <v>169.9</v>
      </c>
      <c r="J473" s="5" t="n">
        <v>0</v>
      </c>
      <c r="K473" s="5">
        <f>SUM(H473:J473)</f>
        <v/>
      </c>
      <c r="L473" s="6">
        <f>IF($K$622=0,0,K473/$K$622)</f>
        <v/>
      </c>
      <c r="M473" s="6">
        <f>M472+L473</f>
        <v/>
      </c>
      <c r="N473" s="9">
        <f>IF(M473&lt;=0.8,"A",IF(M473&lt;=0.95,"B","C"))</f>
        <v/>
      </c>
    </row>
    <row r="474">
      <c r="A474" s="2" t="n">
        <v>473</v>
      </c>
      <c r="B474" s="2" t="inlineStr">
        <is>
          <t>214332</t>
        </is>
      </c>
      <c r="C474" s="2" t="inlineStr">
        <is>
          <t>CALCA LEG. MAX LUPO - 71053 - LUPO - GRAFITE - XG</t>
        </is>
      </c>
      <c r="D474" s="4" t="n">
        <v>0</v>
      </c>
      <c r="E474" s="4" t="n">
        <v>1</v>
      </c>
      <c r="F474" s="4" t="n">
        <v>0</v>
      </c>
      <c r="G474" s="4">
        <f>SUM(D474:F474)</f>
        <v/>
      </c>
      <c r="H474" s="5" t="n">
        <v>0</v>
      </c>
      <c r="I474" s="5" t="n">
        <v>169.9</v>
      </c>
      <c r="J474" s="5" t="n">
        <v>0</v>
      </c>
      <c r="K474" s="5">
        <f>SUM(H474:J474)</f>
        <v/>
      </c>
      <c r="L474" s="6">
        <f>IF($K$622=0,0,K474/$K$622)</f>
        <v/>
      </c>
      <c r="M474" s="6">
        <f>M473+L474</f>
        <v/>
      </c>
      <c r="N474" s="9">
        <f>IF(M474&lt;=0.8,"A",IF(M474&lt;=0.95,"B","C"))</f>
        <v/>
      </c>
    </row>
    <row r="475">
      <c r="A475" s="2" t="n">
        <v>474</v>
      </c>
      <c r="B475" s="2" t="inlineStr">
        <is>
          <t>214325</t>
        </is>
      </c>
      <c r="C475" s="2" t="inlineStr">
        <is>
          <t>CALCA LEG. MAX LUPO - 71053 - LUPO - VERDE - XG</t>
        </is>
      </c>
      <c r="D475" s="4" t="n">
        <v>0</v>
      </c>
      <c r="E475" s="4" t="n">
        <v>0</v>
      </c>
      <c r="F475" s="4" t="n">
        <v>1</v>
      </c>
      <c r="G475" s="4">
        <f>SUM(D475:F475)</f>
        <v/>
      </c>
      <c r="H475" s="5" t="n">
        <v>0</v>
      </c>
      <c r="I475" s="5" t="n">
        <v>0</v>
      </c>
      <c r="J475" s="5" t="n">
        <v>169.9</v>
      </c>
      <c r="K475" s="5">
        <f>SUM(H475:J475)</f>
        <v/>
      </c>
      <c r="L475" s="6">
        <f>IF($K$622=0,0,K475/$K$622)</f>
        <v/>
      </c>
      <c r="M475" s="6">
        <f>M474+L475</f>
        <v/>
      </c>
      <c r="N475" s="9">
        <f>IF(M475&lt;=0.8,"A",IF(M475&lt;=0.95,"B","C"))</f>
        <v/>
      </c>
    </row>
    <row r="476">
      <c r="A476" s="2" t="n">
        <v>475</v>
      </c>
      <c r="B476" s="2" t="inlineStr">
        <is>
          <t>215262</t>
        </is>
      </c>
      <c r="C476" s="2" t="inlineStr">
        <is>
          <t>CALCA LEG. MAX LUPO - 71053 - LUPO - CASTANHO - XG</t>
        </is>
      </c>
      <c r="D476" s="4" t="n">
        <v>0</v>
      </c>
      <c r="E476" s="4" t="n">
        <v>0</v>
      </c>
      <c r="F476" s="4" t="n">
        <v>1</v>
      </c>
      <c r="G476" s="4">
        <f>SUM(D476:F476)</f>
        <v/>
      </c>
      <c r="H476" s="5" t="n">
        <v>0</v>
      </c>
      <c r="I476" s="5" t="n">
        <v>0</v>
      </c>
      <c r="J476" s="5" t="n">
        <v>169.9</v>
      </c>
      <c r="K476" s="5">
        <f>SUM(H476:J476)</f>
        <v/>
      </c>
      <c r="L476" s="6">
        <f>IF($K$622=0,0,K476/$K$622)</f>
        <v/>
      </c>
      <c r="M476" s="6">
        <f>M475+L476</f>
        <v/>
      </c>
      <c r="N476" s="9">
        <f>IF(M476&lt;=0.8,"A",IF(M476&lt;=0.95,"B","C"))</f>
        <v/>
      </c>
    </row>
    <row r="477">
      <c r="A477" s="2" t="n">
        <v>476</v>
      </c>
      <c r="B477" s="2" t="inlineStr">
        <is>
          <t>214856</t>
        </is>
      </c>
      <c r="C477" s="2" t="inlineStr">
        <is>
          <t>KIT POTE DE VIDRO C/ TAMPA DE BAMBU - 300ML - 10 UNIDADES</t>
        </is>
      </c>
      <c r="D477" s="4" t="n">
        <v>0</v>
      </c>
      <c r="E477" s="4" t="n">
        <v>0</v>
      </c>
      <c r="F477" s="4" t="n">
        <v>1</v>
      </c>
      <c r="G477" s="4">
        <f>SUM(D477:F477)</f>
        <v/>
      </c>
      <c r="H477" s="5" t="n">
        <v>0</v>
      </c>
      <c r="I477" s="5" t="n">
        <v>0</v>
      </c>
      <c r="J477" s="5" t="n">
        <v>169.9</v>
      </c>
      <c r="K477" s="5">
        <f>SUM(H477:J477)</f>
        <v/>
      </c>
      <c r="L477" s="6">
        <f>IF($K$622=0,0,K477/$K$622)</f>
        <v/>
      </c>
      <c r="M477" s="6">
        <f>M476+L477</f>
        <v/>
      </c>
      <c r="N477" s="9">
        <f>IF(M477&lt;=0.8,"A",IF(M477&lt;=0.95,"B","C"))</f>
        <v/>
      </c>
    </row>
    <row r="478">
      <c r="A478" s="2" t="n">
        <v>477</v>
      </c>
      <c r="B478" s="2" t="inlineStr">
        <is>
          <t>214105</t>
        </is>
      </c>
      <c r="C478" s="2" t="inlineStr">
        <is>
          <t>KIT ROLOS REMOVEDOR DE PELOS - AZUL - 3 UNIDADES</t>
        </is>
      </c>
      <c r="D478" s="4" t="n">
        <v>0</v>
      </c>
      <c r="E478" s="4" t="n">
        <v>1</v>
      </c>
      <c r="F478" s="4" t="n">
        <v>2</v>
      </c>
      <c r="G478" s="4">
        <f>SUM(D478:F478)</f>
        <v/>
      </c>
      <c r="H478" s="5" t="n">
        <v>0</v>
      </c>
      <c r="I478" s="5" t="n">
        <v>54.9</v>
      </c>
      <c r="J478" s="5" t="n">
        <v>109.8</v>
      </c>
      <c r="K478" s="5">
        <f>SUM(H478:J478)</f>
        <v/>
      </c>
      <c r="L478" s="6">
        <f>IF($K$622=0,0,K478/$K$622)</f>
        <v/>
      </c>
      <c r="M478" s="6">
        <f>M477+L478</f>
        <v/>
      </c>
      <c r="N478" s="9">
        <f>IF(M478&lt;=0.8,"A",IF(M478&lt;=0.95,"B","C"))</f>
        <v/>
      </c>
    </row>
    <row r="479">
      <c r="A479" s="2" t="n">
        <v>478</v>
      </c>
      <c r="B479" s="2" t="inlineStr">
        <is>
          <t>_CHALEIRA-BRANCA-220V</t>
        </is>
      </c>
      <c r="C479" s="2" t="inlineStr">
        <is>
          <t>Chaleira Elétrica Jarra 1,5 Litros (220v) Com Desligamento Automático Branca Moderna Luz Indicadora Oliver Home</t>
        </is>
      </c>
      <c r="D479" s="4" t="n">
        <v>0</v>
      </c>
      <c r="E479" s="4" t="n">
        <v>0</v>
      </c>
      <c r="F479" s="4" t="n">
        <v>3</v>
      </c>
      <c r="G479" s="4">
        <f>SUM(D479:F479)</f>
        <v/>
      </c>
      <c r="H479" s="5" t="n">
        <v>0</v>
      </c>
      <c r="I479" s="5" t="n">
        <v>0</v>
      </c>
      <c r="J479" s="5" t="n">
        <v>164.7</v>
      </c>
      <c r="K479" s="5">
        <f>SUM(H479:J479)</f>
        <v/>
      </c>
      <c r="L479" s="6">
        <f>IF($K$622=0,0,K479/$K$622)</f>
        <v/>
      </c>
      <c r="M479" s="6">
        <f>M478+L479</f>
        <v/>
      </c>
      <c r="N479" s="9">
        <f>IF(M479&lt;=0.8,"A",IF(M479&lt;=0.95,"B","C"))</f>
        <v/>
      </c>
    </row>
    <row r="480">
      <c r="A480" s="2" t="n">
        <v>479</v>
      </c>
      <c r="B480" s="2" t="inlineStr">
        <is>
          <t>213588</t>
        </is>
      </c>
      <c r="C480" s="2" t="inlineStr">
        <is>
          <t>KIT 2 BRINQUEDO PARA GATOS COM CATNIP - PATINHA - BRANCO</t>
        </is>
      </c>
      <c r="D480" s="4" t="n">
        <v>0</v>
      </c>
      <c r="E480" s="4" t="n">
        <v>5</v>
      </c>
      <c r="F480" s="4" t="n">
        <v>6</v>
      </c>
      <c r="G480" s="4">
        <f>SUM(D480:F480)</f>
        <v/>
      </c>
      <c r="H480" s="5" t="n">
        <v>0</v>
      </c>
      <c r="I480" s="5" t="n">
        <v>74.5</v>
      </c>
      <c r="J480" s="5" t="n">
        <v>89.40000000000001</v>
      </c>
      <c r="K480" s="5">
        <f>SUM(H480:J480)</f>
        <v/>
      </c>
      <c r="L480" s="6">
        <f>IF($K$622=0,0,K480/$K$622)</f>
        <v/>
      </c>
      <c r="M480" s="6">
        <f>M479+L480</f>
        <v/>
      </c>
      <c r="N480" s="9">
        <f>IF(M480&lt;=0.8,"A",IF(M480&lt;=0.95,"B","C"))</f>
        <v/>
      </c>
    </row>
    <row r="481">
      <c r="A481" s="2" t="n">
        <v>480</v>
      </c>
      <c r="B481" s="2" t="inlineStr">
        <is>
          <t>_0773_3</t>
        </is>
      </c>
      <c r="C481" s="2" t="inlineStr">
        <is>
          <t>Kit 3un Tapete Higiênico Ultra Pads Carvão At 60x60cm C/30</t>
        </is>
      </c>
      <c r="D481" s="4" t="n">
        <v>0</v>
      </c>
      <c r="E481" s="4" t="n">
        <v>0</v>
      </c>
      <c r="F481" s="4" t="n">
        <v>1</v>
      </c>
      <c r="G481" s="4">
        <f>SUM(D481:F481)</f>
        <v/>
      </c>
      <c r="H481" s="5" t="n">
        <v>0</v>
      </c>
      <c r="I481" s="5" t="n">
        <v>0</v>
      </c>
      <c r="J481" s="5" t="n">
        <v>159.9</v>
      </c>
      <c r="K481" s="5">
        <f>SUM(H481:J481)</f>
        <v/>
      </c>
      <c r="L481" s="6">
        <f>IF($K$622=0,0,K481/$K$622)</f>
        <v/>
      </c>
      <c r="M481" s="6">
        <f>M480+L481</f>
        <v/>
      </c>
      <c r="N481" s="9">
        <f>IF(M481&lt;=0.8,"A",IF(M481&lt;=0.95,"B","C"))</f>
        <v/>
      </c>
    </row>
    <row r="482">
      <c r="A482" s="2" t="n">
        <v>481</v>
      </c>
      <c r="B482" s="2" t="inlineStr">
        <is>
          <t>Kit com 5 Azul</t>
        </is>
      </c>
      <c r="C482" s="2" t="inlineStr">
        <is>
          <t>Azul</t>
        </is>
      </c>
      <c r="D482" s="4" t="n">
        <v>0</v>
      </c>
      <c r="E482" s="4" t="n">
        <v>2</v>
      </c>
      <c r="F482" s="4" t="n">
        <v>0</v>
      </c>
      <c r="G482" s="4">
        <f>SUM(D482:F482)</f>
        <v/>
      </c>
      <c r="H482" s="5" t="n">
        <v>0</v>
      </c>
      <c r="I482" s="5" t="n">
        <v>159.8</v>
      </c>
      <c r="J482" s="5" t="n">
        <v>0</v>
      </c>
      <c r="K482" s="5">
        <f>SUM(H482:J482)</f>
        <v/>
      </c>
      <c r="L482" s="6">
        <f>IF($K$622=0,0,K482/$K$622)</f>
        <v/>
      </c>
      <c r="M482" s="6">
        <f>M481+L482</f>
        <v/>
      </c>
      <c r="N482" s="9">
        <f>IF(M482&lt;=0.8,"A",IF(M482&lt;=0.95,"B","C"))</f>
        <v/>
      </c>
    </row>
    <row r="483">
      <c r="A483" s="2" t="n">
        <v>482</v>
      </c>
      <c r="B483" s="2" t="inlineStr">
        <is>
          <t>214481</t>
        </is>
      </c>
      <c r="C483" s="2" t="inlineStr">
        <is>
          <t>SHORT ATTACK - 71144-001 - LUPO  - GG - AZUL</t>
        </is>
      </c>
      <c r="D483" s="4" t="n">
        <v>0</v>
      </c>
      <c r="E483" s="4" t="n">
        <v>0</v>
      </c>
      <c r="F483" s="4" t="n">
        <v>2</v>
      </c>
      <c r="G483" s="4">
        <f>SUM(D483:F483)</f>
        <v/>
      </c>
      <c r="H483" s="5" t="n">
        <v>0</v>
      </c>
      <c r="I483" s="5" t="n">
        <v>0</v>
      </c>
      <c r="J483" s="5" t="n">
        <v>159.8</v>
      </c>
      <c r="K483" s="5">
        <f>SUM(H483:J483)</f>
        <v/>
      </c>
      <c r="L483" s="6">
        <f>IF($K$622=0,0,K483/$K$622)</f>
        <v/>
      </c>
      <c r="M483" s="6">
        <f>M482+L483</f>
        <v/>
      </c>
      <c r="N483" s="9">
        <f>IF(M483&lt;=0.8,"A",IF(M483&lt;=0.95,"B","C"))</f>
        <v/>
      </c>
    </row>
    <row r="484">
      <c r="A484" s="2" t="n">
        <v>483</v>
      </c>
      <c r="B484" s="2" t="inlineStr">
        <is>
          <t>KIT10-370ML-VERMELHO</t>
        </is>
      </c>
      <c r="C484" s="2" t="inlineStr">
        <is>
          <t>Kit 3 / 5 ou 10 Potes Vidro Hermético mantimentos marmita 370ml - Pote Hermético - Oliver Home - 10 Potes,Vermelho</t>
        </is>
      </c>
      <c r="D484" s="4" t="n">
        <v>0</v>
      </c>
      <c r="E484" s="4" t="n">
        <v>0</v>
      </c>
      <c r="F484" s="4" t="n">
        <v>2</v>
      </c>
      <c r="G484" s="4">
        <f>SUM(D484:F484)</f>
        <v/>
      </c>
      <c r="H484" s="5" t="n">
        <v>0</v>
      </c>
      <c r="I484" s="5" t="n">
        <v>0</v>
      </c>
      <c r="J484" s="5" t="n">
        <v>155.8</v>
      </c>
      <c r="K484" s="5">
        <f>SUM(H484:J484)</f>
        <v/>
      </c>
      <c r="L484" s="6">
        <f>IF($K$622=0,0,K484/$K$622)</f>
        <v/>
      </c>
      <c r="M484" s="6">
        <f>M483+L484</f>
        <v/>
      </c>
      <c r="N484" s="9">
        <f>IF(M484&lt;=0.8,"A",IF(M484&lt;=0.95,"B","C"))</f>
        <v/>
      </c>
    </row>
    <row r="485">
      <c r="A485" s="2" t="n">
        <v>484</v>
      </c>
      <c r="B485" s="2" t="inlineStr">
        <is>
          <t>VETMAX-PLUS-8COMP</t>
        </is>
      </c>
      <c r="C485" s="2" t="inlineStr">
        <is>
          <t>Vetmax Plus Blister 4 Comprimidos Vermífugo - Vetnil - 8 Comprimidos</t>
        </is>
      </c>
      <c r="D485" s="4" t="n">
        <v>0</v>
      </c>
      <c r="E485" s="4" t="n">
        <v>2</v>
      </c>
      <c r="F485" s="4" t="n">
        <v>0</v>
      </c>
      <c r="G485" s="4">
        <f>SUM(D485:F485)</f>
        <v/>
      </c>
      <c r="H485" s="5" t="n">
        <v>0</v>
      </c>
      <c r="I485" s="5" t="n">
        <v>153.8</v>
      </c>
      <c r="J485" s="5" t="n">
        <v>0</v>
      </c>
      <c r="K485" s="5">
        <f>SUM(H485:J485)</f>
        <v/>
      </c>
      <c r="L485" s="6">
        <f>IF($K$622=0,0,K485/$K$622)</f>
        <v/>
      </c>
      <c r="M485" s="6">
        <f>M484+L485</f>
        <v/>
      </c>
      <c r="N485" s="9">
        <f>IF(M485&lt;=0.8,"A",IF(M485&lt;=0.95,"B","C"))</f>
        <v/>
      </c>
    </row>
    <row r="486">
      <c r="A486" s="2" t="n">
        <v>485</v>
      </c>
      <c r="B486" s="2" t="inlineStr">
        <is>
          <t>215123</t>
        </is>
      </c>
      <c r="C486" s="2" t="inlineStr">
        <is>
          <t>SHORT LSPORT BASIC - 71348 - LUPO - G - VERDE</t>
        </is>
      </c>
      <c r="D486" s="4" t="n">
        <v>0</v>
      </c>
      <c r="E486" s="4" t="n">
        <v>1</v>
      </c>
      <c r="F486" s="4" t="n">
        <v>1</v>
      </c>
      <c r="G486" s="4">
        <f>SUM(D486:F486)</f>
        <v/>
      </c>
      <c r="H486" s="5" t="n">
        <v>0</v>
      </c>
      <c r="I486" s="5" t="n">
        <v>74.95999999999999</v>
      </c>
      <c r="J486" s="5" t="n">
        <v>76.53</v>
      </c>
      <c r="K486" s="5">
        <f>SUM(H486:J486)</f>
        <v/>
      </c>
      <c r="L486" s="6">
        <f>IF($K$622=0,0,K486/$K$622)</f>
        <v/>
      </c>
      <c r="M486" s="6">
        <f>M485+L486</f>
        <v/>
      </c>
      <c r="N486" s="9">
        <f>IF(M486&lt;=0.8,"A",IF(M486&lt;=0.95,"B","C"))</f>
        <v/>
      </c>
    </row>
    <row r="487">
      <c r="A487" s="2" t="n">
        <v>486</v>
      </c>
      <c r="B487" s="2" t="inlineStr">
        <is>
          <t>213682</t>
        </is>
      </c>
      <c r="C487" s="2" t="inlineStr">
        <is>
          <t>KIT PROTETOR DE COLCHÃO  LENÇOL OLIVER HOME G DESCARTÁVEL - KIT 4 - 20 UNIDADES</t>
        </is>
      </c>
      <c r="D487" s="4" t="n">
        <v>0</v>
      </c>
      <c r="E487" s="4" t="n">
        <v>0</v>
      </c>
      <c r="F487" s="4" t="n">
        <v>1</v>
      </c>
      <c r="G487" s="4">
        <f>SUM(D487:F487)</f>
        <v/>
      </c>
      <c r="H487" s="5" t="n">
        <v>0</v>
      </c>
      <c r="I487" s="5" t="n">
        <v>0</v>
      </c>
      <c r="J487" s="5" t="n">
        <v>150.9</v>
      </c>
      <c r="K487" s="5">
        <f>SUM(H487:J487)</f>
        <v/>
      </c>
      <c r="L487" s="6">
        <f>IF($K$622=0,0,K487/$K$622)</f>
        <v/>
      </c>
      <c r="M487" s="6">
        <f>M486+L487</f>
        <v/>
      </c>
      <c r="N487" s="9">
        <f>IF(M487&lt;=0.8,"A",IF(M487&lt;=0.95,"B","C"))</f>
        <v/>
      </c>
    </row>
    <row r="488">
      <c r="A488" s="2" t="n">
        <v>487</v>
      </c>
      <c r="B488" s="2" t="inlineStr">
        <is>
          <t>214023</t>
        </is>
      </c>
      <c r="C488" s="2" t="inlineStr">
        <is>
          <t>SANDUICHEIRA ELÉTRICA 750W  - BRANCA - 110V</t>
        </is>
      </c>
      <c r="D488" s="4" t="n">
        <v>0</v>
      </c>
      <c r="E488" s="4" t="n">
        <v>1</v>
      </c>
      <c r="F488" s="4" t="n">
        <v>0</v>
      </c>
      <c r="G488" s="4">
        <f>SUM(D488:F488)</f>
        <v/>
      </c>
      <c r="H488" s="5" t="n">
        <v>0</v>
      </c>
      <c r="I488" s="5" t="n">
        <v>149.9</v>
      </c>
      <c r="J488" s="5" t="n">
        <v>0</v>
      </c>
      <c r="K488" s="5">
        <f>SUM(H488:J488)</f>
        <v/>
      </c>
      <c r="L488" s="6">
        <f>IF($K$622=0,0,K488/$K$622)</f>
        <v/>
      </c>
      <c r="M488" s="6">
        <f>M487+L488</f>
        <v/>
      </c>
      <c r="N488" s="9">
        <f>IF(M488&lt;=0.8,"A",IF(M488&lt;=0.95,"B","C"))</f>
        <v/>
      </c>
    </row>
    <row r="489">
      <c r="A489" s="2" t="n">
        <v>488</v>
      </c>
      <c r="B489" s="2" t="inlineStr">
        <is>
          <t>213624</t>
        </is>
      </c>
      <c r="C489" s="2" t="inlineStr">
        <is>
          <t>GAIOLA TUBO SUPER LUXO 3 ANDARES - VERMELHO</t>
        </is>
      </c>
      <c r="D489" s="4" t="n">
        <v>0</v>
      </c>
      <c r="E489" s="4" t="n">
        <v>0</v>
      </c>
      <c r="F489" s="4" t="n">
        <v>1</v>
      </c>
      <c r="G489" s="4">
        <f>SUM(D489:F489)</f>
        <v/>
      </c>
      <c r="H489" s="5" t="n">
        <v>0</v>
      </c>
      <c r="I489" s="5" t="n">
        <v>0</v>
      </c>
      <c r="J489" s="5" t="n">
        <v>149.9</v>
      </c>
      <c r="K489" s="5">
        <f>SUM(H489:J489)</f>
        <v/>
      </c>
      <c r="L489" s="6">
        <f>IF($K$622=0,0,K489/$K$622)</f>
        <v/>
      </c>
      <c r="M489" s="6">
        <f>M488+L489</f>
        <v/>
      </c>
      <c r="N489" s="9">
        <f>IF(M489&lt;=0.8,"A",IF(M489&lt;=0.95,"B","C"))</f>
        <v/>
      </c>
    </row>
    <row r="490">
      <c r="A490" s="2" t="n">
        <v>489</v>
      </c>
      <c r="B490" s="2" t="inlineStr">
        <is>
          <t>213626</t>
        </is>
      </c>
      <c r="C490" s="2" t="inlineStr">
        <is>
          <t>GAIOLA TUBO SUPER LUXO 3 ANDARES - ROXO</t>
        </is>
      </c>
      <c r="D490" s="4" t="n">
        <v>0</v>
      </c>
      <c r="E490" s="4" t="n">
        <v>0</v>
      </c>
      <c r="F490" s="4" t="n">
        <v>1</v>
      </c>
      <c r="G490" s="4">
        <f>SUM(D490:F490)</f>
        <v/>
      </c>
      <c r="H490" s="5" t="n">
        <v>0</v>
      </c>
      <c r="I490" s="5" t="n">
        <v>0</v>
      </c>
      <c r="J490" s="5" t="n">
        <v>149.89</v>
      </c>
      <c r="K490" s="5">
        <f>SUM(H490:J490)</f>
        <v/>
      </c>
      <c r="L490" s="6">
        <f>IF($K$622=0,0,K490/$K$622)</f>
        <v/>
      </c>
      <c r="M490" s="6">
        <f>M489+L490</f>
        <v/>
      </c>
      <c r="N490" s="9">
        <f>IF(M490&lt;=0.8,"A",IF(M490&lt;=0.95,"B","C"))</f>
        <v/>
      </c>
    </row>
    <row r="491">
      <c r="A491" s="2" t="n">
        <v>490</v>
      </c>
      <c r="B491" s="2" t="inlineStr">
        <is>
          <t>214596</t>
        </is>
      </c>
      <c r="C491" s="2" t="inlineStr">
        <is>
          <t>TOP BASICO SEM COSTURA - 41300  - LUPO - M - 40 A 42 - NUDE</t>
        </is>
      </c>
      <c r="D491" s="4" t="n">
        <v>0</v>
      </c>
      <c r="E491" s="4" t="n">
        <v>2</v>
      </c>
      <c r="F491" s="4" t="n">
        <v>1</v>
      </c>
      <c r="G491" s="4">
        <f>SUM(D491:F491)</f>
        <v/>
      </c>
      <c r="H491" s="5" t="n">
        <v>0</v>
      </c>
      <c r="I491" s="5" t="n">
        <v>99.8</v>
      </c>
      <c r="J491" s="5" t="n">
        <v>49.9</v>
      </c>
      <c r="K491" s="5">
        <f>SUM(H491:J491)</f>
        <v/>
      </c>
      <c r="L491" s="6">
        <f>IF($K$622=0,0,K491/$K$622)</f>
        <v/>
      </c>
      <c r="M491" s="6">
        <f>M490+L491</f>
        <v/>
      </c>
      <c r="N491" s="9">
        <f>IF(M491&lt;=0.8,"A",IF(M491&lt;=0.95,"B","C"))</f>
        <v/>
      </c>
    </row>
    <row r="492">
      <c r="A492" s="2" t="n">
        <v>491</v>
      </c>
      <c r="B492" s="2" t="inlineStr">
        <is>
          <t>212949</t>
        </is>
      </c>
      <c r="C492" s="2" t="inlineStr">
        <is>
          <t>TAPETE DE BANHEIRO SOFT 60X40CM</t>
        </is>
      </c>
      <c r="D492" s="4" t="n">
        <v>0</v>
      </c>
      <c r="E492" s="4" t="n">
        <v>1</v>
      </c>
      <c r="F492" s="4" t="n">
        <v>4</v>
      </c>
      <c r="G492" s="4">
        <f>SUM(D492:F492)</f>
        <v/>
      </c>
      <c r="H492" s="5" t="n">
        <v>0</v>
      </c>
      <c r="I492" s="5" t="n">
        <v>29.9</v>
      </c>
      <c r="J492" s="5" t="n">
        <v>119.6</v>
      </c>
      <c r="K492" s="5">
        <f>SUM(H492:J492)</f>
        <v/>
      </c>
      <c r="L492" s="6">
        <f>IF($K$622=0,0,K492/$K$622)</f>
        <v/>
      </c>
      <c r="M492" s="6">
        <f>M491+L492</f>
        <v/>
      </c>
      <c r="N492" s="9">
        <f>IF(M492&lt;=0.8,"A",IF(M492&lt;=0.95,"B","C"))</f>
        <v/>
      </c>
    </row>
    <row r="493">
      <c r="A493" s="2" t="n">
        <v>492</v>
      </c>
      <c r="B493" s="2" t="inlineStr">
        <is>
          <t>215322</t>
        </is>
      </c>
      <c r="C493" s="2" t="inlineStr">
        <is>
          <t>PÁ/PENEIRA HIGIENICA IPET - CINZA</t>
        </is>
      </c>
      <c r="D493" s="4" t="n">
        <v>0</v>
      </c>
      <c r="E493" s="4" t="n">
        <v>3</v>
      </c>
      <c r="F493" s="4" t="n">
        <v>6</v>
      </c>
      <c r="G493" s="4">
        <f>SUM(D493:F493)</f>
        <v/>
      </c>
      <c r="H493" s="5" t="n">
        <v>0</v>
      </c>
      <c r="I493" s="5" t="n">
        <v>59.7</v>
      </c>
      <c r="J493" s="5" t="n">
        <v>89.40000000000001</v>
      </c>
      <c r="K493" s="5">
        <f>SUM(H493:J493)</f>
        <v/>
      </c>
      <c r="L493" s="6">
        <f>IF($K$622=0,0,K493/$K$622)</f>
        <v/>
      </c>
      <c r="M493" s="6">
        <f>M492+L493</f>
        <v/>
      </c>
      <c r="N493" s="9">
        <f>IF(M493&lt;=0.8,"A",IF(M493&lt;=0.95,"B","C"))</f>
        <v/>
      </c>
    </row>
    <row r="494">
      <c r="A494" s="2" t="n">
        <v>493</v>
      </c>
      <c r="B494" s="2" t="inlineStr">
        <is>
          <t>0790</t>
        </is>
      </c>
      <c r="C494" s="2" t="inlineStr">
        <is>
          <t>Petlike Tapete Higiênico Para Cães Ultra Pads Lavanda 80cm X 60cm Com 30 Unidades Branco - Branco - Liso</t>
        </is>
      </c>
      <c r="D494" s="4" t="n">
        <v>0</v>
      </c>
      <c r="E494" s="4" t="n">
        <v>0</v>
      </c>
      <c r="F494" s="4" t="n">
        <v>3</v>
      </c>
      <c r="G494" s="4">
        <f>SUM(D494:F494)</f>
        <v/>
      </c>
      <c r="H494" s="5" t="n">
        <v>0</v>
      </c>
      <c r="I494" s="5" t="n">
        <v>0</v>
      </c>
      <c r="J494" s="5" t="n">
        <v>147.33</v>
      </c>
      <c r="K494" s="5">
        <f>SUM(H494:J494)</f>
        <v/>
      </c>
      <c r="L494" s="6">
        <f>IF($K$622=0,0,K494/$K$622)</f>
        <v/>
      </c>
      <c r="M494" s="6">
        <f>M493+L494</f>
        <v/>
      </c>
      <c r="N494" s="9">
        <f>IF(M494&lt;=0.8,"A",IF(M494&lt;=0.95,"B","C"))</f>
        <v/>
      </c>
    </row>
    <row r="495">
      <c r="A495" s="2" t="n">
        <v>494</v>
      </c>
      <c r="B495" s="2" t="inlineStr">
        <is>
          <t>213527</t>
        </is>
      </c>
      <c r="C495" s="2" t="inlineStr">
        <is>
          <t>BRINQUEDO INTERATIVO PARA GATOS VARINHA PÁSSARO COM VENTOSA FIXA  - PRETO</t>
        </is>
      </c>
      <c r="D495" s="4" t="n">
        <v>0</v>
      </c>
      <c r="E495" s="4" t="n">
        <v>3</v>
      </c>
      <c r="F495" s="4" t="n">
        <v>2</v>
      </c>
      <c r="G495" s="4">
        <f>SUM(D495:F495)</f>
        <v/>
      </c>
      <c r="H495" s="5" t="n">
        <v>0</v>
      </c>
      <c r="I495" s="5" t="n">
        <v>89.7</v>
      </c>
      <c r="J495" s="5" t="n">
        <v>54.79</v>
      </c>
      <c r="K495" s="5">
        <f>SUM(H495:J495)</f>
        <v/>
      </c>
      <c r="L495" s="6">
        <f>IF($K$622=0,0,K495/$K$622)</f>
        <v/>
      </c>
      <c r="M495" s="6">
        <f>M494+L495</f>
        <v/>
      </c>
      <c r="N495" s="9">
        <f>IF(M495&lt;=0.8,"A",IF(M495&lt;=0.95,"B","C"))</f>
        <v/>
      </c>
    </row>
    <row r="496">
      <c r="A496" s="2" t="n">
        <v>495</v>
      </c>
      <c r="B496" s="2" t="inlineStr">
        <is>
          <t>TAPETE SOFT CINZA - 6UN</t>
        </is>
      </c>
      <c r="C496" s="2" t="inlineStr">
        <is>
          <t>Tapete Banheiro Peludo Super Absorvente Secagem Rápida e Antiderrapante 40x60cm - Kit 6 Tapetes Cinza</t>
        </is>
      </c>
      <c r="D496" s="4" t="n">
        <v>0</v>
      </c>
      <c r="E496" s="4" t="n">
        <v>1</v>
      </c>
      <c r="F496" s="4" t="n">
        <v>1</v>
      </c>
      <c r="G496" s="4">
        <f>SUM(D496:F496)</f>
        <v/>
      </c>
      <c r="H496" s="5" t="n">
        <v>0</v>
      </c>
      <c r="I496" s="5" t="n">
        <v>71.95</v>
      </c>
      <c r="J496" s="5" t="n">
        <v>71.95</v>
      </c>
      <c r="K496" s="5">
        <f>SUM(H496:J496)</f>
        <v/>
      </c>
      <c r="L496" s="6">
        <f>IF($K$622=0,0,K496/$K$622)</f>
        <v/>
      </c>
      <c r="M496" s="6">
        <f>M495+L496</f>
        <v/>
      </c>
      <c r="N496" s="9">
        <f>IF(M496&lt;=0.8,"A",IF(M496&lt;=0.95,"B","C"))</f>
        <v/>
      </c>
    </row>
    <row r="497">
      <c r="A497" s="2" t="n">
        <v>496</v>
      </c>
      <c r="B497" s="2" t="inlineStr">
        <is>
          <t>213397</t>
        </is>
      </c>
      <c r="C497" s="2" t="inlineStr">
        <is>
          <t>TIURAN SABONETE PARA CÃES</t>
        </is>
      </c>
      <c r="D497" s="4" t="n">
        <v>0</v>
      </c>
      <c r="E497" s="4" t="n">
        <v>4</v>
      </c>
      <c r="F497" s="4" t="n">
        <v>3</v>
      </c>
      <c r="G497" s="4">
        <f>SUM(D497:F497)</f>
        <v/>
      </c>
      <c r="H497" s="5" t="n">
        <v>0</v>
      </c>
      <c r="I497" s="5" t="n">
        <v>79.59999999999999</v>
      </c>
      <c r="J497" s="5" t="n">
        <v>59.7</v>
      </c>
      <c r="K497" s="5">
        <f>SUM(H497:J497)</f>
        <v/>
      </c>
      <c r="L497" s="6">
        <f>IF($K$622=0,0,K497/$K$622)</f>
        <v/>
      </c>
      <c r="M497" s="6">
        <f>M496+L497</f>
        <v/>
      </c>
      <c r="N497" s="9">
        <f>IF(M497&lt;=0.8,"A",IF(M497&lt;=0.95,"B","C"))</f>
        <v/>
      </c>
    </row>
    <row r="498">
      <c r="A498" s="2" t="n">
        <v>497</v>
      </c>
      <c r="B498" s="2" t="inlineStr">
        <is>
          <t>213997</t>
        </is>
      </c>
      <c r="C498" s="2" t="inlineStr">
        <is>
          <t>CABIDE DE VELUDO - PRETO</t>
        </is>
      </c>
      <c r="D498" s="4" t="n">
        <v>0</v>
      </c>
      <c r="E498" s="4" t="n">
        <v>100</v>
      </c>
      <c r="F498" s="4" t="n">
        <v>0</v>
      </c>
      <c r="G498" s="4">
        <f>SUM(D498:F498)</f>
        <v/>
      </c>
      <c r="H498" s="5" t="n">
        <v>0</v>
      </c>
      <c r="I498" s="5" t="n">
        <v>135</v>
      </c>
      <c r="J498" s="5" t="n">
        <v>0</v>
      </c>
      <c r="K498" s="5">
        <f>SUM(H498:J498)</f>
        <v/>
      </c>
      <c r="L498" s="6">
        <f>IF($K$622=0,0,K498/$K$622)</f>
        <v/>
      </c>
      <c r="M498" s="6">
        <f>M497+L498</f>
        <v/>
      </c>
      <c r="N498" s="9">
        <f>IF(M498&lt;=0.8,"A",IF(M498&lt;=0.95,"B","C"))</f>
        <v/>
      </c>
    </row>
    <row r="499">
      <c r="A499" s="2" t="n">
        <v>498</v>
      </c>
      <c r="B499" s="2" t="inlineStr">
        <is>
          <t>213275</t>
        </is>
      </c>
      <c r="C499" s="2" t="inlineStr">
        <is>
          <t>ORGANEW PET 100G</t>
        </is>
      </c>
      <c r="D499" s="4" t="n">
        <v>0</v>
      </c>
      <c r="E499" s="4" t="n">
        <v>2</v>
      </c>
      <c r="F499" s="4" t="n">
        <v>2</v>
      </c>
      <c r="G499" s="4">
        <f>SUM(D499:F499)</f>
        <v/>
      </c>
      <c r="H499" s="5" t="n">
        <v>0</v>
      </c>
      <c r="I499" s="5" t="n">
        <v>65.8</v>
      </c>
      <c r="J499" s="5" t="n">
        <v>65.8</v>
      </c>
      <c r="K499" s="5">
        <f>SUM(H499:J499)</f>
        <v/>
      </c>
      <c r="L499" s="6">
        <f>IF($K$622=0,0,K499/$K$622)</f>
        <v/>
      </c>
      <c r="M499" s="6">
        <f>M498+L499</f>
        <v/>
      </c>
      <c r="N499" s="9">
        <f>IF(M499&lt;=0.8,"A",IF(M499&lt;=0.95,"B","C"))</f>
        <v/>
      </c>
    </row>
    <row r="500">
      <c r="A500" s="2" t="n">
        <v>499</v>
      </c>
      <c r="B500" s="2" t="inlineStr">
        <is>
          <t>213677</t>
        </is>
      </c>
      <c r="C500" s="2" t="inlineStr">
        <is>
          <t>LAVI-FEN DESINFETANTE 1L</t>
        </is>
      </c>
      <c r="D500" s="4" t="n">
        <v>0</v>
      </c>
      <c r="E500" s="4" t="n">
        <v>2</v>
      </c>
      <c r="F500" s="4" t="n">
        <v>0</v>
      </c>
      <c r="G500" s="4">
        <f>SUM(D500:F500)</f>
        <v/>
      </c>
      <c r="H500" s="5" t="n">
        <v>0</v>
      </c>
      <c r="I500" s="5" t="n">
        <v>131.58</v>
      </c>
      <c r="J500" s="5" t="n">
        <v>0</v>
      </c>
      <c r="K500" s="5">
        <f>SUM(H500:J500)</f>
        <v/>
      </c>
      <c r="L500" s="6">
        <f>IF($K$622=0,0,K500/$K$622)</f>
        <v/>
      </c>
      <c r="M500" s="6">
        <f>M499+L500</f>
        <v/>
      </c>
      <c r="N500" s="9">
        <f>IF(M500&lt;=0.8,"A",IF(M500&lt;=0.95,"B","C"))</f>
        <v/>
      </c>
    </row>
    <row r="501">
      <c r="A501" s="2" t="n">
        <v>500</v>
      </c>
      <c r="B501" s="2" t="inlineStr">
        <is>
          <t>215318</t>
        </is>
      </c>
      <c r="C501" s="2" t="inlineStr">
        <is>
          <t>PÁ/PENEIRA HIGIENICA IPET - AZUL</t>
        </is>
      </c>
      <c r="D501" s="4" t="n">
        <v>0</v>
      </c>
      <c r="E501" s="4" t="n">
        <v>3</v>
      </c>
      <c r="F501" s="4" t="n">
        <v>4</v>
      </c>
      <c r="G501" s="4">
        <f>SUM(D501:F501)</f>
        <v/>
      </c>
      <c r="H501" s="5" t="n">
        <v>0</v>
      </c>
      <c r="I501" s="5" t="n">
        <v>29.7</v>
      </c>
      <c r="J501" s="5" t="n">
        <v>99.59999999999999</v>
      </c>
      <c r="K501" s="5">
        <f>SUM(H501:J501)</f>
        <v/>
      </c>
      <c r="L501" s="6">
        <f>IF($K$622=0,0,K501/$K$622)</f>
        <v/>
      </c>
      <c r="M501" s="6">
        <f>M500+L501</f>
        <v/>
      </c>
      <c r="N501" s="9">
        <f>IF(M501&lt;=0.8,"A",IF(M501&lt;=0.95,"B","C"))</f>
        <v/>
      </c>
    </row>
    <row r="502">
      <c r="A502" s="2" t="n">
        <v>501</v>
      </c>
      <c r="B502" s="2" t="inlineStr">
        <is>
          <t>214381</t>
        </is>
      </c>
      <c r="C502" s="2" t="inlineStr">
        <is>
          <t>TOP SEAMLESS MAX II LUPO  - PRETO - P</t>
        </is>
      </c>
      <c r="D502" s="4" t="n">
        <v>0</v>
      </c>
      <c r="E502" s="4" t="n">
        <v>1</v>
      </c>
      <c r="F502" s="4" t="n">
        <v>0</v>
      </c>
      <c r="G502" s="4">
        <f>SUM(D502:F502)</f>
        <v/>
      </c>
      <c r="H502" s="5" t="n">
        <v>0</v>
      </c>
      <c r="I502" s="5" t="n">
        <v>127.3</v>
      </c>
      <c r="J502" s="5" t="n">
        <v>0</v>
      </c>
      <c r="K502" s="5">
        <f>SUM(H502:J502)</f>
        <v/>
      </c>
      <c r="L502" s="6">
        <f>IF($K$622=0,0,K502/$K$622)</f>
        <v/>
      </c>
      <c r="M502" s="6">
        <f>M501+L502</f>
        <v/>
      </c>
      <c r="N502" s="9">
        <f>IF(M502&lt;=0.8,"A",IF(M502&lt;=0.95,"B","C"))</f>
        <v/>
      </c>
    </row>
    <row r="503">
      <c r="A503" s="2" t="n">
        <v>502</v>
      </c>
      <c r="B503" s="2" t="inlineStr">
        <is>
          <t>213451</t>
        </is>
      </c>
      <c r="C503" s="2" t="inlineStr">
        <is>
          <t>TIURAN AEROSSOL 125ML DUPRAT</t>
        </is>
      </c>
      <c r="D503" s="4" t="n">
        <v>0</v>
      </c>
      <c r="E503" s="4" t="n">
        <v>0</v>
      </c>
      <c r="F503" s="4" t="n">
        <v>3</v>
      </c>
      <c r="G503" s="4">
        <f>SUM(D503:F503)</f>
        <v/>
      </c>
      <c r="H503" s="5" t="n">
        <v>0</v>
      </c>
      <c r="I503" s="5" t="n">
        <v>0</v>
      </c>
      <c r="J503" s="5" t="n">
        <v>122.97</v>
      </c>
      <c r="K503" s="5">
        <f>SUM(H503:J503)</f>
        <v/>
      </c>
      <c r="L503" s="6">
        <f>IF($K$622=0,0,K503/$K$622)</f>
        <v/>
      </c>
      <c r="M503" s="6">
        <f>M502+L503</f>
        <v/>
      </c>
      <c r="N503" s="9">
        <f>IF(M503&lt;=0.8,"A",IF(M503&lt;=0.95,"B","C"))</f>
        <v/>
      </c>
    </row>
    <row r="504">
      <c r="A504" s="2" t="n">
        <v>503</v>
      </c>
      <c r="B504" s="2" t="inlineStr">
        <is>
          <t>MAMAEBEBE-30-UNI</t>
        </is>
      </c>
      <c r="C504" s="2" t="inlineStr">
        <is>
          <t>Tapete Higiênico 80x60 Cm Ultrapdas Aroma Mamãe E Bebê 30 Un Branco - Branco - Lisa</t>
        </is>
      </c>
      <c r="D504" s="4" t="n">
        <v>0</v>
      </c>
      <c r="E504" s="4" t="n">
        <v>2</v>
      </c>
      <c r="F504" s="4" t="n">
        <v>0</v>
      </c>
      <c r="G504" s="4">
        <f>SUM(D504:F504)</f>
        <v/>
      </c>
      <c r="H504" s="5" t="n">
        <v>0</v>
      </c>
      <c r="I504" s="5" t="n">
        <v>119.8</v>
      </c>
      <c r="J504" s="5" t="n">
        <v>0</v>
      </c>
      <c r="K504" s="5">
        <f>SUM(H504:J504)</f>
        <v/>
      </c>
      <c r="L504" s="6">
        <f>IF($K$622=0,0,K504/$K$622)</f>
        <v/>
      </c>
      <c r="M504" s="6">
        <f>M503+L504</f>
        <v/>
      </c>
      <c r="N504" s="9">
        <f>IF(M504&lt;=0.8,"A",IF(M504&lt;=0.95,"B","C"))</f>
        <v/>
      </c>
    </row>
    <row r="505">
      <c r="A505" s="2" t="n">
        <v>504</v>
      </c>
      <c r="B505" s="2" t="inlineStr">
        <is>
          <t>215316</t>
        </is>
      </c>
      <c r="C505" s="2" t="inlineStr">
        <is>
          <t>BANDEJA HIGIENICA IPET  - PRETO</t>
        </is>
      </c>
      <c r="D505" s="4" t="n">
        <v>0</v>
      </c>
      <c r="E505" s="4" t="n">
        <v>1</v>
      </c>
      <c r="F505" s="4" t="n">
        <v>3</v>
      </c>
      <c r="G505" s="4">
        <f>SUM(D505:F505)</f>
        <v/>
      </c>
      <c r="H505" s="5" t="n">
        <v>0</v>
      </c>
      <c r="I505" s="5" t="n">
        <v>39.9</v>
      </c>
      <c r="J505" s="5" t="n">
        <v>79.8</v>
      </c>
      <c r="K505" s="5">
        <f>SUM(H505:J505)</f>
        <v/>
      </c>
      <c r="L505" s="6">
        <f>IF($K$622=0,0,K505/$K$622)</f>
        <v/>
      </c>
      <c r="M505" s="6">
        <f>M504+L505</f>
        <v/>
      </c>
      <c r="N505" s="9">
        <f>IF(M505&lt;=0.8,"A",IF(M505&lt;=0.95,"B","C"))</f>
        <v/>
      </c>
    </row>
    <row r="506">
      <c r="A506" s="2" t="n">
        <v>505</v>
      </c>
      <c r="B506" s="2" t="inlineStr">
        <is>
          <t>213764</t>
        </is>
      </c>
      <c r="C506" s="2" t="inlineStr">
        <is>
          <t>CHEMITAL PUPPY VERMIFUGO 20ML CHEMITEC  - 20ML</t>
        </is>
      </c>
      <c r="D506" s="4" t="n">
        <v>0</v>
      </c>
      <c r="E506" s="4" t="n">
        <v>3</v>
      </c>
      <c r="F506" s="4" t="n">
        <v>3</v>
      </c>
      <c r="G506" s="4">
        <f>SUM(D506:F506)</f>
        <v/>
      </c>
      <c r="H506" s="5" t="n">
        <v>0</v>
      </c>
      <c r="I506" s="5" t="n">
        <v>59.7</v>
      </c>
      <c r="J506" s="5" t="n">
        <v>59.7</v>
      </c>
      <c r="K506" s="5">
        <f>SUM(H506:J506)</f>
        <v/>
      </c>
      <c r="L506" s="6">
        <f>IF($K$622=0,0,K506/$K$622)</f>
        <v/>
      </c>
      <c r="M506" s="6">
        <f>M505+L506</f>
        <v/>
      </c>
      <c r="N506" s="9">
        <f>IF(M506&lt;=0.8,"A",IF(M506&lt;=0.95,"B","C"))</f>
        <v/>
      </c>
    </row>
    <row r="507">
      <c r="A507" s="2" t="n">
        <v>506</v>
      </c>
      <c r="B507" s="2" t="inlineStr">
        <is>
          <t>214764</t>
        </is>
      </c>
      <c r="C507" s="2" t="inlineStr">
        <is>
          <t>SUTIA BASICO SEM COSTURA - 41100 - LUPO - G - 44 A 46 - PRETO</t>
        </is>
      </c>
      <c r="D507" s="4" t="n">
        <v>0</v>
      </c>
      <c r="E507" s="4" t="n">
        <v>3</v>
      </c>
      <c r="F507" s="4" t="n">
        <v>0</v>
      </c>
      <c r="G507" s="4">
        <f>SUM(D507:F507)</f>
        <v/>
      </c>
      <c r="H507" s="5" t="n">
        <v>0</v>
      </c>
      <c r="I507" s="5" t="n">
        <v>118.1</v>
      </c>
      <c r="J507" s="5" t="n">
        <v>0</v>
      </c>
      <c r="K507" s="5">
        <f>SUM(H507:J507)</f>
        <v/>
      </c>
      <c r="L507" s="6">
        <f>IF($K$622=0,0,K507/$K$622)</f>
        <v/>
      </c>
      <c r="M507" s="6">
        <f>M506+L507</f>
        <v/>
      </c>
      <c r="N507" s="9">
        <f>IF(M507&lt;=0.8,"A",IF(M507&lt;=0.95,"B","C"))</f>
        <v/>
      </c>
    </row>
    <row r="508">
      <c r="A508" s="2" t="n">
        <v>507</v>
      </c>
      <c r="B508" s="2" t="inlineStr">
        <is>
          <t>214599</t>
        </is>
      </c>
      <c r="C508" s="2" t="inlineStr">
        <is>
          <t>TOP BASICO SEM COSTURA - 41300  - LUPO - P - 36 A 38 - PRETO</t>
        </is>
      </c>
      <c r="D508" s="4" t="n">
        <v>1</v>
      </c>
      <c r="E508" s="4" t="n">
        <v>2</v>
      </c>
      <c r="F508" s="4" t="n">
        <v>0</v>
      </c>
      <c r="G508" s="4">
        <f>SUM(D508:F508)</f>
        <v/>
      </c>
      <c r="H508" s="5" t="n">
        <v>39.9</v>
      </c>
      <c r="I508" s="5" t="n">
        <v>75.81999999999999</v>
      </c>
      <c r="J508" s="5" t="n">
        <v>0</v>
      </c>
      <c r="K508" s="5">
        <f>SUM(H508:J508)</f>
        <v/>
      </c>
      <c r="L508" s="6">
        <f>IF($K$622=0,0,K508/$K$622)</f>
        <v/>
      </c>
      <c r="M508" s="6">
        <f>M507+L508</f>
        <v/>
      </c>
      <c r="N508" s="9">
        <f>IF(M508&lt;=0.8,"A",IF(M508&lt;=0.95,"B","C"))</f>
        <v/>
      </c>
    </row>
    <row r="509">
      <c r="A509" s="2" t="n">
        <v>508</v>
      </c>
      <c r="B509" s="2" t="inlineStr">
        <is>
          <t>215137</t>
        </is>
      </c>
      <c r="C509" s="2" t="inlineStr">
        <is>
          <t>MORDEDOR OSSO PARA CÃES TRUQYS - PEIXE</t>
        </is>
      </c>
      <c r="D509" s="4" t="n">
        <v>0</v>
      </c>
      <c r="E509" s="4" t="n">
        <v>0</v>
      </c>
      <c r="F509" s="4" t="n">
        <v>3</v>
      </c>
      <c r="G509" s="4">
        <f>SUM(D509:F509)</f>
        <v/>
      </c>
      <c r="H509" s="5" t="n">
        <v>0</v>
      </c>
      <c r="I509" s="5" t="n">
        <v>0</v>
      </c>
      <c r="J509" s="5" t="n">
        <v>110.7</v>
      </c>
      <c r="K509" s="5">
        <f>SUM(H509:J509)</f>
        <v/>
      </c>
      <c r="L509" s="6">
        <f>IF($K$622=0,0,K509/$K$622)</f>
        <v/>
      </c>
      <c r="M509" s="6">
        <f>M508+L509</f>
        <v/>
      </c>
      <c r="N509" s="9">
        <f>IF(M509&lt;=0.8,"A",IF(M509&lt;=0.95,"B","C"))</f>
        <v/>
      </c>
    </row>
    <row r="510">
      <c r="A510" s="2" t="n">
        <v>509</v>
      </c>
      <c r="B510" s="2" t="inlineStr">
        <is>
          <t>Kit pote 5 un 640ml sortido</t>
        </is>
      </c>
      <c r="C510" s="2" t="inlineStr">
        <is>
          <t>Sortido</t>
        </is>
      </c>
      <c r="D510" s="4" t="n">
        <v>0</v>
      </c>
      <c r="E510" s="4" t="n">
        <v>1</v>
      </c>
      <c r="F510" s="4" t="n">
        <v>0</v>
      </c>
      <c r="G510" s="4">
        <f>SUM(D510:F510)</f>
        <v/>
      </c>
      <c r="H510" s="5" t="n">
        <v>0</v>
      </c>
      <c r="I510" s="5" t="n">
        <v>109.9</v>
      </c>
      <c r="J510" s="5" t="n">
        <v>0</v>
      </c>
      <c r="K510" s="5">
        <f>SUM(H510:J510)</f>
        <v/>
      </c>
      <c r="L510" s="6">
        <f>IF($K$622=0,0,K510/$K$622)</f>
        <v/>
      </c>
      <c r="M510" s="6">
        <f>M509+L510</f>
        <v/>
      </c>
      <c r="N510" s="9">
        <f>IF(M510&lt;=0.8,"A",IF(M510&lt;=0.95,"B","C"))</f>
        <v/>
      </c>
    </row>
    <row r="511">
      <c r="A511" s="2" t="n">
        <v>510</v>
      </c>
      <c r="B511" s="2" t="inlineStr">
        <is>
          <t>216056</t>
        </is>
      </c>
      <c r="C511" s="2" t="inlineStr">
        <is>
          <t>Kit com 5, 640ml, Azul</t>
        </is>
      </c>
      <c r="D511" s="4" t="n">
        <v>0</v>
      </c>
      <c r="E511" s="4" t="n">
        <v>1</v>
      </c>
      <c r="F511" s="4" t="n">
        <v>0</v>
      </c>
      <c r="G511" s="4">
        <f>SUM(D511:F511)</f>
        <v/>
      </c>
      <c r="H511" s="5" t="n">
        <v>0</v>
      </c>
      <c r="I511" s="5" t="n">
        <v>109.9</v>
      </c>
      <c r="J511" s="5" t="n">
        <v>0</v>
      </c>
      <c r="K511" s="5">
        <f>SUM(H511:J511)</f>
        <v/>
      </c>
      <c r="L511" s="6">
        <f>IF($K$622=0,0,K511/$K$622)</f>
        <v/>
      </c>
      <c r="M511" s="6">
        <f>M510+L511</f>
        <v/>
      </c>
      <c r="N511" s="9">
        <f>IF(M511&lt;=0.8,"A",IF(M511&lt;=0.95,"B","C"))</f>
        <v/>
      </c>
    </row>
    <row r="512">
      <c r="A512" s="2" t="n">
        <v>511</v>
      </c>
      <c r="B512" s="2" t="inlineStr">
        <is>
          <t>213691</t>
        </is>
      </c>
      <c r="C512" s="2" t="inlineStr">
        <is>
          <t>KIT INVICTO ANTIPULGAS GATO E CACHORRO - BLISTER C/1 COMP - 11.4MG - 2 BLISTER</t>
        </is>
      </c>
      <c r="D512" s="4" t="n">
        <v>0</v>
      </c>
      <c r="E512" s="4" t="n">
        <v>2</v>
      </c>
      <c r="F512" s="4" t="n">
        <v>0</v>
      </c>
      <c r="G512" s="4">
        <f>SUM(D512:F512)</f>
        <v/>
      </c>
      <c r="H512" s="5" t="n">
        <v>0</v>
      </c>
      <c r="I512" s="5" t="n">
        <v>109.8</v>
      </c>
      <c r="J512" s="5" t="n">
        <v>0</v>
      </c>
      <c r="K512" s="5">
        <f>SUM(H512:J512)</f>
        <v/>
      </c>
      <c r="L512" s="6">
        <f>IF($K$622=0,0,K512/$K$622)</f>
        <v/>
      </c>
      <c r="M512" s="6">
        <f>M511+L512</f>
        <v/>
      </c>
      <c r="N512" s="9">
        <f>IF(M512&lt;=0.8,"A",IF(M512&lt;=0.95,"B","C"))</f>
        <v/>
      </c>
    </row>
    <row r="513">
      <c r="A513" s="2" t="n">
        <v>512</v>
      </c>
      <c r="B513" s="2" t="inlineStr">
        <is>
          <t>213413</t>
        </is>
      </c>
      <c r="C513" s="2" t="inlineStr">
        <is>
          <t>DUPRANCIL ANTIBACTERICIDA EM PÓ DUPRAT</t>
        </is>
      </c>
      <c r="D513" s="4" t="n">
        <v>0</v>
      </c>
      <c r="E513" s="4" t="n">
        <v>0</v>
      </c>
      <c r="F513" s="4" t="n">
        <v>3</v>
      </c>
      <c r="G513" s="4">
        <f>SUM(D513:F513)</f>
        <v/>
      </c>
      <c r="H513" s="5" t="n">
        <v>0</v>
      </c>
      <c r="I513" s="5" t="n">
        <v>0</v>
      </c>
      <c r="J513" s="5" t="n">
        <v>107.7</v>
      </c>
      <c r="K513" s="5">
        <f>SUM(H513:J513)</f>
        <v/>
      </c>
      <c r="L513" s="6">
        <f>IF($K$622=0,0,K513/$K$622)</f>
        <v/>
      </c>
      <c r="M513" s="6">
        <f>M512+L513</f>
        <v/>
      </c>
      <c r="N513" s="9">
        <f>IF(M513&lt;=0.8,"A",IF(M513&lt;=0.95,"B","C"))</f>
        <v/>
      </c>
    </row>
    <row r="514">
      <c r="A514" s="2" t="n">
        <v>513</v>
      </c>
      <c r="B514" s="2" t="inlineStr">
        <is>
          <t>213594</t>
        </is>
      </c>
      <c r="C514" s="2" t="inlineStr">
        <is>
          <t>KIT 2 BRINQUEDO PARA GATOS COM CATNIP - PATINHA - ROSA</t>
        </is>
      </c>
      <c r="D514" s="4" t="n">
        <v>0</v>
      </c>
      <c r="E514" s="4" t="n">
        <v>4</v>
      </c>
      <c r="F514" s="4" t="n">
        <v>3</v>
      </c>
      <c r="G514" s="4">
        <f>SUM(D514:F514)</f>
        <v/>
      </c>
      <c r="H514" s="5" t="n">
        <v>0</v>
      </c>
      <c r="I514" s="5" t="n">
        <v>59.6</v>
      </c>
      <c r="J514" s="5" t="n">
        <v>44.7</v>
      </c>
      <c r="K514" s="5">
        <f>SUM(H514:J514)</f>
        <v/>
      </c>
      <c r="L514" s="6">
        <f>IF($K$622=0,0,K514/$K$622)</f>
        <v/>
      </c>
      <c r="M514" s="6">
        <f>M513+L514</f>
        <v/>
      </c>
      <c r="N514" s="9">
        <f>IF(M514&lt;=0.8,"A",IF(M514&lt;=0.95,"B","C"))</f>
        <v/>
      </c>
    </row>
    <row r="515">
      <c r="A515" s="2" t="n">
        <v>514</v>
      </c>
      <c r="B515" s="2" t="inlineStr">
        <is>
          <t>215138</t>
        </is>
      </c>
      <c r="C515" s="2" t="inlineStr">
        <is>
          <t>MORDEDOR OSSO PARA CÃES TRUQYS - OSSO PEQUENO</t>
        </is>
      </c>
      <c r="D515" s="4" t="n">
        <v>0</v>
      </c>
      <c r="E515" s="4" t="n">
        <v>2</v>
      </c>
      <c r="F515" s="4" t="n">
        <v>2</v>
      </c>
      <c r="G515" s="4">
        <f>SUM(D515:F515)</f>
        <v/>
      </c>
      <c r="H515" s="5" t="n">
        <v>0</v>
      </c>
      <c r="I515" s="5" t="n">
        <v>53.8</v>
      </c>
      <c r="J515" s="5" t="n">
        <v>46.8</v>
      </c>
      <c r="K515" s="5">
        <f>SUM(H515:J515)</f>
        <v/>
      </c>
      <c r="L515" s="6">
        <f>IF($K$622=0,0,K515/$K$622)</f>
        <v/>
      </c>
      <c r="M515" s="6">
        <f>M514+L515</f>
        <v/>
      </c>
      <c r="N515" s="9">
        <f>IF(M515&lt;=0.8,"A",IF(M515&lt;=0.95,"B","C"))</f>
        <v/>
      </c>
    </row>
    <row r="516">
      <c r="A516" s="2" t="n">
        <v>515</v>
      </c>
      <c r="B516" s="2" t="inlineStr">
        <is>
          <t>KIT-20-CAB-VEL-BR</t>
        </is>
      </c>
      <c r="C516" s="2" t="inlineStr">
        <is>
          <t>Branco, 20 UNIDADES</t>
        </is>
      </c>
      <c r="D516" s="4" t="n">
        <v>0</v>
      </c>
      <c r="E516" s="4" t="n">
        <v>0</v>
      </c>
      <c r="F516" s="4" t="n">
        <v>1</v>
      </c>
      <c r="G516" s="4">
        <f>SUM(D516:F516)</f>
        <v/>
      </c>
      <c r="H516" s="5" t="n">
        <v>0</v>
      </c>
      <c r="I516" s="5" t="n">
        <v>0</v>
      </c>
      <c r="J516" s="5" t="n">
        <v>99.90000000000001</v>
      </c>
      <c r="K516" s="5">
        <f>SUM(H516:J516)</f>
        <v/>
      </c>
      <c r="L516" s="6">
        <f>IF($K$622=0,0,K516/$K$622)</f>
        <v/>
      </c>
      <c r="M516" s="6">
        <f>M515+L516</f>
        <v/>
      </c>
      <c r="N516" s="9">
        <f>IF(M516&lt;=0.8,"A",IF(M516&lt;=0.95,"B","C"))</f>
        <v/>
      </c>
    </row>
    <row r="517">
      <c r="A517" s="2" t="n">
        <v>516</v>
      </c>
      <c r="B517" s="2" t="inlineStr">
        <is>
          <t>KIT-30-CAB-VEL-BR</t>
        </is>
      </c>
      <c r="C517" s="2" t="inlineStr">
        <is>
          <t>Branco, 30 UNIDADES</t>
        </is>
      </c>
      <c r="D517" s="4" t="n">
        <v>0</v>
      </c>
      <c r="E517" s="4" t="n">
        <v>0</v>
      </c>
      <c r="F517" s="4" t="n">
        <v>1</v>
      </c>
      <c r="G517" s="4">
        <f>SUM(D517:F517)</f>
        <v/>
      </c>
      <c r="H517" s="5" t="n">
        <v>0</v>
      </c>
      <c r="I517" s="5" t="n">
        <v>0</v>
      </c>
      <c r="J517" s="5" t="n">
        <v>99.90000000000001</v>
      </c>
      <c r="K517" s="5">
        <f>SUM(H517:J517)</f>
        <v/>
      </c>
      <c r="L517" s="6">
        <f>IF($K$622=0,0,K517/$K$622)</f>
        <v/>
      </c>
      <c r="M517" s="6">
        <f>M516+L517</f>
        <v/>
      </c>
      <c r="N517" s="9">
        <f>IF(M517&lt;=0.8,"A",IF(M517&lt;=0.95,"B","C"))</f>
        <v/>
      </c>
    </row>
    <row r="518">
      <c r="A518" s="2" t="n">
        <v>517</v>
      </c>
      <c r="B518" s="2" t="inlineStr">
        <is>
          <t>214190</t>
        </is>
      </c>
      <c r="C518" s="2" t="inlineStr">
        <is>
          <t>FORTH FLORES FERTILIZANTE 3KG</t>
        </is>
      </c>
      <c r="D518" s="4" t="n">
        <v>0</v>
      </c>
      <c r="E518" s="4" t="n">
        <v>0</v>
      </c>
      <c r="F518" s="4" t="n">
        <v>1</v>
      </c>
      <c r="G518" s="4">
        <f>SUM(D518:F518)</f>
        <v/>
      </c>
      <c r="H518" s="5" t="n">
        <v>0</v>
      </c>
      <c r="I518" s="5" t="n">
        <v>0</v>
      </c>
      <c r="J518" s="5" t="n">
        <v>99.90000000000001</v>
      </c>
      <c r="K518" s="5">
        <f>SUM(H518:J518)</f>
        <v/>
      </c>
      <c r="L518" s="6">
        <f>IF($K$622=0,0,K518/$K$622)</f>
        <v/>
      </c>
      <c r="M518" s="6">
        <f>M517+L518</f>
        <v/>
      </c>
      <c r="N518" s="9">
        <f>IF(M518&lt;=0.8,"A",IF(M518&lt;=0.95,"B","C"))</f>
        <v/>
      </c>
    </row>
    <row r="519">
      <c r="A519" s="2" t="n">
        <v>518</v>
      </c>
      <c r="B519" s="2" t="inlineStr">
        <is>
          <t>215271</t>
        </is>
      </c>
      <c r="C519" s="2" t="inlineStr">
        <is>
          <t>LAVIZ MO PET 30G LAVIZOO</t>
        </is>
      </c>
      <c r="D519" s="4" t="n">
        <v>0</v>
      </c>
      <c r="E519" s="4" t="n">
        <v>0</v>
      </c>
      <c r="F519" s="4" t="n">
        <v>2</v>
      </c>
      <c r="G519" s="4">
        <f>SUM(D519:F519)</f>
        <v/>
      </c>
      <c r="H519" s="5" t="n">
        <v>0</v>
      </c>
      <c r="I519" s="5" t="n">
        <v>0</v>
      </c>
      <c r="J519" s="5" t="n">
        <v>99.8</v>
      </c>
      <c r="K519" s="5">
        <f>SUM(H519:J519)</f>
        <v/>
      </c>
      <c r="L519" s="6">
        <f>IF($K$622=0,0,K519/$K$622)</f>
        <v/>
      </c>
      <c r="M519" s="6">
        <f>M518+L519</f>
        <v/>
      </c>
      <c r="N519" s="9">
        <f>IF(M519&lt;=0.8,"A",IF(M519&lt;=0.95,"B","C"))</f>
        <v/>
      </c>
    </row>
    <row r="520">
      <c r="A520" s="2" t="n">
        <v>519</v>
      </c>
      <c r="B520" s="2" t="inlineStr">
        <is>
          <t>215191</t>
        </is>
      </c>
      <c r="C520" s="2" t="inlineStr">
        <is>
          <t>MANGUITO PROTECAO UV - 15002 - LUPO - FÚCSIA - M</t>
        </is>
      </c>
      <c r="D520" s="4" t="n">
        <v>0</v>
      </c>
      <c r="E520" s="4" t="n">
        <v>0</v>
      </c>
      <c r="F520" s="4" t="n">
        <v>2</v>
      </c>
      <c r="G520" s="4">
        <f>SUM(D520:F520)</f>
        <v/>
      </c>
      <c r="H520" s="5" t="n">
        <v>0</v>
      </c>
      <c r="I520" s="5" t="n">
        <v>0</v>
      </c>
      <c r="J520" s="5" t="n">
        <v>99.8</v>
      </c>
      <c r="K520" s="5">
        <f>SUM(H520:J520)</f>
        <v/>
      </c>
      <c r="L520" s="6">
        <f>IF($K$622=0,0,K520/$K$622)</f>
        <v/>
      </c>
      <c r="M520" s="6">
        <f>M519+L520</f>
        <v/>
      </c>
      <c r="N520" s="9">
        <f>IF(M520&lt;=0.8,"A",IF(M520&lt;=0.95,"B","C"))</f>
        <v/>
      </c>
    </row>
    <row r="521">
      <c r="A521" s="2" t="n">
        <v>520</v>
      </c>
      <c r="B521" s="2" t="inlineStr">
        <is>
          <t>SORO-ANTITETANICO-5ML</t>
        </is>
      </c>
      <c r="C521" s="2" t="inlineStr">
        <is>
          <t>Soro Antitetânico Liofilizado Vencosat 5.500 UI 5ml</t>
        </is>
      </c>
      <c r="D521" s="4" t="n">
        <v>0</v>
      </c>
      <c r="E521" s="4" t="n">
        <v>0</v>
      </c>
      <c r="F521" s="4" t="n">
        <v>4</v>
      </c>
      <c r="G521" s="4">
        <f>SUM(D521:F521)</f>
        <v/>
      </c>
      <c r="H521" s="5" t="n">
        <v>0</v>
      </c>
      <c r="I521" s="5" t="n">
        <v>0</v>
      </c>
      <c r="J521" s="5" t="n">
        <v>99.59999999999999</v>
      </c>
      <c r="K521" s="5">
        <f>SUM(H521:J521)</f>
        <v/>
      </c>
      <c r="L521" s="6">
        <f>IF($K$622=0,0,K521/$K$622)</f>
        <v/>
      </c>
      <c r="M521" s="6">
        <f>M520+L521</f>
        <v/>
      </c>
      <c r="N521" s="9">
        <f>IF(M521&lt;=0.8,"A",IF(M521&lt;=0.95,"B","C"))</f>
        <v/>
      </c>
    </row>
    <row r="522">
      <c r="A522" s="2" t="n">
        <v>521</v>
      </c>
      <c r="B522" s="2" t="inlineStr">
        <is>
          <t>213731</t>
        </is>
      </c>
      <c r="C522" s="2" t="inlineStr">
        <is>
          <t>KIT ELO-XICAM ANTI-INFLAMATÓRIO CÃES 2.0MG C/10 COMP - 1 CAIXA - 1 COMPRIMIDOS</t>
        </is>
      </c>
      <c r="D522" s="4" t="n">
        <v>0</v>
      </c>
      <c r="E522" s="4" t="n">
        <v>2</v>
      </c>
      <c r="F522" s="4" t="n">
        <v>3</v>
      </c>
      <c r="G522" s="4">
        <f>SUM(D522:F522)</f>
        <v/>
      </c>
      <c r="H522" s="5" t="n">
        <v>0</v>
      </c>
      <c r="I522" s="5" t="n">
        <v>39.8</v>
      </c>
      <c r="J522" s="5" t="n">
        <v>59.7</v>
      </c>
      <c r="K522" s="5">
        <f>SUM(H522:J522)</f>
        <v/>
      </c>
      <c r="L522" s="6">
        <f>IF($K$622=0,0,K522/$K$622)</f>
        <v/>
      </c>
      <c r="M522" s="6">
        <f>M521+L522</f>
        <v/>
      </c>
      <c r="N522" s="9">
        <f>IF(M522&lt;=0.8,"A",IF(M522&lt;=0.95,"B","C"))</f>
        <v/>
      </c>
    </row>
    <row r="523">
      <c r="A523" s="2" t="n">
        <v>522</v>
      </c>
      <c r="B523" s="2" t="inlineStr">
        <is>
          <t>215929</t>
        </is>
      </c>
      <c r="C523" s="2" t="inlineStr">
        <is>
          <t>MANGUITO PROTECAO UV - 15002 - LUPO - AZUL - G</t>
        </is>
      </c>
      <c r="D523" s="4" t="n">
        <v>0</v>
      </c>
      <c r="E523" s="4" t="n">
        <v>0</v>
      </c>
      <c r="F523" s="4" t="n">
        <v>2</v>
      </c>
      <c r="G523" s="4">
        <f>SUM(D523:F523)</f>
        <v/>
      </c>
      <c r="H523" s="5" t="n">
        <v>0</v>
      </c>
      <c r="I523" s="5" t="n">
        <v>0</v>
      </c>
      <c r="J523" s="5" t="n">
        <v>98.8</v>
      </c>
      <c r="K523" s="5">
        <f>SUM(H523:J523)</f>
        <v/>
      </c>
      <c r="L523" s="6">
        <f>IF($K$622=0,0,K523/$K$622)</f>
        <v/>
      </c>
      <c r="M523" s="6">
        <f>M522+L523</f>
        <v/>
      </c>
      <c r="N523" s="9">
        <f>IF(M523&lt;=0.8,"A",IF(M523&lt;=0.95,"B","C"))</f>
        <v/>
      </c>
    </row>
    <row r="524">
      <c r="A524" s="2" t="n">
        <v>523</v>
      </c>
      <c r="B524" s="2" t="inlineStr">
        <is>
          <t>214238</t>
        </is>
      </c>
      <c r="C524" s="2" t="inlineStr">
        <is>
          <t>KIT CESTO DE ROUPA BAMBU 70L - RETANGULAR - 1 UNIDADE</t>
        </is>
      </c>
      <c r="D524" s="4" t="n">
        <v>0</v>
      </c>
      <c r="E524" s="4" t="n">
        <v>0</v>
      </c>
      <c r="F524" s="4" t="n">
        <v>1</v>
      </c>
      <c r="G524" s="4">
        <f>SUM(D524:F524)</f>
        <v/>
      </c>
      <c r="H524" s="5" t="n">
        <v>0</v>
      </c>
      <c r="I524" s="5" t="n">
        <v>0</v>
      </c>
      <c r="J524" s="5" t="n">
        <v>96.84999999999999</v>
      </c>
      <c r="K524" s="5">
        <f>SUM(H524:J524)</f>
        <v/>
      </c>
      <c r="L524" s="6">
        <f>IF($K$622=0,0,K524/$K$622)</f>
        <v/>
      </c>
      <c r="M524" s="6">
        <f>M523+L524</f>
        <v/>
      </c>
      <c r="N524" s="9">
        <f>IF(M524&lt;=0.8,"A",IF(M524&lt;=0.95,"B","C"))</f>
        <v/>
      </c>
    </row>
    <row r="525">
      <c r="A525" s="2" t="n">
        <v>524</v>
      </c>
      <c r="B525" s="2" t="inlineStr">
        <is>
          <t>215777</t>
        </is>
      </c>
      <c r="C525" s="2" t="inlineStr">
        <is>
          <t>KIT POTE DE VIDRO MARMITA - 370ML - SORTIDO - 6 POTES</t>
        </is>
      </c>
      <c r="D525" s="4" t="n">
        <v>0</v>
      </c>
      <c r="E525" s="4" t="n">
        <v>1</v>
      </c>
      <c r="F525" s="4" t="n">
        <v>0</v>
      </c>
      <c r="G525" s="4">
        <f>SUM(D525:F525)</f>
        <v/>
      </c>
      <c r="H525" s="5" t="n">
        <v>0</v>
      </c>
      <c r="I525" s="5" t="n">
        <v>94.91</v>
      </c>
      <c r="J525" s="5" t="n">
        <v>0</v>
      </c>
      <c r="K525" s="5">
        <f>SUM(H525:J525)</f>
        <v/>
      </c>
      <c r="L525" s="6">
        <f>IF($K$622=0,0,K525/$K$622)</f>
        <v/>
      </c>
      <c r="M525" s="6">
        <f>M524+L525</f>
        <v/>
      </c>
      <c r="N525" s="9">
        <f>IF(M525&lt;=0.8,"A",IF(M525&lt;=0.95,"B","C"))</f>
        <v/>
      </c>
    </row>
    <row r="526">
      <c r="A526" s="2" t="n">
        <v>525</v>
      </c>
      <c r="B526" s="2" t="inlineStr">
        <is>
          <t>213278</t>
        </is>
      </c>
      <c r="C526" s="2" t="inlineStr">
        <is>
          <t>PROBIOTICO VETNIL C/G 14G</t>
        </is>
      </c>
      <c r="D526" s="4" t="n">
        <v>0</v>
      </c>
      <c r="E526" s="4" t="n">
        <v>1</v>
      </c>
      <c r="F526" s="4" t="n">
        <v>1</v>
      </c>
      <c r="G526" s="4">
        <f>SUM(D526:F526)</f>
        <v/>
      </c>
      <c r="H526" s="5" t="n">
        <v>0</v>
      </c>
      <c r="I526" s="5" t="n">
        <v>46.9</v>
      </c>
      <c r="J526" s="5" t="n">
        <v>46.9</v>
      </c>
      <c r="K526" s="5">
        <f>SUM(H526:J526)</f>
        <v/>
      </c>
      <c r="L526" s="6">
        <f>IF($K$622=0,0,K526/$K$622)</f>
        <v/>
      </c>
      <c r="M526" s="6">
        <f>M525+L526</f>
        <v/>
      </c>
      <c r="N526" s="9">
        <f>IF(M526&lt;=0.8,"A",IF(M526&lt;=0.95,"B","C"))</f>
        <v/>
      </c>
    </row>
    <row r="527">
      <c r="A527" s="2" t="n">
        <v>526</v>
      </c>
      <c r="B527" s="2" t="inlineStr">
        <is>
          <t>214239</t>
        </is>
      </c>
      <c r="C527" s="2" t="inlineStr">
        <is>
          <t>KIT CESTO DE ROUPA BAMBU 70L - CIRCULO - 1 UNIDADE</t>
        </is>
      </c>
      <c r="D527" s="4" t="n">
        <v>0</v>
      </c>
      <c r="E527" s="4" t="n">
        <v>0</v>
      </c>
      <c r="F527" s="4" t="n">
        <v>1</v>
      </c>
      <c r="G527" s="4">
        <f>SUM(D527:F527)</f>
        <v/>
      </c>
      <c r="H527" s="5" t="n">
        <v>0</v>
      </c>
      <c r="I527" s="5" t="n">
        <v>0</v>
      </c>
      <c r="J527" s="5" t="n">
        <v>91.75</v>
      </c>
      <c r="K527" s="5">
        <f>SUM(H527:J527)</f>
        <v/>
      </c>
      <c r="L527" s="6">
        <f>IF($K$622=0,0,K527/$K$622)</f>
        <v/>
      </c>
      <c r="M527" s="6">
        <f>M526+L527</f>
        <v/>
      </c>
      <c r="N527" s="9">
        <f>IF(M527&lt;=0.8,"A",IF(M527&lt;=0.95,"B","C"))</f>
        <v/>
      </c>
    </row>
    <row r="528">
      <c r="A528" s="2" t="n">
        <v>527</v>
      </c>
      <c r="B528" s="2" t="inlineStr">
        <is>
          <t>AREIA-EDB-8KG-GG</t>
        </is>
      </c>
      <c r="C528" s="2" t="inlineStr">
        <is>
          <t>Areia Higiênica Biodegradável Espaço do Bicho Grãos Grossos 4kg – Milho e Mandioca (100% Natural) - 8KG,Grãos Grossos</t>
        </is>
      </c>
      <c r="D528" s="4" t="n">
        <v>0</v>
      </c>
      <c r="E528" s="4" t="n">
        <v>0</v>
      </c>
      <c r="F528" s="4" t="n">
        <v>1</v>
      </c>
      <c r="G528" s="4">
        <f>SUM(D528:F528)</f>
        <v/>
      </c>
      <c r="H528" s="5" t="n">
        <v>0</v>
      </c>
      <c r="I528" s="5" t="n">
        <v>0</v>
      </c>
      <c r="J528" s="5" t="n">
        <v>90.90000000000001</v>
      </c>
      <c r="K528" s="5">
        <f>SUM(H528:J528)</f>
        <v/>
      </c>
      <c r="L528" s="6">
        <f>IF($K$622=0,0,K528/$K$622)</f>
        <v/>
      </c>
      <c r="M528" s="6">
        <f>M527+L528</f>
        <v/>
      </c>
      <c r="N528" s="9">
        <f>IF(M528&lt;=0.8,"A",IF(M528&lt;=0.95,"B","C"))</f>
        <v/>
      </c>
    </row>
    <row r="529">
      <c r="A529" s="2" t="n">
        <v>528</v>
      </c>
      <c r="B529" s="2" t="inlineStr">
        <is>
          <t>0837</t>
        </is>
      </c>
      <c r="C529" s="2" t="inlineStr">
        <is>
          <t>Padrão</t>
        </is>
      </c>
      <c r="D529" s="4" t="n">
        <v>0</v>
      </c>
      <c r="E529" s="4" t="n">
        <v>0</v>
      </c>
      <c r="F529" s="4" t="n">
        <v>1</v>
      </c>
      <c r="G529" s="4">
        <f>SUM(D529:F529)</f>
        <v/>
      </c>
      <c r="H529" s="5" t="n">
        <v>0</v>
      </c>
      <c r="I529" s="5" t="n">
        <v>0</v>
      </c>
      <c r="J529" s="5" t="n">
        <v>89.90000000000001</v>
      </c>
      <c r="K529" s="5">
        <f>SUM(H529:J529)</f>
        <v/>
      </c>
      <c r="L529" s="6">
        <f>IF($K$622=0,0,K529/$K$622)</f>
        <v/>
      </c>
      <c r="M529" s="6">
        <f>M528+L529</f>
        <v/>
      </c>
      <c r="N529" s="9">
        <f>IF(M529&lt;=0.8,"A",IF(M529&lt;=0.95,"B","C"))</f>
        <v/>
      </c>
    </row>
    <row r="530">
      <c r="A530" s="2" t="n">
        <v>529</v>
      </c>
      <c r="B530" s="2" t="inlineStr">
        <is>
          <t>215321</t>
        </is>
      </c>
      <c r="C530" s="2" t="inlineStr">
        <is>
          <t>PÁ/PENEIRA HIGIENICA IPET - PRETO</t>
        </is>
      </c>
      <c r="D530" s="4" t="n">
        <v>0</v>
      </c>
      <c r="E530" s="4" t="n">
        <v>6</v>
      </c>
      <c r="F530" s="4" t="n">
        <v>0</v>
      </c>
      <c r="G530" s="4">
        <f>SUM(D530:F530)</f>
        <v/>
      </c>
      <c r="H530" s="5" t="n">
        <v>0</v>
      </c>
      <c r="I530" s="5" t="n">
        <v>89.40000000000001</v>
      </c>
      <c r="J530" s="5" t="n">
        <v>0</v>
      </c>
      <c r="K530" s="5">
        <f>SUM(H530:J530)</f>
        <v/>
      </c>
      <c r="L530" s="6">
        <f>IF($K$622=0,0,K530/$K$622)</f>
        <v/>
      </c>
      <c r="M530" s="6">
        <f>M529+L530</f>
        <v/>
      </c>
      <c r="N530" s="9">
        <f>IF(M530&lt;=0.8,"A",IF(M530&lt;=0.95,"B","C"))</f>
        <v/>
      </c>
    </row>
    <row r="531">
      <c r="A531" s="2" t="n">
        <v>530</v>
      </c>
      <c r="B531" s="2" t="inlineStr">
        <is>
          <t>213739</t>
        </is>
      </c>
      <c r="C531" s="2" t="inlineStr">
        <is>
          <t>RICIZIN CREME 60G WORLD</t>
        </is>
      </c>
      <c r="D531" s="4" t="n">
        <v>0</v>
      </c>
      <c r="E531" s="4" t="n">
        <v>0</v>
      </c>
      <c r="F531" s="4" t="n">
        <v>6</v>
      </c>
      <c r="G531" s="4">
        <f>SUM(D531:F531)</f>
        <v/>
      </c>
      <c r="H531" s="5" t="n">
        <v>0</v>
      </c>
      <c r="I531" s="5" t="n">
        <v>0</v>
      </c>
      <c r="J531" s="5" t="n">
        <v>89.40000000000001</v>
      </c>
      <c r="K531" s="5">
        <f>SUM(H531:J531)</f>
        <v/>
      </c>
      <c r="L531" s="6">
        <f>IF($K$622=0,0,K531/$K$622)</f>
        <v/>
      </c>
      <c r="M531" s="6">
        <f>M530+L531</f>
        <v/>
      </c>
      <c r="N531" s="9">
        <f>IF(M531&lt;=0.8,"A",IF(M531&lt;=0.95,"B","C"))</f>
        <v/>
      </c>
    </row>
    <row r="532">
      <c r="A532" s="2" t="n">
        <v>531</v>
      </c>
      <c r="B532" s="2" t="inlineStr">
        <is>
          <t>5-POTE-640ML</t>
        </is>
      </c>
      <c r="C532" s="2" t="inlineStr">
        <is>
          <t>640ml, 5 Unidades</t>
        </is>
      </c>
      <c r="D532" s="4" t="n">
        <v>0</v>
      </c>
      <c r="E532" s="4" t="n">
        <v>1</v>
      </c>
      <c r="F532" s="4" t="n">
        <v>0</v>
      </c>
      <c r="G532" s="4">
        <f>SUM(D532:F532)</f>
        <v/>
      </c>
      <c r="H532" s="5" t="n">
        <v>0</v>
      </c>
      <c r="I532" s="5" t="n">
        <v>88.90000000000001</v>
      </c>
      <c r="J532" s="5" t="n">
        <v>0</v>
      </c>
      <c r="K532" s="5">
        <f>SUM(H532:J532)</f>
        <v/>
      </c>
      <c r="L532" s="6">
        <f>IF($K$622=0,0,K532/$K$622)</f>
        <v/>
      </c>
      <c r="M532" s="6">
        <f>M531+L532</f>
        <v/>
      </c>
      <c r="N532" s="9">
        <f>IF(M532&lt;=0.8,"A",IF(M532&lt;=0.95,"B","C"))</f>
        <v/>
      </c>
    </row>
    <row r="533">
      <c r="A533" s="2" t="n">
        <v>532</v>
      </c>
      <c r="B533" s="2" t="inlineStr">
        <is>
          <t>3CX-CHEMITAL-GATOS</t>
        </is>
      </c>
      <c r="C533" s="2" t="inlineStr">
        <is>
          <t>Vermífugo Chemital Gatos 12 Comprimidos Antiparasitário Amplio Espectro Sem Cor - Sem Cor</t>
        </is>
      </c>
      <c r="D533" s="4" t="n">
        <v>0</v>
      </c>
      <c r="E533" s="4" t="n">
        <v>2</v>
      </c>
      <c r="F533" s="4" t="n">
        <v>0</v>
      </c>
      <c r="G533" s="4">
        <f>SUM(D533:F533)</f>
        <v/>
      </c>
      <c r="H533" s="5" t="n">
        <v>0</v>
      </c>
      <c r="I533" s="5" t="n">
        <v>87.8</v>
      </c>
      <c r="J533" s="5" t="n">
        <v>0</v>
      </c>
      <c r="K533" s="5">
        <f>SUM(H533:J533)</f>
        <v/>
      </c>
      <c r="L533" s="6">
        <f>IF($K$622=0,0,K533/$K$622)</f>
        <v/>
      </c>
      <c r="M533" s="6">
        <f>M532+L533</f>
        <v/>
      </c>
      <c r="N533" s="9">
        <f>IF(M533&lt;=0.8,"A",IF(M533&lt;=0.95,"B","C"))</f>
        <v/>
      </c>
    </row>
    <row r="534">
      <c r="A534" s="2" t="n">
        <v>533</v>
      </c>
      <c r="B534" s="2" t="inlineStr">
        <is>
          <t>215139</t>
        </is>
      </c>
      <c r="C534" s="2" t="inlineStr">
        <is>
          <t>MORDEDOR OSSO PARA CÃES TRUQYS - OSSO GRANDE</t>
        </is>
      </c>
      <c r="D534" s="4" t="n">
        <v>0</v>
      </c>
      <c r="E534" s="4" t="n">
        <v>1</v>
      </c>
      <c r="F534" s="4" t="n">
        <v>1</v>
      </c>
      <c r="G534" s="4">
        <f>SUM(D534:F534)</f>
        <v/>
      </c>
      <c r="H534" s="5" t="n">
        <v>0</v>
      </c>
      <c r="I534" s="5" t="n">
        <v>59.9</v>
      </c>
      <c r="J534" s="5" t="n">
        <v>21.9</v>
      </c>
      <c r="K534" s="5">
        <f>SUM(H534:J534)</f>
        <v/>
      </c>
      <c r="L534" s="6">
        <f>IF($K$622=0,0,K534/$K$622)</f>
        <v/>
      </c>
      <c r="M534" s="6">
        <f>M533+L534</f>
        <v/>
      </c>
      <c r="N534" s="9">
        <f>IF(M534&lt;=0.8,"A",IF(M534&lt;=0.95,"B","C"))</f>
        <v/>
      </c>
    </row>
    <row r="535">
      <c r="A535" s="2" t="n">
        <v>534</v>
      </c>
      <c r="B535" s="2" t="inlineStr">
        <is>
          <t>213982</t>
        </is>
      </c>
      <c r="C535" s="2" t="inlineStr">
        <is>
          <t>VARAL DE METAL DE CHÃO PARA ROUPAS - CINZA</t>
        </is>
      </c>
      <c r="D535" s="4" t="n">
        <v>0</v>
      </c>
      <c r="E535" s="4" t="n">
        <v>1</v>
      </c>
      <c r="F535" s="4" t="n">
        <v>0</v>
      </c>
      <c r="G535" s="4">
        <f>SUM(D535:F535)</f>
        <v/>
      </c>
      <c r="H535" s="5" t="n">
        <v>0</v>
      </c>
      <c r="I535" s="5" t="n">
        <v>79.90000000000001</v>
      </c>
      <c r="J535" s="5" t="n">
        <v>0</v>
      </c>
      <c r="K535" s="5">
        <f>SUM(H535:J535)</f>
        <v/>
      </c>
      <c r="L535" s="6">
        <f>IF($K$622=0,0,K535/$K$622)</f>
        <v/>
      </c>
      <c r="M535" s="6">
        <f>M534+L535</f>
        <v/>
      </c>
      <c r="N535" s="9">
        <f>IF(M535&lt;=0.8,"A",IF(M535&lt;=0.95,"B","C"))</f>
        <v/>
      </c>
    </row>
    <row r="536">
      <c r="A536" s="2" t="n">
        <v>535</v>
      </c>
      <c r="B536" s="2" t="inlineStr">
        <is>
          <t>CHALEIRA-BRANCO-220V</t>
        </is>
      </c>
      <c r="C536" s="2" t="inlineStr">
        <is>
          <t>Branco, 220V</t>
        </is>
      </c>
      <c r="D536" s="4" t="n">
        <v>0</v>
      </c>
      <c r="E536" s="4" t="n">
        <v>1</v>
      </c>
      <c r="F536" s="4" t="n">
        <v>0</v>
      </c>
      <c r="G536" s="4">
        <f>SUM(D536:F536)</f>
        <v/>
      </c>
      <c r="H536" s="5" t="n">
        <v>0</v>
      </c>
      <c r="I536" s="5" t="n">
        <v>79.90000000000001</v>
      </c>
      <c r="J536" s="5" t="n">
        <v>0</v>
      </c>
      <c r="K536" s="5">
        <f>SUM(H536:J536)</f>
        <v/>
      </c>
      <c r="L536" s="6">
        <f>IF($K$622=0,0,K536/$K$622)</f>
        <v/>
      </c>
      <c r="M536" s="6">
        <f>M535+L536</f>
        <v/>
      </c>
      <c r="N536" s="9">
        <f>IF(M536&lt;=0.8,"A",IF(M536&lt;=0.95,"B","C"))</f>
        <v/>
      </c>
    </row>
    <row r="537">
      <c r="A537" s="2" t="n">
        <v>536</v>
      </c>
      <c r="B537" s="2" t="inlineStr">
        <is>
          <t>214762</t>
        </is>
      </c>
      <c r="C537" s="2" t="inlineStr">
        <is>
          <t>SUTIA BASICO SEM COSTURA - 41100 - LUPO - P - 36 A 38 - PRETO</t>
        </is>
      </c>
      <c r="D537" s="4" t="n">
        <v>0</v>
      </c>
      <c r="E537" s="4" t="n">
        <v>2</v>
      </c>
      <c r="F537" s="4" t="n">
        <v>0</v>
      </c>
      <c r="G537" s="4">
        <f>SUM(D537:F537)</f>
        <v/>
      </c>
      <c r="H537" s="5" t="n">
        <v>0</v>
      </c>
      <c r="I537" s="5" t="n">
        <v>79.8</v>
      </c>
      <c r="J537" s="5" t="n">
        <v>0</v>
      </c>
      <c r="K537" s="5">
        <f>SUM(H537:J537)</f>
        <v/>
      </c>
      <c r="L537" s="6">
        <f>IF($K$622=0,0,K537/$K$622)</f>
        <v/>
      </c>
      <c r="M537" s="6">
        <f>M536+L537</f>
        <v/>
      </c>
      <c r="N537" s="9">
        <f>IF(M537&lt;=0.8,"A",IF(M537&lt;=0.95,"B","C"))</f>
        <v/>
      </c>
    </row>
    <row r="538">
      <c r="A538" s="2" t="n">
        <v>537</v>
      </c>
      <c r="B538" s="2" t="inlineStr">
        <is>
          <t>213630</t>
        </is>
      </c>
      <c r="C538" s="2" t="inlineStr">
        <is>
          <t>FORTFLEX PET - 60MG (60 COMP)</t>
        </is>
      </c>
      <c r="D538" s="4" t="n">
        <v>0</v>
      </c>
      <c r="E538" s="4" t="n">
        <v>1</v>
      </c>
      <c r="F538" s="4" t="n">
        <v>0</v>
      </c>
      <c r="G538" s="4">
        <f>SUM(D538:F538)</f>
        <v/>
      </c>
      <c r="H538" s="5" t="n">
        <v>0</v>
      </c>
      <c r="I538" s="5" t="n">
        <v>78.90000000000001</v>
      </c>
      <c r="J538" s="5" t="n">
        <v>0</v>
      </c>
      <c r="K538" s="5">
        <f>SUM(H538:J538)</f>
        <v/>
      </c>
      <c r="L538" s="6">
        <f>IF($K$622=0,0,K538/$K$622)</f>
        <v/>
      </c>
      <c r="M538" s="6">
        <f>M537+L538</f>
        <v/>
      </c>
      <c r="N538" s="9">
        <f>IF(M538&lt;=0.8,"A",IF(M538&lt;=0.95,"B","C"))</f>
        <v/>
      </c>
    </row>
    <row r="539">
      <c r="A539" s="2" t="n">
        <v>538</v>
      </c>
      <c r="B539" s="2" t="inlineStr">
        <is>
          <t>0005</t>
        </is>
      </c>
      <c r="C539" s="2" t="inlineStr">
        <is>
          <t>Med. Contra Cinomose E Parvovirose Em Cães- Cannis Globulin Sem Sabor - Sem sabor</t>
        </is>
      </c>
      <c r="D539" s="4" t="n">
        <v>0</v>
      </c>
      <c r="E539" s="4" t="n">
        <v>1</v>
      </c>
      <c r="F539" s="4" t="n">
        <v>0</v>
      </c>
      <c r="G539" s="4">
        <f>SUM(D539:F539)</f>
        <v/>
      </c>
      <c r="H539" s="5" t="n">
        <v>0</v>
      </c>
      <c r="I539" s="5" t="n">
        <v>78.90000000000001</v>
      </c>
      <c r="J539" s="5" t="n">
        <v>0</v>
      </c>
      <c r="K539" s="5">
        <f>SUM(H539:J539)</f>
        <v/>
      </c>
      <c r="L539" s="6">
        <f>IF($K$622=0,0,K539/$K$622)</f>
        <v/>
      </c>
      <c r="M539" s="6">
        <f>M538+L539</f>
        <v/>
      </c>
      <c r="N539" s="9">
        <f>IF(M539&lt;=0.8,"A",IF(M539&lt;=0.95,"B","C"))</f>
        <v/>
      </c>
    </row>
    <row r="540">
      <c r="A540" s="2" t="n">
        <v>539</v>
      </c>
      <c r="B540" s="2" t="inlineStr">
        <is>
          <t>213610</t>
        </is>
      </c>
      <c r="C540" s="2" t="inlineStr">
        <is>
          <t>SENSPERT GIARDIA</t>
        </is>
      </c>
      <c r="D540" s="4" t="n">
        <v>0</v>
      </c>
      <c r="E540" s="4" t="n">
        <v>1</v>
      </c>
      <c r="F540" s="4" t="n">
        <v>0</v>
      </c>
      <c r="G540" s="4">
        <f>SUM(D540:F540)</f>
        <v/>
      </c>
      <c r="H540" s="5" t="n">
        <v>0</v>
      </c>
      <c r="I540" s="5" t="n">
        <v>77.90000000000001</v>
      </c>
      <c r="J540" s="5" t="n">
        <v>0</v>
      </c>
      <c r="K540" s="5">
        <f>SUM(H540:J540)</f>
        <v/>
      </c>
      <c r="L540" s="6">
        <f>IF($K$622=0,0,K540/$K$622)</f>
        <v/>
      </c>
      <c r="M540" s="6">
        <f>M539+L540</f>
        <v/>
      </c>
      <c r="N540" s="9">
        <f>IF(M540&lt;=0.8,"A",IF(M540&lt;=0.95,"B","C"))</f>
        <v/>
      </c>
    </row>
    <row r="541">
      <c r="A541" s="2" t="n">
        <v>540</v>
      </c>
      <c r="B541" s="2" t="inlineStr">
        <is>
          <t>213777</t>
        </is>
      </c>
      <c r="C541" s="2" t="inlineStr">
        <is>
          <t>FRONTLINE ANTIPULGAS 1 PIPETA  - TOPSPOT - GATOS - 1 - 10KG</t>
        </is>
      </c>
      <c r="D541" s="4" t="n">
        <v>0</v>
      </c>
      <c r="E541" s="4" t="n">
        <v>2</v>
      </c>
      <c r="F541" s="4" t="n">
        <v>0</v>
      </c>
      <c r="G541" s="4">
        <f>SUM(D541:F541)</f>
        <v/>
      </c>
      <c r="H541" s="5" t="n">
        <v>0</v>
      </c>
      <c r="I541" s="5" t="n">
        <v>77.8</v>
      </c>
      <c r="J541" s="5" t="n">
        <v>0</v>
      </c>
      <c r="K541" s="5">
        <f>SUM(H541:J541)</f>
        <v/>
      </c>
      <c r="L541" s="6">
        <f>IF($K$622=0,0,K541/$K$622)</f>
        <v/>
      </c>
      <c r="M541" s="6">
        <f>M540+L541</f>
        <v/>
      </c>
      <c r="N541" s="9">
        <f>IF(M541&lt;=0.8,"A",IF(M541&lt;=0.95,"B","C"))</f>
        <v/>
      </c>
    </row>
    <row r="542">
      <c r="A542" s="2" t="n">
        <v>541</v>
      </c>
      <c r="B542" s="2" t="inlineStr">
        <is>
          <t>212802</t>
        </is>
      </c>
      <c r="C542" s="2" t="inlineStr">
        <is>
          <t>ANTITOXICO ORAL 20 ML -  DUPRAT</t>
        </is>
      </c>
      <c r="D542" s="4" t="n">
        <v>0</v>
      </c>
      <c r="E542" s="4" t="n">
        <v>1</v>
      </c>
      <c r="F542" s="4" t="n">
        <v>3</v>
      </c>
      <c r="G542" s="4">
        <f>SUM(D542:F542)</f>
        <v/>
      </c>
      <c r="H542" s="5" t="n">
        <v>0</v>
      </c>
      <c r="I542" s="5" t="n">
        <v>18.83</v>
      </c>
      <c r="J542" s="5" t="n">
        <v>56.49</v>
      </c>
      <c r="K542" s="5">
        <f>SUM(H542:J542)</f>
        <v/>
      </c>
      <c r="L542" s="6">
        <f>IF($K$622=0,0,K542/$K$622)</f>
        <v/>
      </c>
      <c r="M542" s="6">
        <f>M541+L542</f>
        <v/>
      </c>
      <c r="N542" s="9">
        <f>IF(M542&lt;=0.8,"A",IF(M542&lt;=0.95,"B","C"))</f>
        <v/>
      </c>
    </row>
    <row r="543">
      <c r="A543" s="2" t="n">
        <v>542</v>
      </c>
      <c r="B543" s="2" t="inlineStr">
        <is>
          <t>MLB4531405651</t>
        </is>
      </c>
      <c r="C543" s="2" t="inlineStr">
        <is>
          <t>Bomba Submersa Aquapower 2000l/h Aquário Tanque E Lago 127v 127v - 127V</t>
        </is>
      </c>
      <c r="D543" s="4" t="n">
        <v>0</v>
      </c>
      <c r="E543" s="4" t="n">
        <v>1</v>
      </c>
      <c r="F543" s="4" t="n">
        <v>0</v>
      </c>
      <c r="G543" s="4">
        <f>SUM(D543:F543)</f>
        <v/>
      </c>
      <c r="H543" s="5" t="n">
        <v>0</v>
      </c>
      <c r="I543" s="5" t="n">
        <v>74.90000000000001</v>
      </c>
      <c r="J543" s="5" t="n">
        <v>0</v>
      </c>
      <c r="K543" s="5">
        <f>SUM(H543:J543)</f>
        <v/>
      </c>
      <c r="L543" s="6">
        <f>IF($K$622=0,0,K543/$K$622)</f>
        <v/>
      </c>
      <c r="M543" s="6">
        <f>M542+L543</f>
        <v/>
      </c>
      <c r="N543" s="9">
        <f>IF(M543&lt;=0.8,"A",IF(M543&lt;=0.95,"B","C"))</f>
        <v/>
      </c>
    </row>
    <row r="544">
      <c r="A544" s="2" t="n">
        <v>543</v>
      </c>
      <c r="B544" s="2" t="inlineStr">
        <is>
          <t>215156</t>
        </is>
      </c>
      <c r="C544" s="2" t="inlineStr">
        <is>
          <t>KIT CHEMITAL GATOS VERMIFUGO C/4 COMP CHEMITEC  - 1 CAIXA</t>
        </is>
      </c>
      <c r="D544" s="4" t="n">
        <v>0</v>
      </c>
      <c r="E544" s="4" t="n">
        <v>5</v>
      </c>
      <c r="F544" s="4" t="n">
        <v>0</v>
      </c>
      <c r="G544" s="4">
        <f>SUM(D544:F544)</f>
        <v/>
      </c>
      <c r="H544" s="5" t="n">
        <v>0</v>
      </c>
      <c r="I544" s="5" t="n">
        <v>74.5</v>
      </c>
      <c r="J544" s="5" t="n">
        <v>0</v>
      </c>
      <c r="K544" s="5">
        <f>SUM(H544:J544)</f>
        <v/>
      </c>
      <c r="L544" s="6">
        <f>IF($K$622=0,0,K544/$K$622)</f>
        <v/>
      </c>
      <c r="M544" s="6">
        <f>M543+L544</f>
        <v/>
      </c>
      <c r="N544" s="9">
        <f>IF(M544&lt;=0.8,"A",IF(M544&lt;=0.95,"B","C"))</f>
        <v/>
      </c>
    </row>
    <row r="545">
      <c r="A545" s="2" t="n">
        <v>544</v>
      </c>
      <c r="B545" s="2" t="inlineStr">
        <is>
          <t>213599</t>
        </is>
      </c>
      <c r="C545" s="2" t="inlineStr">
        <is>
          <t>KIT 2 BRINQUEDO PARA GATOS COM CATNIP - GATINHO - VERDE</t>
        </is>
      </c>
      <c r="D545" s="4" t="n">
        <v>0</v>
      </c>
      <c r="E545" s="4" t="n">
        <v>2</v>
      </c>
      <c r="F545" s="4" t="n">
        <v>3</v>
      </c>
      <c r="G545" s="4">
        <f>SUM(D545:F545)</f>
        <v/>
      </c>
      <c r="H545" s="5" t="n">
        <v>0</v>
      </c>
      <c r="I545" s="5" t="n">
        <v>29.8</v>
      </c>
      <c r="J545" s="5" t="n">
        <v>44.7</v>
      </c>
      <c r="K545" s="5">
        <f>SUM(H545:J545)</f>
        <v/>
      </c>
      <c r="L545" s="6">
        <f>IF($K$622=0,0,K545/$K$622)</f>
        <v/>
      </c>
      <c r="M545" s="6">
        <f>M544+L545</f>
        <v/>
      </c>
      <c r="N545" s="9">
        <f>IF(M545&lt;=0.8,"A",IF(M545&lt;=0.95,"B","C"))</f>
        <v/>
      </c>
    </row>
    <row r="546">
      <c r="A546" s="2" t="n">
        <v>545</v>
      </c>
      <c r="B546" s="2" t="inlineStr">
        <is>
          <t>213596</t>
        </is>
      </c>
      <c r="C546" s="2" t="inlineStr">
        <is>
          <t>KIT 2 BRINQUEDO PARA GATOS COM CATNIP - GATINHO - ROSA</t>
        </is>
      </c>
      <c r="D546" s="4" t="n">
        <v>0</v>
      </c>
      <c r="E546" s="4" t="n">
        <v>3</v>
      </c>
      <c r="F546" s="4" t="n">
        <v>2</v>
      </c>
      <c r="G546" s="4">
        <f>SUM(D546:F546)</f>
        <v/>
      </c>
      <c r="H546" s="5" t="n">
        <v>0</v>
      </c>
      <c r="I546" s="5" t="n">
        <v>44.7</v>
      </c>
      <c r="J546" s="5" t="n">
        <v>29.8</v>
      </c>
      <c r="K546" s="5">
        <f>SUM(H546:J546)</f>
        <v/>
      </c>
      <c r="L546" s="6">
        <f>IF($K$622=0,0,K546/$K$622)</f>
        <v/>
      </c>
      <c r="M546" s="6">
        <f>M545+L546</f>
        <v/>
      </c>
      <c r="N546" s="9">
        <f>IF(M546&lt;=0.8,"A",IF(M546&lt;=0.95,"B","C"))</f>
        <v/>
      </c>
    </row>
    <row r="547">
      <c r="A547" s="2" t="n">
        <v>546</v>
      </c>
      <c r="B547" s="2" t="inlineStr">
        <is>
          <t>0023</t>
        </is>
      </c>
      <c r="C547" s="2" t="inlineStr">
        <is>
          <t>Invicto Antipulgas 11,4 Mg - 6 Comprimidos</t>
        </is>
      </c>
      <c r="D547" s="4" t="n">
        <v>0</v>
      </c>
      <c r="E547" s="4" t="n">
        <v>0</v>
      </c>
      <c r="F547" s="4" t="n">
        <v>1</v>
      </c>
      <c r="G547" s="4">
        <f>SUM(D547:F547)</f>
        <v/>
      </c>
      <c r="H547" s="5" t="n">
        <v>0</v>
      </c>
      <c r="I547" s="5" t="n">
        <v>0</v>
      </c>
      <c r="J547" s="5" t="n">
        <v>72.84999999999999</v>
      </c>
      <c r="K547" s="5">
        <f>SUM(H547:J547)</f>
        <v/>
      </c>
      <c r="L547" s="6">
        <f>IF($K$622=0,0,K547/$K$622)</f>
        <v/>
      </c>
      <c r="M547" s="6">
        <f>M546+L547</f>
        <v/>
      </c>
      <c r="N547" s="9">
        <f>IF(M547&lt;=0.8,"A",IF(M547&lt;=0.95,"B","C"))</f>
        <v/>
      </c>
    </row>
    <row r="548">
      <c r="A548" s="2" t="n">
        <v>547</v>
      </c>
      <c r="B548" s="2" t="inlineStr">
        <is>
          <t>PROVERMIN-20g</t>
        </is>
      </c>
      <c r="C548" s="2" t="inlineStr">
        <is>
          <t>Provermin Pó 20g Cada Vermífugo Oral Aves E Suínos</t>
        </is>
      </c>
      <c r="D548" s="4" t="n">
        <v>0</v>
      </c>
      <c r="E548" s="4" t="n">
        <v>9</v>
      </c>
      <c r="F548" s="4" t="n">
        <v>0</v>
      </c>
      <c r="G548" s="4">
        <f>SUM(D548:F548)</f>
        <v/>
      </c>
      <c r="H548" s="5" t="n">
        <v>0</v>
      </c>
      <c r="I548" s="5" t="n">
        <v>71.91</v>
      </c>
      <c r="J548" s="5" t="n">
        <v>0</v>
      </c>
      <c r="K548" s="5">
        <f>SUM(H548:J548)</f>
        <v/>
      </c>
      <c r="L548" s="6">
        <f>IF($K$622=0,0,K548/$K$622)</f>
        <v/>
      </c>
      <c r="M548" s="6">
        <f>M547+L548</f>
        <v/>
      </c>
      <c r="N548" s="9">
        <f>IF(M548&lt;=0.8,"A",IF(M548&lt;=0.95,"B","C"))</f>
        <v/>
      </c>
    </row>
    <row r="549">
      <c r="A549" s="2" t="n">
        <v>548</v>
      </c>
      <c r="B549" s="2" t="inlineStr">
        <is>
          <t>2-POTE-370ML</t>
        </is>
      </c>
      <c r="C549" s="2" t="inlineStr">
        <is>
          <t>370ml, 2 Unidades</t>
        </is>
      </c>
      <c r="D549" s="4" t="n">
        <v>0</v>
      </c>
      <c r="E549" s="4" t="n">
        <v>1</v>
      </c>
      <c r="F549" s="4" t="n">
        <v>0</v>
      </c>
      <c r="G549" s="4">
        <f>SUM(D549:F549)</f>
        <v/>
      </c>
      <c r="H549" s="5" t="n">
        <v>0</v>
      </c>
      <c r="I549" s="5" t="n">
        <v>69.90000000000001</v>
      </c>
      <c r="J549" s="5" t="n">
        <v>0</v>
      </c>
      <c r="K549" s="5">
        <f>SUM(H549:J549)</f>
        <v/>
      </c>
      <c r="L549" s="6">
        <f>IF($K$622=0,0,K549/$K$622)</f>
        <v/>
      </c>
      <c r="M549" s="6">
        <f>M548+L549</f>
        <v/>
      </c>
      <c r="N549" s="9">
        <f>IF(M549&lt;=0.8,"A",IF(M549&lt;=0.95,"B","C"))</f>
        <v/>
      </c>
    </row>
    <row r="550">
      <c r="A550" s="2" t="n">
        <v>549</v>
      </c>
      <c r="B550" s="2" t="inlineStr">
        <is>
          <t>213650</t>
        </is>
      </c>
      <c r="C550" s="2" t="inlineStr">
        <is>
          <t>DUFULVIN SUSPENSÃO 250ML</t>
        </is>
      </c>
      <c r="D550" s="4" t="n">
        <v>0</v>
      </c>
      <c r="E550" s="4" t="n">
        <v>0</v>
      </c>
      <c r="F550" s="4" t="n">
        <v>1</v>
      </c>
      <c r="G550" s="4">
        <f>SUM(D550:F550)</f>
        <v/>
      </c>
      <c r="H550" s="5" t="n">
        <v>0</v>
      </c>
      <c r="I550" s="5" t="n">
        <v>0</v>
      </c>
      <c r="J550" s="5" t="n">
        <v>69.90000000000001</v>
      </c>
      <c r="K550" s="5">
        <f>SUM(H550:J550)</f>
        <v/>
      </c>
      <c r="L550" s="6">
        <f>IF($K$622=0,0,K550/$K$622)</f>
        <v/>
      </c>
      <c r="M550" s="6">
        <f>M549+L550</f>
        <v/>
      </c>
      <c r="N550" s="9">
        <f>IF(M550&lt;=0.8,"A",IF(M550&lt;=0.95,"B","C"))</f>
        <v/>
      </c>
    </row>
    <row r="551">
      <c r="A551" s="2" t="n">
        <v>550</v>
      </c>
      <c r="B551" s="2" t="inlineStr">
        <is>
          <t>CABIDE,MULTIFUNCIONAL-BRANCO-3UN</t>
        </is>
      </c>
      <c r="C551" s="2" t="inlineStr">
        <is>
          <t>Cabide Para Calças Roupas Multiuso Reforçado Adulto Saias Camisetas - 3 Unidades,Branco</t>
        </is>
      </c>
      <c r="D551" s="4" t="n">
        <v>0</v>
      </c>
      <c r="E551" s="4" t="n">
        <v>0</v>
      </c>
      <c r="F551" s="4" t="n">
        <v>1</v>
      </c>
      <c r="G551" s="4">
        <f>SUM(D551:F551)</f>
        <v/>
      </c>
      <c r="H551" s="5" t="n">
        <v>0</v>
      </c>
      <c r="I551" s="5" t="n">
        <v>0</v>
      </c>
      <c r="J551" s="5" t="n">
        <v>69.90000000000001</v>
      </c>
      <c r="K551" s="5">
        <f>SUM(H551:J551)</f>
        <v/>
      </c>
      <c r="L551" s="6">
        <f>IF($K$622=0,0,K551/$K$622)</f>
        <v/>
      </c>
      <c r="M551" s="6">
        <f>M550+L551</f>
        <v/>
      </c>
      <c r="N551" s="9">
        <f>IF(M551&lt;=0.8,"A",IF(M551&lt;=0.95,"B","C"))</f>
        <v/>
      </c>
    </row>
    <row r="552">
      <c r="A552" s="2" t="n">
        <v>551</v>
      </c>
      <c r="B552" s="2" t="inlineStr">
        <is>
          <t>213629</t>
        </is>
      </c>
      <c r="C552" s="2" t="inlineStr">
        <is>
          <t>FORTFLEX PET - 30MG (30 COMP)</t>
        </is>
      </c>
      <c r="D552" s="4" t="n">
        <v>0</v>
      </c>
      <c r="E552" s="4" t="n">
        <v>0</v>
      </c>
      <c r="F552" s="4" t="n">
        <v>1</v>
      </c>
      <c r="G552" s="4">
        <f>SUM(D552:F552)</f>
        <v/>
      </c>
      <c r="H552" s="5" t="n">
        <v>0</v>
      </c>
      <c r="I552" s="5" t="n">
        <v>0</v>
      </c>
      <c r="J552" s="5" t="n">
        <v>64.90000000000001</v>
      </c>
      <c r="K552" s="5">
        <f>SUM(H552:J552)</f>
        <v/>
      </c>
      <c r="L552" s="6">
        <f>IF($K$622=0,0,K552/$K$622)</f>
        <v/>
      </c>
      <c r="M552" s="6">
        <f>M551+L552</f>
        <v/>
      </c>
      <c r="N552" s="9">
        <f>IF(M552&lt;=0.8,"A",IF(M552&lt;=0.95,"B","C"))</f>
        <v/>
      </c>
    </row>
    <row r="553">
      <c r="A553" s="2" t="n">
        <v>552</v>
      </c>
      <c r="B553" s="2" t="inlineStr">
        <is>
          <t>213557</t>
        </is>
      </c>
      <c r="C553" s="2" t="inlineStr">
        <is>
          <t>BRINQUEDO PARA GATOS ARRANHADOR - PENA EMITE SOM</t>
        </is>
      </c>
      <c r="D553" s="4" t="n">
        <v>0</v>
      </c>
      <c r="E553" s="4" t="n">
        <v>1</v>
      </c>
      <c r="F553" s="4" t="n">
        <v>2</v>
      </c>
      <c r="G553" s="4">
        <f>SUM(D553:F553)</f>
        <v/>
      </c>
      <c r="H553" s="5" t="n">
        <v>0</v>
      </c>
      <c r="I553" s="5" t="n">
        <v>19.9</v>
      </c>
      <c r="J553" s="5" t="n">
        <v>44.79</v>
      </c>
      <c r="K553" s="5">
        <f>SUM(H553:J553)</f>
        <v/>
      </c>
      <c r="L553" s="6">
        <f>IF($K$622=0,0,K553/$K$622)</f>
        <v/>
      </c>
      <c r="M553" s="6">
        <f>M552+L553</f>
        <v/>
      </c>
      <c r="N553" s="9">
        <f>IF(M553&lt;=0.8,"A",IF(M553&lt;=0.95,"B","C"))</f>
        <v/>
      </c>
    </row>
    <row r="554">
      <c r="A554" s="2" t="n">
        <v>553</v>
      </c>
      <c r="B554" s="2" t="inlineStr">
        <is>
          <t>213415</t>
        </is>
      </c>
      <c r="C554" s="2" t="inlineStr">
        <is>
          <t>TRIFLEX SOLUÇÃO 100ML DUPRAT</t>
        </is>
      </c>
      <c r="D554" s="4" t="n">
        <v>0</v>
      </c>
      <c r="E554" s="4" t="n">
        <v>2</v>
      </c>
      <c r="F554" s="4" t="n">
        <v>0</v>
      </c>
      <c r="G554" s="4">
        <f>SUM(D554:F554)</f>
        <v/>
      </c>
      <c r="H554" s="5" t="n">
        <v>0</v>
      </c>
      <c r="I554" s="5" t="n">
        <v>63.9</v>
      </c>
      <c r="J554" s="5" t="n">
        <v>0</v>
      </c>
      <c r="K554" s="5">
        <f>SUM(H554:J554)</f>
        <v/>
      </c>
      <c r="L554" s="6">
        <f>IF($K$622=0,0,K554/$K$622)</f>
        <v/>
      </c>
      <c r="M554" s="6">
        <f>M553+L554</f>
        <v/>
      </c>
      <c r="N554" s="9">
        <f>IF(M554&lt;=0.8,"A",IF(M554&lt;=0.95,"B","C"))</f>
        <v/>
      </c>
    </row>
    <row r="555">
      <c r="A555" s="2" t="n">
        <v>554</v>
      </c>
      <c r="B555" s="2" t="inlineStr">
        <is>
          <t>213999</t>
        </is>
      </c>
      <c r="C555" s="2" t="inlineStr">
        <is>
          <t>CABIDE DE VELUDO - BEGE</t>
        </is>
      </c>
      <c r="D555" s="4" t="n">
        <v>0</v>
      </c>
      <c r="E555" s="4" t="n">
        <v>0</v>
      </c>
      <c r="F555" s="4" t="n">
        <v>50</v>
      </c>
      <c r="G555" s="4">
        <f>SUM(D555:F555)</f>
        <v/>
      </c>
      <c r="H555" s="5" t="n">
        <v>0</v>
      </c>
      <c r="I555" s="5" t="n">
        <v>0</v>
      </c>
      <c r="J555" s="5" t="n">
        <v>63</v>
      </c>
      <c r="K555" s="5">
        <f>SUM(H555:J555)</f>
        <v/>
      </c>
      <c r="L555" s="6">
        <f>IF($K$622=0,0,K555/$K$622)</f>
        <v/>
      </c>
      <c r="M555" s="6">
        <f>M554+L555</f>
        <v/>
      </c>
      <c r="N555" s="9">
        <f>IF(M555&lt;=0.8,"A",IF(M555&lt;=0.95,"B","C"))</f>
        <v/>
      </c>
    </row>
    <row r="556">
      <c r="A556" s="2" t="n">
        <v>555</v>
      </c>
      <c r="B556" s="2" t="inlineStr">
        <is>
          <t>KIT-50-CAB-VEL-BG</t>
        </is>
      </c>
      <c r="C556" s="2" t="inlineStr">
        <is>
          <t>Kit 20/30/50 Unidades De Cabides Veludo Para Roupas Adulto Fino Resistente - Bege,50 UNIDADES</t>
        </is>
      </c>
      <c r="D556" s="4" t="n">
        <v>0</v>
      </c>
      <c r="E556" s="4" t="n">
        <v>1</v>
      </c>
      <c r="F556" s="4" t="n">
        <v>0</v>
      </c>
      <c r="G556" s="4">
        <f>SUM(D556:F556)</f>
        <v/>
      </c>
      <c r="H556" s="5" t="n">
        <v>0</v>
      </c>
      <c r="I556" s="5" t="n">
        <v>62.9</v>
      </c>
      <c r="J556" s="5" t="n">
        <v>0</v>
      </c>
      <c r="K556" s="5">
        <f>SUM(H556:J556)</f>
        <v/>
      </c>
      <c r="L556" s="6">
        <f>IF($K$622=0,0,K556/$K$622)</f>
        <v/>
      </c>
      <c r="M556" s="6">
        <f>M555+L556</f>
        <v/>
      </c>
      <c r="N556" s="9">
        <f>IF(M556&lt;=0.8,"A",IF(M556&lt;=0.95,"B","C"))</f>
        <v/>
      </c>
    </row>
    <row r="557">
      <c r="A557" s="2" t="n">
        <v>556</v>
      </c>
      <c r="B557" s="2" t="inlineStr">
        <is>
          <t>0015</t>
        </is>
      </c>
      <c r="C557" s="2" t="inlineStr">
        <is>
          <t>Pomada Keravit 5g  Oftalmologica - Vetnil - Envio Imediato . - .</t>
        </is>
      </c>
      <c r="D557" s="4" t="n">
        <v>0</v>
      </c>
      <c r="E557" s="4" t="n">
        <v>0</v>
      </c>
      <c r="F557" s="4" t="n">
        <v>1</v>
      </c>
      <c r="G557" s="4">
        <f>SUM(D557:F557)</f>
        <v/>
      </c>
      <c r="H557" s="5" t="n">
        <v>0</v>
      </c>
      <c r="I557" s="5" t="n">
        <v>0</v>
      </c>
      <c r="J557" s="5" t="n">
        <v>62.9</v>
      </c>
      <c r="K557" s="5">
        <f>SUM(H557:J557)</f>
        <v/>
      </c>
      <c r="L557" s="6">
        <f>IF($K$622=0,0,K557/$K$622)</f>
        <v/>
      </c>
      <c r="M557" s="6">
        <f>M556+L557</f>
        <v/>
      </c>
      <c r="N557" s="9">
        <f>IF(M557&lt;=0.8,"A",IF(M557&lt;=0.95,"B","C"))</f>
        <v/>
      </c>
    </row>
    <row r="558">
      <c r="A558" s="2" t="n">
        <v>557</v>
      </c>
      <c r="B558" s="2" t="inlineStr">
        <is>
          <t>213839</t>
        </is>
      </c>
      <c r="C558" s="2" t="inlineStr">
        <is>
          <t>KIT TAPETE HIG ESPACO DE BICHO 60X60 - 50 UNIDADES</t>
        </is>
      </c>
      <c r="D558" s="4" t="n">
        <v>0</v>
      </c>
      <c r="E558" s="4" t="n">
        <v>1</v>
      </c>
      <c r="F558" s="4" t="n">
        <v>0</v>
      </c>
      <c r="G558" s="4">
        <f>SUM(D558:F558)</f>
        <v/>
      </c>
      <c r="H558" s="5" t="n">
        <v>0</v>
      </c>
      <c r="I558" s="5" t="n">
        <v>61.9</v>
      </c>
      <c r="J558" s="5" t="n">
        <v>0</v>
      </c>
      <c r="K558" s="5">
        <f>SUM(H558:J558)</f>
        <v/>
      </c>
      <c r="L558" s="6">
        <f>IF($K$622=0,0,K558/$K$622)</f>
        <v/>
      </c>
      <c r="M558" s="6">
        <f>M557+L558</f>
        <v/>
      </c>
      <c r="N558" s="9">
        <f>IF(M558&lt;=0.8,"A",IF(M558&lt;=0.95,"B","C"))</f>
        <v/>
      </c>
    </row>
    <row r="559">
      <c r="A559" s="2" t="n">
        <v>558</v>
      </c>
      <c r="B559" s="2" t="inlineStr">
        <is>
          <t>ASSENTO_BRANCO</t>
        </is>
      </c>
      <c r="C559" s="2" t="inlineStr">
        <is>
          <t>Branco</t>
        </is>
      </c>
      <c r="D559" s="4" t="n">
        <v>0</v>
      </c>
      <c r="E559" s="4" t="n">
        <v>1</v>
      </c>
      <c r="F559" s="4" t="n">
        <v>0</v>
      </c>
      <c r="G559" s="4">
        <f>SUM(D559:F559)</f>
        <v/>
      </c>
      <c r="H559" s="5" t="n">
        <v>0</v>
      </c>
      <c r="I559" s="5" t="n">
        <v>59.9</v>
      </c>
      <c r="J559" s="5" t="n">
        <v>0</v>
      </c>
      <c r="K559" s="5">
        <f>SUM(H559:J559)</f>
        <v/>
      </c>
      <c r="L559" s="6">
        <f>IF($K$622=0,0,K559/$K$622)</f>
        <v/>
      </c>
      <c r="M559" s="6">
        <f>M558+L559</f>
        <v/>
      </c>
      <c r="N559" s="9">
        <f>IF(M559&lt;=0.8,"A",IF(M559&lt;=0.95,"B","C"))</f>
        <v/>
      </c>
    </row>
    <row r="560">
      <c r="A560" s="2" t="n">
        <v>559</v>
      </c>
      <c r="B560" s="2" t="inlineStr">
        <is>
          <t>214830</t>
        </is>
      </c>
      <c r="C560" s="2" t="inlineStr">
        <is>
          <t>KIT POTE DE VIDRO C/ TAMPA DE BAMBU - 500ML - 2 UNIDADES</t>
        </is>
      </c>
      <c r="D560" s="4" t="n">
        <v>0</v>
      </c>
      <c r="E560" s="4" t="n">
        <v>0</v>
      </c>
      <c r="F560" s="4" t="n">
        <v>1</v>
      </c>
      <c r="G560" s="4">
        <f>SUM(D560:F560)</f>
        <v/>
      </c>
      <c r="H560" s="5" t="n">
        <v>0</v>
      </c>
      <c r="I560" s="5" t="n">
        <v>0</v>
      </c>
      <c r="J560" s="5" t="n">
        <v>59.9</v>
      </c>
      <c r="K560" s="5">
        <f>SUM(H560:J560)</f>
        <v/>
      </c>
      <c r="L560" s="6">
        <f>IF($K$622=0,0,K560/$K$622)</f>
        <v/>
      </c>
      <c r="M560" s="6">
        <f>M559+L560</f>
        <v/>
      </c>
      <c r="N560" s="9">
        <f>IF(M560&lt;=0.8,"A",IF(M560&lt;=0.95,"B","C"))</f>
        <v/>
      </c>
    </row>
    <row r="561">
      <c r="A561" s="2" t="n">
        <v>560</v>
      </c>
      <c r="B561" s="2" t="inlineStr">
        <is>
          <t>215319</t>
        </is>
      </c>
      <c r="C561" s="2" t="inlineStr">
        <is>
          <t>PÁ/PENEIRA HIGIENICA IPET - TIFFANY</t>
        </is>
      </c>
      <c r="D561" s="4" t="n">
        <v>0</v>
      </c>
      <c r="E561" s="4" t="n">
        <v>1</v>
      </c>
      <c r="F561" s="4" t="n">
        <v>2</v>
      </c>
      <c r="G561" s="4">
        <f>SUM(D561:F561)</f>
        <v/>
      </c>
      <c r="H561" s="5" t="n">
        <v>0</v>
      </c>
      <c r="I561" s="5" t="n">
        <v>9.9</v>
      </c>
      <c r="J561" s="5" t="n">
        <v>49.8</v>
      </c>
      <c r="K561" s="5">
        <f>SUM(H561:J561)</f>
        <v/>
      </c>
      <c r="L561" s="6">
        <f>IF($K$622=0,0,K561/$K$622)</f>
        <v/>
      </c>
      <c r="M561" s="6">
        <f>M560+L561</f>
        <v/>
      </c>
      <c r="N561" s="9">
        <f>IF(M561&lt;=0.8,"A",IF(M561&lt;=0.95,"B","C"))</f>
        <v/>
      </c>
    </row>
    <row r="562">
      <c r="A562" s="2" t="n">
        <v>561</v>
      </c>
      <c r="B562" s="2" t="inlineStr">
        <is>
          <t>CASCATA-120LED-220V-BRANCO-FRIO</t>
        </is>
      </c>
      <c r="C562" s="2" t="inlineStr">
        <is>
          <t>Cascata 120 Led Natal Estrela Decoração 8 Funções 110V/220V 3 Metros - Branco Frio,220</t>
        </is>
      </c>
      <c r="D562" s="4" t="n">
        <v>0</v>
      </c>
      <c r="E562" s="4" t="n">
        <v>0</v>
      </c>
      <c r="F562" s="4" t="n">
        <v>1</v>
      </c>
      <c r="G562" s="4">
        <f>SUM(D562:F562)</f>
        <v/>
      </c>
      <c r="H562" s="5" t="n">
        <v>0</v>
      </c>
      <c r="I562" s="5" t="n">
        <v>0</v>
      </c>
      <c r="J562" s="5" t="n">
        <v>58.9</v>
      </c>
      <c r="K562" s="5">
        <f>SUM(H562:J562)</f>
        <v/>
      </c>
      <c r="L562" s="6">
        <f>IF($K$622=0,0,K562/$K$622)</f>
        <v/>
      </c>
      <c r="M562" s="6">
        <f>M561+L562</f>
        <v/>
      </c>
      <c r="N562" s="9">
        <f>IF(M562&lt;=0.8,"A",IF(M562&lt;=0.95,"B","C"))</f>
        <v/>
      </c>
    </row>
    <row r="563">
      <c r="A563" s="2" t="n">
        <v>562</v>
      </c>
      <c r="B563" s="2" t="inlineStr">
        <is>
          <t>213480</t>
        </is>
      </c>
      <c r="C563" s="2" t="inlineStr">
        <is>
          <t>DUPRAZOL SUSPENSÃO VERMIFUGO SOLUÇAO ORAL 30 ML</t>
        </is>
      </c>
      <c r="D563" s="4" t="n">
        <v>0</v>
      </c>
      <c r="E563" s="4" t="n">
        <v>0</v>
      </c>
      <c r="F563" s="4" t="n">
        <v>3</v>
      </c>
      <c r="G563" s="4">
        <f>SUM(D563:F563)</f>
        <v/>
      </c>
      <c r="H563" s="5" t="n">
        <v>0</v>
      </c>
      <c r="I563" s="5" t="n">
        <v>0</v>
      </c>
      <c r="J563" s="5" t="n">
        <v>53.7</v>
      </c>
      <c r="K563" s="5">
        <f>SUM(H563:J563)</f>
        <v/>
      </c>
      <c r="L563" s="6">
        <f>IF($K$622=0,0,K563/$K$622)</f>
        <v/>
      </c>
      <c r="M563" s="6">
        <f>M562+L563</f>
        <v/>
      </c>
      <c r="N563" s="9">
        <f>IF(M563&lt;=0.8,"A",IF(M563&lt;=0.95,"B","C"))</f>
        <v/>
      </c>
    </row>
    <row r="564">
      <c r="A564" s="2" t="n">
        <v>563</v>
      </c>
      <c r="B564" s="2" t="inlineStr">
        <is>
          <t>214197</t>
        </is>
      </c>
      <c r="C564" s="2" t="inlineStr">
        <is>
          <t>PISCA-PISCA 10M C/100 LED - QUENTE - 220V</t>
        </is>
      </c>
      <c r="D564" s="4" t="n">
        <v>0</v>
      </c>
      <c r="E564" s="4" t="n">
        <v>0</v>
      </c>
      <c r="F564" s="4" t="n">
        <v>3</v>
      </c>
      <c r="G564" s="4">
        <f>SUM(D564:F564)</f>
        <v/>
      </c>
      <c r="H564" s="5" t="n">
        <v>0</v>
      </c>
      <c r="I564" s="5" t="n">
        <v>0</v>
      </c>
      <c r="J564" s="5" t="n">
        <v>52.98</v>
      </c>
      <c r="K564" s="5">
        <f>SUM(H564:J564)</f>
        <v/>
      </c>
      <c r="L564" s="6">
        <f>IF($K$622=0,0,K564/$K$622)</f>
        <v/>
      </c>
      <c r="M564" s="6">
        <f>M563+L564</f>
        <v/>
      </c>
      <c r="N564" s="9">
        <f>IF(M564&lt;=0.8,"A",IF(M564&lt;=0.95,"B","C"))</f>
        <v/>
      </c>
    </row>
    <row r="565">
      <c r="A565" s="2" t="n">
        <v>564</v>
      </c>
      <c r="B565" s="2" t="inlineStr">
        <is>
          <t>215093</t>
        </is>
      </c>
      <c r="C565" s="2" t="inlineStr">
        <is>
          <t>CINTA SHORT CINTURA ALTA - 05690 - LUPO - GG</t>
        </is>
      </c>
      <c r="D565" s="4" t="n">
        <v>0</v>
      </c>
      <c r="E565" s="4" t="n">
        <v>1</v>
      </c>
      <c r="F565" s="4" t="n">
        <v>0</v>
      </c>
      <c r="G565" s="4">
        <f>SUM(D565:F565)</f>
        <v/>
      </c>
      <c r="H565" s="5" t="n">
        <v>0</v>
      </c>
      <c r="I565" s="5" t="n">
        <v>51.9</v>
      </c>
      <c r="J565" s="5" t="n">
        <v>0</v>
      </c>
      <c r="K565" s="5">
        <f>SUM(H565:J565)</f>
        <v/>
      </c>
      <c r="L565" s="6">
        <f>IF($K$622=0,0,K565/$K$622)</f>
        <v/>
      </c>
      <c r="M565" s="6">
        <f>M564+L565</f>
        <v/>
      </c>
      <c r="N565" s="9">
        <f>IF(M565&lt;=0.8,"A",IF(M565&lt;=0.95,"B","C"))</f>
        <v/>
      </c>
    </row>
    <row r="566">
      <c r="A566" s="2" t="n">
        <v>565</v>
      </c>
      <c r="B566" s="2" t="inlineStr">
        <is>
          <t>215218</t>
        </is>
      </c>
      <c r="C566" s="2" t="inlineStr">
        <is>
          <t>KIT CABIDE PARA CALÇA C/5 DIVISORIAS - BRANCO - 1 UNIDADE</t>
        </is>
      </c>
      <c r="D566" s="4" t="n">
        <v>0</v>
      </c>
      <c r="E566" s="4" t="n">
        <v>0</v>
      </c>
      <c r="F566" s="4" t="n">
        <v>2</v>
      </c>
      <c r="G566" s="4">
        <f>SUM(D566:F566)</f>
        <v/>
      </c>
      <c r="H566" s="5" t="n">
        <v>0</v>
      </c>
      <c r="I566" s="5" t="n">
        <v>0</v>
      </c>
      <c r="J566" s="5" t="n">
        <v>51.8</v>
      </c>
      <c r="K566" s="5">
        <f>SUM(H566:J566)</f>
        <v/>
      </c>
      <c r="L566" s="6">
        <f>IF($K$622=0,0,K566/$K$622)</f>
        <v/>
      </c>
      <c r="M566" s="6">
        <f>M565+L566</f>
        <v/>
      </c>
      <c r="N566" s="9">
        <f>IF(M566&lt;=0.8,"A",IF(M566&lt;=0.95,"B","C"))</f>
        <v/>
      </c>
    </row>
    <row r="567">
      <c r="A567" s="2" t="n">
        <v>566</v>
      </c>
      <c r="B567" s="2" t="inlineStr">
        <is>
          <t>214044</t>
        </is>
      </c>
      <c r="C567" s="2" t="inlineStr">
        <is>
          <t>KIT TAPETE DE BANHEIRO SOFT 60X40CM - 3 UNIDADES</t>
        </is>
      </c>
      <c r="D567" s="4" t="n">
        <v>0</v>
      </c>
      <c r="E567" s="4" t="n">
        <v>0</v>
      </c>
      <c r="F567" s="4" t="n">
        <v>1</v>
      </c>
      <c r="G567" s="4">
        <f>SUM(D567:F567)</f>
        <v/>
      </c>
      <c r="H567" s="5" t="n">
        <v>0</v>
      </c>
      <c r="I567" s="5" t="n">
        <v>0</v>
      </c>
      <c r="J567" s="5" t="n">
        <v>49.95</v>
      </c>
      <c r="K567" s="5">
        <f>SUM(H567:J567)</f>
        <v/>
      </c>
      <c r="L567" s="6">
        <f>IF($K$622=0,0,K567/$K$622)</f>
        <v/>
      </c>
      <c r="M567" s="6">
        <f>M566+L567</f>
        <v/>
      </c>
      <c r="N567" s="9">
        <f>IF(M567&lt;=0.8,"A",IF(M567&lt;=0.95,"B","C"))</f>
        <v/>
      </c>
    </row>
    <row r="568">
      <c r="A568" s="2" t="n">
        <v>567</v>
      </c>
      <c r="B568" s="2" t="inlineStr">
        <is>
          <t>MANGUITO-P-FÚCSIA</t>
        </is>
      </c>
      <c r="C568" s="2" t="inlineStr">
        <is>
          <t>Manguito Lupo Original Proteção Solar Uv 50+ Vôlei Ciclismo - Fúcsia,P</t>
        </is>
      </c>
      <c r="D568" s="4" t="n">
        <v>0</v>
      </c>
      <c r="E568" s="4" t="n">
        <v>1</v>
      </c>
      <c r="F568" s="4" t="n">
        <v>0</v>
      </c>
      <c r="G568" s="4">
        <f>SUM(D568:F568)</f>
        <v/>
      </c>
      <c r="H568" s="5" t="n">
        <v>0</v>
      </c>
      <c r="I568" s="5" t="n">
        <v>49.9</v>
      </c>
      <c r="J568" s="5" t="n">
        <v>0</v>
      </c>
      <c r="K568" s="5">
        <f>SUM(H568:J568)</f>
        <v/>
      </c>
      <c r="L568" s="6">
        <f>IF($K$622=0,0,K568/$K$622)</f>
        <v/>
      </c>
      <c r="M568" s="6">
        <f>M567+L568</f>
        <v/>
      </c>
      <c r="N568" s="9">
        <f>IF(M568&lt;=0.8,"A",IF(M568&lt;=0.95,"B","C"))</f>
        <v/>
      </c>
    </row>
    <row r="569">
      <c r="A569" s="2" t="n">
        <v>568</v>
      </c>
      <c r="B569" s="2" t="inlineStr">
        <is>
          <t>215192</t>
        </is>
      </c>
      <c r="C569" s="2" t="inlineStr">
        <is>
          <t>MANGUITO PROTECAO UV - 15002 - LUPO - FÚCSIA - G</t>
        </is>
      </c>
      <c r="D569" s="4" t="n">
        <v>0</v>
      </c>
      <c r="E569" s="4" t="n">
        <v>1</v>
      </c>
      <c r="F569" s="4" t="n">
        <v>0</v>
      </c>
      <c r="G569" s="4">
        <f>SUM(D569:F569)</f>
        <v/>
      </c>
      <c r="H569" s="5" t="n">
        <v>0</v>
      </c>
      <c r="I569" s="5" t="n">
        <v>49.9</v>
      </c>
      <c r="J569" s="5" t="n">
        <v>0</v>
      </c>
      <c r="K569" s="5">
        <f>SUM(H569:J569)</f>
        <v/>
      </c>
      <c r="L569" s="6">
        <f>IF($K$622=0,0,K569/$K$622)</f>
        <v/>
      </c>
      <c r="M569" s="6">
        <f>M568+L569</f>
        <v/>
      </c>
      <c r="N569" s="9">
        <f>IF(M569&lt;=0.8,"A",IF(M569&lt;=0.95,"B","C"))</f>
        <v/>
      </c>
    </row>
    <row r="570">
      <c r="A570" s="2" t="n">
        <v>569</v>
      </c>
      <c r="B570" s="2" t="inlineStr">
        <is>
          <t>_0772</t>
        </is>
      </c>
      <c r="C570" s="2" t="inlineStr">
        <is>
          <t>Tapete Higiênico Premium para cães Petlike Ultrapads Aroma Neutro 60cmx60cm 30 unid.</t>
        </is>
      </c>
      <c r="D570" s="4" t="n">
        <v>0</v>
      </c>
      <c r="E570" s="4" t="n">
        <v>0</v>
      </c>
      <c r="F570" s="4" t="n">
        <v>1</v>
      </c>
      <c r="G570" s="4">
        <f>SUM(D570:F570)</f>
        <v/>
      </c>
      <c r="H570" s="5" t="n">
        <v>0</v>
      </c>
      <c r="I570" s="5" t="n">
        <v>0</v>
      </c>
      <c r="J570" s="5" t="n">
        <v>49.9</v>
      </c>
      <c r="K570" s="5">
        <f>SUM(H570:J570)</f>
        <v/>
      </c>
      <c r="L570" s="6">
        <f>IF($K$622=0,0,K570/$K$622)</f>
        <v/>
      </c>
      <c r="M570" s="6">
        <f>M569+L570</f>
        <v/>
      </c>
      <c r="N570" s="9">
        <f>IF(M570&lt;=0.8,"A",IF(M570&lt;=0.95,"B","C"))</f>
        <v/>
      </c>
    </row>
    <row r="571">
      <c r="A571" s="2" t="n">
        <v>570</v>
      </c>
      <c r="B571" s="2" t="inlineStr">
        <is>
          <t>215320</t>
        </is>
      </c>
      <c r="C571" s="2" t="inlineStr">
        <is>
          <t>PÁ/PENEIRA HIGIENICA IPET - VERMELHO</t>
        </is>
      </c>
      <c r="D571" s="4" t="n">
        <v>0</v>
      </c>
      <c r="E571" s="4" t="n">
        <v>2</v>
      </c>
      <c r="F571" s="4" t="n">
        <v>0</v>
      </c>
      <c r="G571" s="4">
        <f>SUM(D571:F571)</f>
        <v/>
      </c>
      <c r="H571" s="5" t="n">
        <v>0</v>
      </c>
      <c r="I571" s="5" t="n">
        <v>49.8</v>
      </c>
      <c r="J571" s="5" t="n">
        <v>0</v>
      </c>
      <c r="K571" s="5">
        <f>SUM(H571:J571)</f>
        <v/>
      </c>
      <c r="L571" s="6">
        <f>IF($K$622=0,0,K571/$K$622)</f>
        <v/>
      </c>
      <c r="M571" s="6">
        <f>M570+L571</f>
        <v/>
      </c>
      <c r="N571" s="9">
        <f>IF(M571&lt;=0.8,"A",IF(M571&lt;=0.95,"B","C"))</f>
        <v/>
      </c>
    </row>
    <row r="572">
      <c r="A572" s="2" t="n">
        <v>571</v>
      </c>
      <c r="B572" s="2" t="inlineStr">
        <is>
          <t>215511</t>
        </is>
      </c>
      <c r="C572" s="2" t="inlineStr">
        <is>
          <t>GRANULADO HIGIÊNICO BIODEGRADÁVEL  ESPAÇO DE BICHO - GRÃOS FINOS</t>
        </is>
      </c>
      <c r="D572" s="4" t="n">
        <v>0</v>
      </c>
      <c r="E572" s="4" t="n">
        <v>0</v>
      </c>
      <c r="F572" s="4" t="n">
        <v>1</v>
      </c>
      <c r="G572" s="4">
        <f>SUM(D572:F572)</f>
        <v/>
      </c>
      <c r="H572" s="5" t="n">
        <v>0</v>
      </c>
      <c r="I572" s="5" t="n">
        <v>0</v>
      </c>
      <c r="J572" s="5" t="n">
        <v>45.9</v>
      </c>
      <c r="K572" s="5">
        <f>SUM(H572:J572)</f>
        <v/>
      </c>
      <c r="L572" s="6">
        <f>IF($K$622=0,0,K572/$K$622)</f>
        <v/>
      </c>
      <c r="M572" s="6">
        <f>M571+L572</f>
        <v/>
      </c>
      <c r="N572" s="9">
        <f>IF(M572&lt;=0.8,"A",IF(M572&lt;=0.95,"B","C"))</f>
        <v/>
      </c>
    </row>
    <row r="573">
      <c r="A573" s="2" t="n">
        <v>572</v>
      </c>
      <c r="B573" s="2" t="inlineStr">
        <is>
          <t>215066</t>
        </is>
      </c>
      <c r="C573" s="2" t="inlineStr">
        <is>
          <t>CALCINHA BÁSICA S/ COSTURA - 40300 - LUPO - GG - 48 A 50 - PRETO</t>
        </is>
      </c>
      <c r="D573" s="4" t="n">
        <v>0</v>
      </c>
      <c r="E573" s="4" t="n">
        <v>1</v>
      </c>
      <c r="F573" s="4" t="n">
        <v>0</v>
      </c>
      <c r="G573" s="4">
        <f>SUM(D573:F573)</f>
        <v/>
      </c>
      <c r="H573" s="5" t="n">
        <v>0</v>
      </c>
      <c r="I573" s="5" t="n">
        <v>44.9</v>
      </c>
      <c r="J573" s="5" t="n">
        <v>0</v>
      </c>
      <c r="K573" s="5">
        <f>SUM(H573:J573)</f>
        <v/>
      </c>
      <c r="L573" s="6">
        <f>IF($K$622=0,0,K573/$K$622)</f>
        <v/>
      </c>
      <c r="M573" s="6">
        <f>M572+L573</f>
        <v/>
      </c>
      <c r="N573" s="9">
        <f>IF(M573&lt;=0.8,"A",IF(M573&lt;=0.95,"B","C"))</f>
        <v/>
      </c>
    </row>
    <row r="574">
      <c r="A574" s="2" t="n">
        <v>573</v>
      </c>
      <c r="B574" s="2" t="inlineStr">
        <is>
          <t>KIT5-370ML-VERMELHO</t>
        </is>
      </c>
      <c r="C574" s="2" t="inlineStr">
        <is>
          <t>Kit 3 / 5 ou 10 Potes Vidro Hermético mantimentos marmita 370ml - Pote Hermético - Oliver Home - 5 Potes,Vermelho</t>
        </is>
      </c>
      <c r="D574" s="4" t="n">
        <v>0</v>
      </c>
      <c r="E574" s="4" t="n">
        <v>0</v>
      </c>
      <c r="F574" s="4" t="n">
        <v>1</v>
      </c>
      <c r="G574" s="4">
        <f>SUM(D574:F574)</f>
        <v/>
      </c>
      <c r="H574" s="5" t="n">
        <v>0</v>
      </c>
      <c r="I574" s="5" t="n">
        <v>0</v>
      </c>
      <c r="J574" s="5" t="n">
        <v>44.89</v>
      </c>
      <c r="K574" s="5">
        <f>SUM(H574:J574)</f>
        <v/>
      </c>
      <c r="L574" s="6">
        <f>IF($K$622=0,0,K574/$K$622)</f>
        <v/>
      </c>
      <c r="M574" s="6">
        <f>M573+L574</f>
        <v/>
      </c>
      <c r="N574" s="9">
        <f>IF(M574&lt;=0.8,"A",IF(M574&lt;=0.95,"B","C"))</f>
        <v/>
      </c>
    </row>
    <row r="575">
      <c r="A575" s="2" t="n">
        <v>574</v>
      </c>
      <c r="B575" s="2" t="inlineStr">
        <is>
          <t>215863</t>
        </is>
      </c>
      <c r="C575" s="2" t="inlineStr">
        <is>
          <t>KIT POTE DE VIDRO MARMITA - 370ML - VERMELHO - 5 POTES</t>
        </is>
      </c>
      <c r="D575" s="4" t="n">
        <v>0</v>
      </c>
      <c r="E575" s="4" t="n">
        <v>0</v>
      </c>
      <c r="F575" s="4" t="n">
        <v>1</v>
      </c>
      <c r="G575" s="4">
        <f>SUM(D575:F575)</f>
        <v/>
      </c>
      <c r="H575" s="5" t="n">
        <v>0</v>
      </c>
      <c r="I575" s="5" t="n">
        <v>0</v>
      </c>
      <c r="J575" s="5" t="n">
        <v>44.89</v>
      </c>
      <c r="K575" s="5">
        <f>SUM(H575:J575)</f>
        <v/>
      </c>
      <c r="L575" s="6">
        <f>IF($K$622=0,0,K575/$K$622)</f>
        <v/>
      </c>
      <c r="M575" s="6">
        <f>M574+L575</f>
        <v/>
      </c>
      <c r="N575" s="9">
        <f>IF(M575&lt;=0.8,"A",IF(M575&lt;=0.95,"B","C"))</f>
        <v/>
      </c>
    </row>
    <row r="576">
      <c r="A576" s="2" t="n">
        <v>575</v>
      </c>
      <c r="B576" s="2" t="inlineStr">
        <is>
          <t>213598</t>
        </is>
      </c>
      <c r="C576" s="2" t="inlineStr">
        <is>
          <t>KIT 2 BRINQUEDO PARA GATOS COM CATNIP - BOLINHA - VERDE</t>
        </is>
      </c>
      <c r="D576" s="4" t="n">
        <v>0</v>
      </c>
      <c r="E576" s="4" t="n">
        <v>3</v>
      </c>
      <c r="F576" s="4" t="n">
        <v>0</v>
      </c>
      <c r="G576" s="4">
        <f>SUM(D576:F576)</f>
        <v/>
      </c>
      <c r="H576" s="5" t="n">
        <v>0</v>
      </c>
      <c r="I576" s="5" t="n">
        <v>44.7</v>
      </c>
      <c r="J576" s="5" t="n">
        <v>0</v>
      </c>
      <c r="K576" s="5">
        <f>SUM(H576:J576)</f>
        <v/>
      </c>
      <c r="L576" s="6">
        <f>IF($K$622=0,0,K576/$K$622)</f>
        <v/>
      </c>
      <c r="M576" s="6">
        <f>M575+L576</f>
        <v/>
      </c>
      <c r="N576" s="9">
        <f>IF(M576&lt;=0.8,"A",IF(M576&lt;=0.95,"B","C"))</f>
        <v/>
      </c>
    </row>
    <row r="577">
      <c r="A577" s="2" t="n">
        <v>576</v>
      </c>
      <c r="B577" s="2" t="inlineStr">
        <is>
          <t>213591</t>
        </is>
      </c>
      <c r="C577" s="2" t="inlineStr">
        <is>
          <t>KIT 2 BRINQUEDO PARA GATOS COM CATNIP - PATINHA - AMARELO</t>
        </is>
      </c>
      <c r="D577" s="4" t="n">
        <v>0</v>
      </c>
      <c r="E577" s="4" t="n">
        <v>2</v>
      </c>
      <c r="F577" s="4" t="n">
        <v>1</v>
      </c>
      <c r="G577" s="4">
        <f>SUM(D577:F577)</f>
        <v/>
      </c>
      <c r="H577" s="5" t="n">
        <v>0</v>
      </c>
      <c r="I577" s="5" t="n">
        <v>29.8</v>
      </c>
      <c r="J577" s="5" t="n">
        <v>14.9</v>
      </c>
      <c r="K577" s="5">
        <f>SUM(H577:J577)</f>
        <v/>
      </c>
      <c r="L577" s="6">
        <f>IF($K$622=0,0,K577/$K$622)</f>
        <v/>
      </c>
      <c r="M577" s="6">
        <f>M576+L577</f>
        <v/>
      </c>
      <c r="N577" s="9">
        <f>IF(M577&lt;=0.8,"A",IF(M577&lt;=0.95,"B","C"))</f>
        <v/>
      </c>
    </row>
    <row r="578">
      <c r="A578" s="2" t="n">
        <v>577</v>
      </c>
      <c r="B578" s="2" t="inlineStr">
        <is>
          <t>213595</t>
        </is>
      </c>
      <c r="C578" s="2" t="inlineStr">
        <is>
          <t>KIT 2 BRINQUEDO PARA GATOS COM CATNIP - BOLINHA - ROSA</t>
        </is>
      </c>
      <c r="D578" s="4" t="n">
        <v>0</v>
      </c>
      <c r="E578" s="4" t="n">
        <v>2</v>
      </c>
      <c r="F578" s="4" t="n">
        <v>1</v>
      </c>
      <c r="G578" s="4">
        <f>SUM(D578:F578)</f>
        <v/>
      </c>
      <c r="H578" s="5" t="n">
        <v>0</v>
      </c>
      <c r="I578" s="5" t="n">
        <v>29.8</v>
      </c>
      <c r="J578" s="5" t="n">
        <v>14.9</v>
      </c>
      <c r="K578" s="5">
        <f>SUM(H578:J578)</f>
        <v/>
      </c>
      <c r="L578" s="6">
        <f>IF($K$622=0,0,K578/$K$622)</f>
        <v/>
      </c>
      <c r="M578" s="6">
        <f>M577+L578</f>
        <v/>
      </c>
      <c r="N578" s="9">
        <f>IF(M578&lt;=0.8,"A",IF(M578&lt;=0.95,"B","C"))</f>
        <v/>
      </c>
    </row>
    <row r="579">
      <c r="A579" s="2" t="n">
        <v>578</v>
      </c>
      <c r="B579" s="2" t="inlineStr">
        <is>
          <t>213593</t>
        </is>
      </c>
      <c r="C579" s="2" t="inlineStr">
        <is>
          <t>KIT 2 BRINQUEDO PARA GATOS COM CATNIP - GATINHO - AMARELO</t>
        </is>
      </c>
      <c r="D579" s="4" t="n">
        <v>0</v>
      </c>
      <c r="E579" s="4" t="n">
        <v>1</v>
      </c>
      <c r="F579" s="4" t="n">
        <v>2</v>
      </c>
      <c r="G579" s="4">
        <f>SUM(D579:F579)</f>
        <v/>
      </c>
      <c r="H579" s="5" t="n">
        <v>0</v>
      </c>
      <c r="I579" s="5" t="n">
        <v>14.9</v>
      </c>
      <c r="J579" s="5" t="n">
        <v>29.8</v>
      </c>
      <c r="K579" s="5">
        <f>SUM(H579:J579)</f>
        <v/>
      </c>
      <c r="L579" s="6">
        <f>IF($K$622=0,0,K579/$K$622)</f>
        <v/>
      </c>
      <c r="M579" s="6">
        <f>M578+L579</f>
        <v/>
      </c>
      <c r="N579" s="9">
        <f>IF(M579&lt;=0.8,"A",IF(M579&lt;=0.95,"B","C"))</f>
        <v/>
      </c>
    </row>
    <row r="580">
      <c r="A580" s="2" t="n">
        <v>579</v>
      </c>
      <c r="B580" s="2" t="inlineStr">
        <is>
          <t>213590</t>
        </is>
      </c>
      <c r="C580" s="2" t="inlineStr">
        <is>
          <t>KIT 2 BRINQUEDO PARA GATOS COM CATNIP - GATINHO - BRANCO</t>
        </is>
      </c>
      <c r="D580" s="4" t="n">
        <v>0</v>
      </c>
      <c r="E580" s="4" t="n">
        <v>1</v>
      </c>
      <c r="F580" s="4" t="n">
        <v>2</v>
      </c>
      <c r="G580" s="4">
        <f>SUM(D580:F580)</f>
        <v/>
      </c>
      <c r="H580" s="5" t="n">
        <v>0</v>
      </c>
      <c r="I580" s="5" t="n">
        <v>14.9</v>
      </c>
      <c r="J580" s="5" t="n">
        <v>29.8</v>
      </c>
      <c r="K580" s="5">
        <f>SUM(H580:J580)</f>
        <v/>
      </c>
      <c r="L580" s="6">
        <f>IF($K$622=0,0,K580/$K$622)</f>
        <v/>
      </c>
      <c r="M580" s="6">
        <f>M579+L580</f>
        <v/>
      </c>
      <c r="N580" s="9">
        <f>IF(M580&lt;=0.8,"A",IF(M580&lt;=0.95,"B","C"))</f>
        <v/>
      </c>
    </row>
    <row r="581">
      <c r="A581" s="2" t="n">
        <v>580</v>
      </c>
      <c r="B581" s="2" t="inlineStr">
        <is>
          <t>TIURAN-AEROSOL-125ML</t>
        </is>
      </c>
      <c r="C581" s="2" t="inlineStr">
        <is>
          <t>Tiuran Aerosol 125ml Contra Sarna Fungo Cães E Gatos Duprat Sem Cor - SEM COR</t>
        </is>
      </c>
      <c r="D581" s="4" t="n">
        <v>0</v>
      </c>
      <c r="E581" s="4" t="n">
        <v>0</v>
      </c>
      <c r="F581" s="4" t="n">
        <v>1</v>
      </c>
      <c r="G581" s="4">
        <f>SUM(D581:F581)</f>
        <v/>
      </c>
      <c r="H581" s="5" t="n">
        <v>0</v>
      </c>
      <c r="I581" s="5" t="n">
        <v>0</v>
      </c>
      <c r="J581" s="5" t="n">
        <v>40.86</v>
      </c>
      <c r="K581" s="5">
        <f>SUM(H581:J581)</f>
        <v/>
      </c>
      <c r="L581" s="6">
        <f>IF($K$622=0,0,K581/$K$622)</f>
        <v/>
      </c>
      <c r="M581" s="6">
        <f>M580+L581</f>
        <v/>
      </c>
      <c r="N581" s="9">
        <f>IF(M581&lt;=0.8,"A",IF(M581&lt;=0.95,"B","C"))</f>
        <v/>
      </c>
    </row>
    <row r="582">
      <c r="A582" s="2" t="n">
        <v>581</v>
      </c>
      <c r="B582" s="2" t="inlineStr">
        <is>
          <t>215315</t>
        </is>
      </c>
      <c r="C582" s="2" t="inlineStr">
        <is>
          <t>BANDEJA HIGIENICA IPET  - VERMELHO</t>
        </is>
      </c>
      <c r="D582" s="4" t="n">
        <v>0</v>
      </c>
      <c r="E582" s="4" t="n">
        <v>1</v>
      </c>
      <c r="F582" s="4" t="n">
        <v>0</v>
      </c>
      <c r="G582" s="4">
        <f>SUM(D582:F582)</f>
        <v/>
      </c>
      <c r="H582" s="5" t="n">
        <v>0</v>
      </c>
      <c r="I582" s="5" t="n">
        <v>39.9</v>
      </c>
      <c r="J582" s="5" t="n">
        <v>0</v>
      </c>
      <c r="K582" s="5">
        <f>SUM(H582:J582)</f>
        <v/>
      </c>
      <c r="L582" s="6">
        <f>IF($K$622=0,0,K582/$K$622)</f>
        <v/>
      </c>
      <c r="M582" s="6">
        <f>M581+L582</f>
        <v/>
      </c>
      <c r="N582" s="9">
        <f>IF(M582&lt;=0.8,"A",IF(M582&lt;=0.95,"B","C"))</f>
        <v/>
      </c>
    </row>
    <row r="583">
      <c r="A583" s="2" t="n">
        <v>582</v>
      </c>
      <c r="B583" s="2" t="inlineStr">
        <is>
          <t>213476</t>
        </is>
      </c>
      <c r="C583" s="2" t="inlineStr">
        <is>
          <t>VERMICANIS PLUS CAES C/4 COMP</t>
        </is>
      </c>
      <c r="D583" s="4" t="n">
        <v>0</v>
      </c>
      <c r="E583" s="4" t="n">
        <v>1</v>
      </c>
      <c r="F583" s="4" t="n">
        <v>0</v>
      </c>
      <c r="G583" s="4">
        <f>SUM(D583:F583)</f>
        <v/>
      </c>
      <c r="H583" s="5" t="n">
        <v>0</v>
      </c>
      <c r="I583" s="5" t="n">
        <v>39.9</v>
      </c>
      <c r="J583" s="5" t="n">
        <v>0</v>
      </c>
      <c r="K583" s="5">
        <f>SUM(H583:J583)</f>
        <v/>
      </c>
      <c r="L583" s="6">
        <f>IF($K$622=0,0,K583/$K$622)</f>
        <v/>
      </c>
      <c r="M583" s="6">
        <f>M582+L583</f>
        <v/>
      </c>
      <c r="N583" s="9">
        <f>IF(M583&lt;=0.8,"A",IF(M583&lt;=0.95,"B","C"))</f>
        <v/>
      </c>
    </row>
    <row r="584">
      <c r="A584" s="2" t="n">
        <v>583</v>
      </c>
      <c r="B584" s="2" t="inlineStr">
        <is>
          <t>214774</t>
        </is>
      </c>
      <c r="C584" s="2" t="inlineStr">
        <is>
          <t>SUTIA BASICO SEM COSTURA - 41100 - LUPO - P - 36 A 38 - NUDE</t>
        </is>
      </c>
      <c r="D584" s="4" t="n">
        <v>0</v>
      </c>
      <c r="E584" s="4" t="n">
        <v>1</v>
      </c>
      <c r="F584" s="4" t="n">
        <v>0</v>
      </c>
      <c r="G584" s="4">
        <f>SUM(D584:F584)</f>
        <v/>
      </c>
      <c r="H584" s="5" t="n">
        <v>0</v>
      </c>
      <c r="I584" s="5" t="n">
        <v>39.9</v>
      </c>
      <c r="J584" s="5" t="n">
        <v>0</v>
      </c>
      <c r="K584" s="5">
        <f>SUM(H584:J584)</f>
        <v/>
      </c>
      <c r="L584" s="6">
        <f>IF($K$622=0,0,K584/$K$622)</f>
        <v/>
      </c>
      <c r="M584" s="6">
        <f>M583+L584</f>
        <v/>
      </c>
      <c r="N584" s="9">
        <f>IF(M584&lt;=0.8,"A",IF(M584&lt;=0.95,"B","C"))</f>
        <v/>
      </c>
    </row>
    <row r="585">
      <c r="A585" s="2" t="n">
        <v>584</v>
      </c>
      <c r="B585" s="2" t="inlineStr">
        <is>
          <t>215591</t>
        </is>
      </c>
      <c r="C585" s="2" t="inlineStr">
        <is>
          <t>PUPPY ACTION VERMIFUGO 30ML DECHRA</t>
        </is>
      </c>
      <c r="D585" s="4" t="n">
        <v>0</v>
      </c>
      <c r="E585" s="4" t="n">
        <v>0</v>
      </c>
      <c r="F585" s="4" t="n">
        <v>1</v>
      </c>
      <c r="G585" s="4">
        <f>SUM(D585:F585)</f>
        <v/>
      </c>
      <c r="H585" s="5" t="n">
        <v>0</v>
      </c>
      <c r="I585" s="5" t="n">
        <v>0</v>
      </c>
      <c r="J585" s="5" t="n">
        <v>39.9</v>
      </c>
      <c r="K585" s="5">
        <f>SUM(H585:J585)</f>
        <v/>
      </c>
      <c r="L585" s="6">
        <f>IF($K$622=0,0,K585/$K$622)</f>
        <v/>
      </c>
      <c r="M585" s="6">
        <f>M584+L585</f>
        <v/>
      </c>
      <c r="N585" s="9">
        <f>IF(M585&lt;=0.8,"A",IF(M585&lt;=0.95,"B","C"))</f>
        <v/>
      </c>
    </row>
    <row r="586">
      <c r="A586" s="2" t="n">
        <v>585</v>
      </c>
      <c r="B586" s="2" t="inlineStr">
        <is>
          <t>213712</t>
        </is>
      </c>
      <c r="C586" s="2" t="inlineStr">
        <is>
          <t>VERMICANIS PLUS CAES C/4 COMP - 800MG</t>
        </is>
      </c>
      <c r="D586" s="4" t="n">
        <v>0</v>
      </c>
      <c r="E586" s="4" t="n">
        <v>0</v>
      </c>
      <c r="F586" s="4" t="n">
        <v>1</v>
      </c>
      <c r="G586" s="4">
        <f>SUM(D586:F586)</f>
        <v/>
      </c>
      <c r="H586" s="5" t="n">
        <v>0</v>
      </c>
      <c r="I586" s="5" t="n">
        <v>0</v>
      </c>
      <c r="J586" s="5" t="n">
        <v>39.9</v>
      </c>
      <c r="K586" s="5">
        <f>SUM(H586:J586)</f>
        <v/>
      </c>
      <c r="L586" s="6">
        <f>IF($K$622=0,0,K586/$K$622)</f>
        <v/>
      </c>
      <c r="M586" s="6">
        <f>M585+L586</f>
        <v/>
      </c>
      <c r="N586" s="9">
        <f>IF(M586&lt;=0.8,"A",IF(M586&lt;=0.95,"B","C"))</f>
        <v/>
      </c>
    </row>
    <row r="587">
      <c r="A587" s="2" t="n">
        <v>586</v>
      </c>
      <c r="B587" s="2" t="inlineStr">
        <is>
          <t>215313</t>
        </is>
      </c>
      <c r="C587" s="2" t="inlineStr">
        <is>
          <t>BANDEJA HIGIENICA IPET  - AZUL</t>
        </is>
      </c>
      <c r="D587" s="4" t="n">
        <v>0</v>
      </c>
      <c r="E587" s="4" t="n">
        <v>0</v>
      </c>
      <c r="F587" s="4" t="n">
        <v>1</v>
      </c>
      <c r="G587" s="4">
        <f>SUM(D587:F587)</f>
        <v/>
      </c>
      <c r="H587" s="5" t="n">
        <v>0</v>
      </c>
      <c r="I587" s="5" t="n">
        <v>0</v>
      </c>
      <c r="J587" s="5" t="n">
        <v>39.9</v>
      </c>
      <c r="K587" s="5">
        <f>SUM(H587:J587)</f>
        <v/>
      </c>
      <c r="L587" s="6">
        <f>IF($K$622=0,0,K587/$K$622)</f>
        <v/>
      </c>
      <c r="M587" s="6">
        <f>M586+L587</f>
        <v/>
      </c>
      <c r="N587" s="9">
        <f>IF(M587&lt;=0.8,"A",IF(M587&lt;=0.95,"B","C"))</f>
        <v/>
      </c>
    </row>
    <row r="588">
      <c r="A588" s="2" t="n">
        <v>587</v>
      </c>
      <c r="B588" s="2" t="inlineStr">
        <is>
          <t>214814</t>
        </is>
      </c>
      <c r="C588" s="2" t="inlineStr">
        <is>
          <t>KIT POTE DE VIDRO C/ TAMPA DE BAMBU - 300ML - 4 UNIDADES</t>
        </is>
      </c>
      <c r="D588" s="4" t="n">
        <v>0</v>
      </c>
      <c r="E588" s="4" t="n">
        <v>0</v>
      </c>
      <c r="F588" s="4" t="n">
        <v>1</v>
      </c>
      <c r="G588" s="4">
        <f>SUM(D588:F588)</f>
        <v/>
      </c>
      <c r="H588" s="5" t="n">
        <v>0</v>
      </c>
      <c r="I588" s="5" t="n">
        <v>0</v>
      </c>
      <c r="J588" s="5" t="n">
        <v>39.89</v>
      </c>
      <c r="K588" s="5">
        <f>SUM(H588:J588)</f>
        <v/>
      </c>
      <c r="L588" s="6">
        <f>IF($K$622=0,0,K588/$K$622)</f>
        <v/>
      </c>
      <c r="M588" s="6">
        <f>M587+L588</f>
        <v/>
      </c>
      <c r="N588" s="9">
        <f>IF(M588&lt;=0.8,"A",IF(M588&lt;=0.95,"B","C"))</f>
        <v/>
      </c>
    </row>
    <row r="589">
      <c r="A589" s="2" t="n">
        <v>588</v>
      </c>
      <c r="B589" s="2" t="inlineStr">
        <is>
          <t>MLB6853758576</t>
        </is>
      </c>
      <c r="C589" s="2" t="inlineStr">
        <is>
          <t>Antiparasitário Talfon Top 100g Pó Para Cães E Aves Carrapatos E Pulgas Verde-claro - Verde-claro</t>
        </is>
      </c>
      <c r="D589" s="4" t="n">
        <v>0</v>
      </c>
      <c r="E589" s="4" t="n">
        <v>0</v>
      </c>
      <c r="F589" s="4" t="n">
        <v>2</v>
      </c>
      <c r="G589" s="4">
        <f>SUM(D589:F589)</f>
        <v/>
      </c>
      <c r="H589" s="5" t="n">
        <v>0</v>
      </c>
      <c r="I589" s="5" t="n">
        <v>0</v>
      </c>
      <c r="J589" s="5" t="n">
        <v>39.8</v>
      </c>
      <c r="K589" s="5">
        <f>SUM(H589:J589)</f>
        <v/>
      </c>
      <c r="L589" s="6">
        <f>IF($K$622=0,0,K589/$K$622)</f>
        <v/>
      </c>
      <c r="M589" s="6">
        <f>M588+L589</f>
        <v/>
      </c>
      <c r="N589" s="9">
        <f>IF(M589&lt;=0.8,"A",IF(M589&lt;=0.95,"B","C"))</f>
        <v/>
      </c>
    </row>
    <row r="590">
      <c r="A590" s="2" t="n">
        <v>589</v>
      </c>
      <c r="B590" s="2" t="inlineStr">
        <is>
          <t>213556</t>
        </is>
      </c>
      <c r="C590" s="2" t="inlineStr">
        <is>
          <t>BRINQUEDO INTERATIVO PARA GATOS ARRANHADOR VARINHA - PENA</t>
        </is>
      </c>
      <c r="D590" s="4" t="n">
        <v>0</v>
      </c>
      <c r="E590" s="4" t="n">
        <v>1</v>
      </c>
      <c r="F590" s="4" t="n">
        <v>1</v>
      </c>
      <c r="G590" s="4">
        <f>SUM(D590:F590)</f>
        <v/>
      </c>
      <c r="H590" s="5" t="n">
        <v>0</v>
      </c>
      <c r="I590" s="5" t="n">
        <v>19.9</v>
      </c>
      <c r="J590" s="5" t="n">
        <v>19.89</v>
      </c>
      <c r="K590" s="5">
        <f>SUM(H590:J590)</f>
        <v/>
      </c>
      <c r="L590" s="6">
        <f>IF($K$622=0,0,K590/$K$622)</f>
        <v/>
      </c>
      <c r="M590" s="6">
        <f>M589+L590</f>
        <v/>
      </c>
      <c r="N590" s="9">
        <f>IF(M590&lt;=0.8,"A",IF(M590&lt;=0.95,"B","C"))</f>
        <v/>
      </c>
    </row>
    <row r="591">
      <c r="A591" s="2" t="n">
        <v>590</v>
      </c>
      <c r="B591" s="2" t="inlineStr">
        <is>
          <t>214765</t>
        </is>
      </c>
      <c r="C591" s="2" t="inlineStr">
        <is>
          <t>SUTIA BASICO SEM COSTURA - 41100 - LUPO - GG - 48 A 50 - PRETO</t>
        </is>
      </c>
      <c r="D591" s="4" t="n">
        <v>0</v>
      </c>
      <c r="E591" s="4" t="n">
        <v>1</v>
      </c>
      <c r="F591" s="4" t="n">
        <v>0</v>
      </c>
      <c r="G591" s="4">
        <f>SUM(D591:F591)</f>
        <v/>
      </c>
      <c r="H591" s="5" t="n">
        <v>0</v>
      </c>
      <c r="I591" s="5" t="n">
        <v>39.1</v>
      </c>
      <c r="J591" s="5" t="n">
        <v>0</v>
      </c>
      <c r="K591" s="5">
        <f>SUM(H591:J591)</f>
        <v/>
      </c>
      <c r="L591" s="6">
        <f>IF($K$622=0,0,K591/$K$622)</f>
        <v/>
      </c>
      <c r="M591" s="6">
        <f>M590+L591</f>
        <v/>
      </c>
      <c r="N591" s="9">
        <f>IF(M591&lt;=0.8,"A",IF(M591&lt;=0.95,"B","C"))</f>
        <v/>
      </c>
    </row>
    <row r="592">
      <c r="A592" s="2" t="n">
        <v>591</v>
      </c>
      <c r="B592" s="2" t="inlineStr">
        <is>
          <t>214766</t>
        </is>
      </c>
      <c r="C592" s="2" t="inlineStr">
        <is>
          <t>SUTIA BASICO SEM COSTURA - 41100 - LUPO - P - 36 A 38 - BRANCO</t>
        </is>
      </c>
      <c r="D592" s="4" t="n">
        <v>0</v>
      </c>
      <c r="E592" s="4" t="n">
        <v>1</v>
      </c>
      <c r="F592" s="4" t="n">
        <v>0</v>
      </c>
      <c r="G592" s="4">
        <f>SUM(D592:F592)</f>
        <v/>
      </c>
      <c r="H592" s="5" t="n">
        <v>0</v>
      </c>
      <c r="I592" s="5" t="n">
        <v>39.1</v>
      </c>
      <c r="J592" s="5" t="n">
        <v>0</v>
      </c>
      <c r="K592" s="5">
        <f>SUM(H592:J592)</f>
        <v/>
      </c>
      <c r="L592" s="6">
        <f>IF($K$622=0,0,K592/$K$622)</f>
        <v/>
      </c>
      <c r="M592" s="6">
        <f>M591+L592</f>
        <v/>
      </c>
      <c r="N592" s="9">
        <f>IF(M592&lt;=0.8,"A",IF(M592&lt;=0.95,"B","C"))</f>
        <v/>
      </c>
    </row>
    <row r="593">
      <c r="A593" s="2" t="n">
        <v>592</v>
      </c>
      <c r="B593" s="2" t="inlineStr">
        <is>
          <t>215293</t>
        </is>
      </c>
      <c r="C593" s="2" t="inlineStr">
        <is>
          <t>VETMAX PLUS C/4 COMP</t>
        </is>
      </c>
      <c r="D593" s="4" t="n">
        <v>0</v>
      </c>
      <c r="E593" s="4" t="n">
        <v>0</v>
      </c>
      <c r="F593" s="4" t="n">
        <v>1</v>
      </c>
      <c r="G593" s="4">
        <f>SUM(D593:F593)</f>
        <v/>
      </c>
      <c r="H593" s="5" t="n">
        <v>0</v>
      </c>
      <c r="I593" s="5" t="n">
        <v>0</v>
      </c>
      <c r="J593" s="5" t="n">
        <v>38.9</v>
      </c>
      <c r="K593" s="5">
        <f>SUM(H593:J593)</f>
        <v/>
      </c>
      <c r="L593" s="6">
        <f>IF($K$622=0,0,K593/$K$622)</f>
        <v/>
      </c>
      <c r="M593" s="6">
        <f>M592+L593</f>
        <v/>
      </c>
      <c r="N593" s="9">
        <f>IF(M593&lt;=0.8,"A",IF(M593&lt;=0.95,"B","C"))</f>
        <v/>
      </c>
    </row>
    <row r="594">
      <c r="A594" s="2" t="n">
        <v>593</v>
      </c>
      <c r="B594" s="2" t="inlineStr">
        <is>
          <t>LEXIN-30MG</t>
        </is>
      </c>
      <c r="C594" s="2" t="inlineStr">
        <is>
          <t>Lexin 300 mg Duprat Antibiótico para Cães - Blíster 6 Comprimidos</t>
        </is>
      </c>
      <c r="D594" s="4" t="n">
        <v>0</v>
      </c>
      <c r="E594" s="4" t="n">
        <v>1</v>
      </c>
      <c r="F594" s="4" t="n">
        <v>1</v>
      </c>
      <c r="G594" s="4">
        <f>SUM(D594:F594)</f>
        <v/>
      </c>
      <c r="H594" s="5" t="n">
        <v>0</v>
      </c>
      <c r="I594" s="5" t="n">
        <v>18.9</v>
      </c>
      <c r="J594" s="5" t="n">
        <v>18.9</v>
      </c>
      <c r="K594" s="5">
        <f>SUM(H594:J594)</f>
        <v/>
      </c>
      <c r="L594" s="6">
        <f>IF($K$622=0,0,K594/$K$622)</f>
        <v/>
      </c>
      <c r="M594" s="6">
        <f>M593+L594</f>
        <v/>
      </c>
      <c r="N594" s="9">
        <f>IF(M594&lt;=0.8,"A",IF(M594&lt;=0.95,"B","C"))</f>
        <v/>
      </c>
    </row>
    <row r="595">
      <c r="A595" s="2" t="n">
        <v>594</v>
      </c>
      <c r="B595" s="2" t="inlineStr">
        <is>
          <t>213684</t>
        </is>
      </c>
      <c r="C595" s="2" t="inlineStr">
        <is>
          <t>DUPRANCIL ANTIBACTERICIDA EM PÓ DUPRAT - 40G</t>
        </is>
      </c>
      <c r="D595" s="4" t="n">
        <v>0</v>
      </c>
      <c r="E595" s="4" t="n">
        <v>1</v>
      </c>
      <c r="F595" s="4" t="n">
        <v>0</v>
      </c>
      <c r="G595" s="4">
        <f>SUM(D595:F595)</f>
        <v/>
      </c>
      <c r="H595" s="5" t="n">
        <v>0</v>
      </c>
      <c r="I595" s="5" t="n">
        <v>35.9</v>
      </c>
      <c r="J595" s="5" t="n">
        <v>0</v>
      </c>
      <c r="K595" s="5">
        <f>SUM(H595:J595)</f>
        <v/>
      </c>
      <c r="L595" s="6">
        <f>IF($K$622=0,0,K595/$K$622)</f>
        <v/>
      </c>
      <c r="M595" s="6">
        <f>M594+L595</f>
        <v/>
      </c>
      <c r="N595" s="9">
        <f>IF(M595&lt;=0.8,"A",IF(M595&lt;=0.95,"B","C"))</f>
        <v/>
      </c>
    </row>
    <row r="596">
      <c r="A596" s="2" t="n">
        <v>595</v>
      </c>
      <c r="B596" s="2" t="inlineStr">
        <is>
          <t>0659</t>
        </is>
      </c>
      <c r="C596" s="2" t="inlineStr">
        <is>
          <t>Vermifugo Duprazol Soluçao Oral 30 Ml</t>
        </is>
      </c>
      <c r="D596" s="4" t="n">
        <v>0</v>
      </c>
      <c r="E596" s="4" t="n">
        <v>1</v>
      </c>
      <c r="F596" s="4" t="n">
        <v>1</v>
      </c>
      <c r="G596" s="4">
        <f>SUM(D596:F596)</f>
        <v/>
      </c>
      <c r="H596" s="5" t="n">
        <v>0</v>
      </c>
      <c r="I596" s="5" t="n">
        <v>17.9</v>
      </c>
      <c r="J596" s="5" t="n">
        <v>17.9</v>
      </c>
      <c r="K596" s="5">
        <f>SUM(H596:J596)</f>
        <v/>
      </c>
      <c r="L596" s="6">
        <f>IF($K$622=0,0,K596/$K$622)</f>
        <v/>
      </c>
      <c r="M596" s="6">
        <f>M595+L596</f>
        <v/>
      </c>
      <c r="N596" s="9">
        <f>IF(M596&lt;=0.8,"A",IF(M596&lt;=0.95,"B","C"))</f>
        <v/>
      </c>
    </row>
    <row r="597">
      <c r="A597" s="2" t="n">
        <v>596</v>
      </c>
      <c r="B597" s="2" t="inlineStr">
        <is>
          <t>214052</t>
        </is>
      </c>
      <c r="C597" s="2" t="inlineStr">
        <is>
          <t>KIT CABIDE DE MADEIRA - 6 UNIDADES</t>
        </is>
      </c>
      <c r="D597" s="4" t="n">
        <v>0</v>
      </c>
      <c r="E597" s="4" t="n">
        <v>1</v>
      </c>
      <c r="F597" s="4" t="n">
        <v>0</v>
      </c>
      <c r="G597" s="4">
        <f>SUM(D597:F597)</f>
        <v/>
      </c>
      <c r="H597" s="5" t="n">
        <v>0</v>
      </c>
      <c r="I597" s="5" t="n">
        <v>34.9</v>
      </c>
      <c r="J597" s="5" t="n">
        <v>0</v>
      </c>
      <c r="K597" s="5">
        <f>SUM(H597:J597)</f>
        <v/>
      </c>
      <c r="L597" s="6">
        <f>IF($K$622=0,0,K597/$K$622)</f>
        <v/>
      </c>
      <c r="M597" s="6">
        <f>M596+L597</f>
        <v/>
      </c>
      <c r="N597" s="9">
        <f>IF(M597&lt;=0.8,"A",IF(M597&lt;=0.95,"B","C"))</f>
        <v/>
      </c>
    </row>
    <row r="598">
      <c r="A598" s="2" t="n">
        <v>597</v>
      </c>
      <c r="B598" s="2" t="inlineStr">
        <is>
          <t>214090</t>
        </is>
      </c>
      <c r="C598" s="2" t="inlineStr">
        <is>
          <t>PISCA-PISCA CORTINA FIO DE FADA - LUZ FRIA (BRANCA)</t>
        </is>
      </c>
      <c r="D598" s="4" t="n">
        <v>0</v>
      </c>
      <c r="E598" s="4" t="n">
        <v>1</v>
      </c>
      <c r="F598" s="4" t="n">
        <v>0</v>
      </c>
      <c r="G598" s="4">
        <f>SUM(D598:F598)</f>
        <v/>
      </c>
      <c r="H598" s="5" t="n">
        <v>0</v>
      </c>
      <c r="I598" s="5" t="n">
        <v>33.16</v>
      </c>
      <c r="J598" s="5" t="n">
        <v>0</v>
      </c>
      <c r="K598" s="5">
        <f>SUM(H598:J598)</f>
        <v/>
      </c>
      <c r="L598" s="6">
        <f>IF($K$622=0,0,K598/$K$622)</f>
        <v/>
      </c>
      <c r="M598" s="6">
        <f>M597+L598</f>
        <v/>
      </c>
      <c r="N598" s="9">
        <f>IF(M598&lt;=0.8,"A",IF(M598&lt;=0.95,"B","C"))</f>
        <v/>
      </c>
    </row>
    <row r="599">
      <c r="A599" s="2" t="n">
        <v>598</v>
      </c>
      <c r="B599" s="2" t="inlineStr">
        <is>
          <t>215806</t>
        </is>
      </c>
      <c r="C599" s="2" t="inlineStr">
        <is>
          <t>KIT POTE DE VIDRO C/ TAMPA DE BAMBU - 500ML - 2 UNIDADE</t>
        </is>
      </c>
      <c r="D599" s="4" t="n">
        <v>0</v>
      </c>
      <c r="E599" s="4" t="n">
        <v>0</v>
      </c>
      <c r="F599" s="4" t="n">
        <v>1</v>
      </c>
      <c r="G599" s="4">
        <f>SUM(D599:F599)</f>
        <v/>
      </c>
      <c r="H599" s="5" t="n">
        <v>0</v>
      </c>
      <c r="I599" s="5" t="n">
        <v>0</v>
      </c>
      <c r="J599" s="5" t="n">
        <v>33.16</v>
      </c>
      <c r="K599" s="5">
        <f>SUM(H599:J599)</f>
        <v/>
      </c>
      <c r="L599" s="6">
        <f>IF($K$622=0,0,K599/$K$622)</f>
        <v/>
      </c>
      <c r="M599" s="6">
        <f>M598+L599</f>
        <v/>
      </c>
      <c r="N599" s="9">
        <f>IF(M599&lt;=0.8,"A",IF(M599&lt;=0.95,"B","C"))</f>
        <v/>
      </c>
    </row>
    <row r="600">
      <c r="A600" s="2" t="n">
        <v>599</v>
      </c>
      <c r="B600" s="2" t="inlineStr">
        <is>
          <t>CABIDE,MULTIFUNCIONAL-BRANCO-2UN</t>
        </is>
      </c>
      <c r="C600" s="2" t="inlineStr">
        <is>
          <t>Cabide Para Calças Roupas Multiuso Reforçado Adulto Saias Camisetas - 2 Unidades Branco</t>
        </is>
      </c>
      <c r="D600" s="4" t="n">
        <v>0</v>
      </c>
      <c r="E600" s="4" t="n">
        <v>1</v>
      </c>
      <c r="F600" s="4" t="n">
        <v>0</v>
      </c>
      <c r="G600" s="4">
        <f>SUM(D600:F600)</f>
        <v/>
      </c>
      <c r="H600" s="5" t="n">
        <v>0</v>
      </c>
      <c r="I600" s="5" t="n">
        <v>29.9</v>
      </c>
      <c r="J600" s="5" t="n">
        <v>0</v>
      </c>
      <c r="K600" s="5">
        <f>SUM(H600:J600)</f>
        <v/>
      </c>
      <c r="L600" s="6">
        <f>IF($K$622=0,0,K600/$K$622)</f>
        <v/>
      </c>
      <c r="M600" s="6">
        <f>M599+L600</f>
        <v/>
      </c>
      <c r="N600" s="9">
        <f>IF(M600&lt;=0.8,"A",IF(M600&lt;=0.95,"B","C"))</f>
        <v/>
      </c>
    </row>
    <row r="601">
      <c r="A601" s="2" t="n">
        <v>600</v>
      </c>
      <c r="B601" s="2" t="inlineStr">
        <is>
          <t>214161</t>
        </is>
      </c>
      <c r="C601" s="2" t="inlineStr">
        <is>
          <t>KIT ATRATEX MATA MOSCA 25G HAXEA - 5 UNIDADES</t>
        </is>
      </c>
      <c r="D601" s="4" t="n">
        <v>0</v>
      </c>
      <c r="E601" s="4" t="n">
        <v>0</v>
      </c>
      <c r="F601" s="4" t="n">
        <v>1</v>
      </c>
      <c r="G601" s="4">
        <f>SUM(D601:F601)</f>
        <v/>
      </c>
      <c r="H601" s="5" t="n">
        <v>0</v>
      </c>
      <c r="I601" s="5" t="n">
        <v>0</v>
      </c>
      <c r="J601" s="5" t="n">
        <v>29.9</v>
      </c>
      <c r="K601" s="5">
        <f>SUM(H601:J601)</f>
        <v/>
      </c>
      <c r="L601" s="6">
        <f>IF($K$622=0,0,K601/$K$622)</f>
        <v/>
      </c>
      <c r="M601" s="6">
        <f>M600+L601</f>
        <v/>
      </c>
      <c r="N601" s="9">
        <f>IF(M601&lt;=0.8,"A",IF(M601&lt;=0.95,"B","C"))</f>
        <v/>
      </c>
    </row>
    <row r="602">
      <c r="A602" s="2" t="n">
        <v>601</v>
      </c>
      <c r="B602" s="2" t="inlineStr">
        <is>
          <t>BALANÇA-DIGITAL-180KG</t>
        </is>
      </c>
      <c r="C602" s="2" t="inlineStr">
        <is>
          <t>Balança Corporal Transparente Quadrada Digital Até 180kg Com Vidro Temperado Premium - OliverHome - Balança Digital</t>
        </is>
      </c>
      <c r="D602" s="4" t="n">
        <v>0</v>
      </c>
      <c r="E602" s="4" t="n">
        <v>0</v>
      </c>
      <c r="F602" s="4" t="n">
        <v>1</v>
      </c>
      <c r="G602" s="4">
        <f>SUM(D602:F602)</f>
        <v/>
      </c>
      <c r="H602" s="5" t="n">
        <v>0</v>
      </c>
      <c r="I602" s="5" t="n">
        <v>0</v>
      </c>
      <c r="J602" s="5" t="n">
        <v>29.9</v>
      </c>
      <c r="K602" s="5">
        <f>SUM(H602:J602)</f>
        <v/>
      </c>
      <c r="L602" s="6">
        <f>IF($K$622=0,0,K602/$K$622)</f>
        <v/>
      </c>
      <c r="M602" s="6">
        <f>M601+L602</f>
        <v/>
      </c>
      <c r="N602" s="9">
        <f>IF(M602&lt;=0.8,"A",IF(M602&lt;=0.95,"B","C"))</f>
        <v/>
      </c>
    </row>
    <row r="603">
      <c r="A603" s="2" t="n">
        <v>602</v>
      </c>
      <c r="B603" s="2" t="inlineStr">
        <is>
          <t>KIT3-370ML-VM</t>
        </is>
      </c>
      <c r="C603" s="2" t="inlineStr">
        <is>
          <t>Kit Potes de Vidro 370ml Hermético Marmita Fit com Tampa 4 Travas - 3 Potes,Vermelho</t>
        </is>
      </c>
      <c r="D603" s="4" t="n">
        <v>0</v>
      </c>
      <c r="E603" s="4" t="n">
        <v>0</v>
      </c>
      <c r="F603" s="4" t="n">
        <v>1</v>
      </c>
      <c r="G603" s="4">
        <f>SUM(D603:F603)</f>
        <v/>
      </c>
      <c r="H603" s="5" t="n">
        <v>0</v>
      </c>
      <c r="I603" s="5" t="n">
        <v>0</v>
      </c>
      <c r="J603" s="5" t="n">
        <v>29.89</v>
      </c>
      <c r="K603" s="5">
        <f>SUM(H603:J603)</f>
        <v/>
      </c>
      <c r="L603" s="6">
        <f>IF($K$622=0,0,K603/$K$622)</f>
        <v/>
      </c>
      <c r="M603" s="6">
        <f>M602+L603</f>
        <v/>
      </c>
      <c r="N603" s="9">
        <f>IF(M603&lt;=0.8,"A",IF(M603&lt;=0.95,"B","C"))</f>
        <v/>
      </c>
    </row>
    <row r="604">
      <c r="A604" s="2" t="n">
        <v>603</v>
      </c>
      <c r="B604" s="2" t="inlineStr">
        <is>
          <t>215861</t>
        </is>
      </c>
      <c r="C604" s="2" t="inlineStr">
        <is>
          <t>KIT POTE DE VIDRO MARMITA - 370ML - VERMELHO - 3 POTES</t>
        </is>
      </c>
      <c r="D604" s="4" t="n">
        <v>0</v>
      </c>
      <c r="E604" s="4" t="n">
        <v>0</v>
      </c>
      <c r="F604" s="4" t="n">
        <v>1</v>
      </c>
      <c r="G604" s="4">
        <f>SUM(D604:F604)</f>
        <v/>
      </c>
      <c r="H604" s="5" t="n">
        <v>0</v>
      </c>
      <c r="I604" s="5" t="n">
        <v>0</v>
      </c>
      <c r="J604" s="5" t="n">
        <v>29.89</v>
      </c>
      <c r="K604" s="5">
        <f>SUM(H604:J604)</f>
        <v/>
      </c>
      <c r="L604" s="6">
        <f>IF($K$622=0,0,K604/$K$622)</f>
        <v/>
      </c>
      <c r="M604" s="6">
        <f>M603+L604</f>
        <v/>
      </c>
      <c r="N604" s="9">
        <f>IF(M604&lt;=0.8,"A",IF(M604&lt;=0.95,"B","C"))</f>
        <v/>
      </c>
    </row>
    <row r="605">
      <c r="A605" s="2" t="n">
        <v>604</v>
      </c>
      <c r="B605" s="2" t="inlineStr">
        <is>
          <t>213589</t>
        </is>
      </c>
      <c r="C605" s="2" t="inlineStr">
        <is>
          <t>KIT 2 BRINQUEDO PARA GATOS COM CATNIP - BOLINHA - BRANCO</t>
        </is>
      </c>
      <c r="D605" s="4" t="n">
        <v>0</v>
      </c>
      <c r="E605" s="4" t="n">
        <v>0</v>
      </c>
      <c r="F605" s="4" t="n">
        <v>2</v>
      </c>
      <c r="G605" s="4">
        <f>SUM(D605:F605)</f>
        <v/>
      </c>
      <c r="H605" s="5" t="n">
        <v>0</v>
      </c>
      <c r="I605" s="5" t="n">
        <v>0</v>
      </c>
      <c r="J605" s="5" t="n">
        <v>29.8</v>
      </c>
      <c r="K605" s="5">
        <f>SUM(H605:J605)</f>
        <v/>
      </c>
      <c r="L605" s="6">
        <f>IF($K$622=0,0,K605/$K$622)</f>
        <v/>
      </c>
      <c r="M605" s="6">
        <f>M604+L605</f>
        <v/>
      </c>
      <c r="N605" s="9">
        <f>IF(M605&lt;=0.8,"A",IF(M605&lt;=0.95,"B","C"))</f>
        <v/>
      </c>
    </row>
    <row r="606">
      <c r="A606" s="2" t="n">
        <v>605</v>
      </c>
      <c r="B606" s="2" t="inlineStr">
        <is>
          <t>214062</t>
        </is>
      </c>
      <c r="C606" s="2" t="inlineStr">
        <is>
          <t>GELO ARTIFICIAL RECICLÁVEL 1L</t>
        </is>
      </c>
      <c r="D606" s="4" t="n">
        <v>0</v>
      </c>
      <c r="E606" s="4" t="n">
        <v>3</v>
      </c>
      <c r="F606" s="4" t="n">
        <v>0</v>
      </c>
      <c r="G606" s="4">
        <f>SUM(D606:F606)</f>
        <v/>
      </c>
      <c r="H606" s="5" t="n">
        <v>0</v>
      </c>
      <c r="I606" s="5" t="n">
        <v>29.7</v>
      </c>
      <c r="J606" s="5" t="n">
        <v>0</v>
      </c>
      <c r="K606" s="5">
        <f>SUM(H606:J606)</f>
        <v/>
      </c>
      <c r="L606" s="6">
        <f>IF($K$622=0,0,K606/$K$622)</f>
        <v/>
      </c>
      <c r="M606" s="6">
        <f>M605+L606</f>
        <v/>
      </c>
      <c r="N606" s="9">
        <f>IF(M606&lt;=0.8,"A",IF(M606&lt;=0.95,"B","C"))</f>
        <v/>
      </c>
    </row>
    <row r="607">
      <c r="A607" s="2" t="n">
        <v>606</v>
      </c>
      <c r="B607" s="2" t="inlineStr">
        <is>
          <t>MLB4629173463</t>
        </is>
      </c>
      <c r="C607" s="2" t="inlineStr">
        <is>
          <t>Pó Antiparasitário Indubras Talfon Top Para Cachorro E Aves 100g</t>
        </is>
      </c>
      <c r="D607" s="4" t="n">
        <v>0</v>
      </c>
      <c r="E607" s="4" t="n">
        <v>0</v>
      </c>
      <c r="F607" s="4" t="n">
        <v>2</v>
      </c>
      <c r="G607" s="4">
        <f>SUM(D607:F607)</f>
        <v/>
      </c>
      <c r="H607" s="5" t="n">
        <v>0</v>
      </c>
      <c r="I607" s="5" t="n">
        <v>0</v>
      </c>
      <c r="J607" s="5" t="n">
        <v>29.6</v>
      </c>
      <c r="K607" s="5">
        <f>SUM(H607:J607)</f>
        <v/>
      </c>
      <c r="L607" s="6">
        <f>IF($K$622=0,0,K607/$K$622)</f>
        <v/>
      </c>
      <c r="M607" s="6">
        <f>M606+L607</f>
        <v/>
      </c>
      <c r="N607" s="9">
        <f>IF(M607&lt;=0.8,"A",IF(M607&lt;=0.95,"B","C"))</f>
        <v/>
      </c>
    </row>
    <row r="608">
      <c r="A608" s="2" t="n">
        <v>607</v>
      </c>
      <c r="B608" s="2" t="inlineStr">
        <is>
          <t>215157</t>
        </is>
      </c>
      <c r="C608" s="2" t="inlineStr">
        <is>
          <t>KIT CHEMITAL GATOS VERMIFUGO C/4 COMP CHEMITEC  - 2 CAIXAS</t>
        </is>
      </c>
      <c r="D608" s="4" t="n">
        <v>0</v>
      </c>
      <c r="E608" s="4" t="n">
        <v>1</v>
      </c>
      <c r="F608" s="4" t="n">
        <v>0</v>
      </c>
      <c r="G608" s="4">
        <f>SUM(D608:F608)</f>
        <v/>
      </c>
      <c r="H608" s="5" t="n">
        <v>0</v>
      </c>
      <c r="I608" s="5" t="n">
        <v>27.9</v>
      </c>
      <c r="J608" s="5" t="n">
        <v>0</v>
      </c>
      <c r="K608" s="5">
        <f>SUM(H608:J608)</f>
        <v/>
      </c>
      <c r="L608" s="6">
        <f>IF($K$622=0,0,K608/$K$622)</f>
        <v/>
      </c>
      <c r="M608" s="6">
        <f>M607+L608</f>
        <v/>
      </c>
      <c r="N608" s="9">
        <f>IF(M608&lt;=0.8,"A",IF(M608&lt;=0.95,"B","C"))</f>
        <v/>
      </c>
    </row>
    <row r="609">
      <c r="A609" s="2" t="n">
        <v>608</v>
      </c>
      <c r="B609" s="2" t="inlineStr">
        <is>
          <t>215765</t>
        </is>
      </c>
      <c r="C609" s="2" t="inlineStr">
        <is>
          <t>Brinquedo Interativo Simulador de Pássaro- Varinha para provocar e estimular gato</t>
        </is>
      </c>
      <c r="D609" s="4" t="n">
        <v>0</v>
      </c>
      <c r="E609" s="4" t="n">
        <v>1</v>
      </c>
      <c r="F609" s="4" t="n">
        <v>0</v>
      </c>
      <c r="G609" s="4">
        <f>SUM(D609:F609)</f>
        <v/>
      </c>
      <c r="H609" s="5" t="n">
        <v>0</v>
      </c>
      <c r="I609" s="5" t="n">
        <v>25.9</v>
      </c>
      <c r="J609" s="5" t="n">
        <v>0</v>
      </c>
      <c r="K609" s="5">
        <f>SUM(H609:J609)</f>
        <v/>
      </c>
      <c r="L609" s="6">
        <f>IF($K$622=0,0,K609/$K$622)</f>
        <v/>
      </c>
      <c r="M609" s="6">
        <f>M608+L609</f>
        <v/>
      </c>
      <c r="N609" s="9">
        <f>IF(M609&lt;=0.8,"A",IF(M609&lt;=0.95,"B","C"))</f>
        <v/>
      </c>
    </row>
    <row r="610">
      <c r="A610" s="2" t="n">
        <v>609</v>
      </c>
      <c r="B610" s="2" t="inlineStr">
        <is>
          <t>213481</t>
        </is>
      </c>
      <c r="C610" s="2" t="inlineStr">
        <is>
          <t>GLICOSOL PET LAVIZOO 50ML</t>
        </is>
      </c>
      <c r="D610" s="4" t="n">
        <v>0</v>
      </c>
      <c r="E610" s="4" t="n">
        <v>1</v>
      </c>
      <c r="F610" s="4" t="n">
        <v>0</v>
      </c>
      <c r="G610" s="4">
        <f>SUM(D610:F610)</f>
        <v/>
      </c>
      <c r="H610" s="5" t="n">
        <v>0</v>
      </c>
      <c r="I610" s="5" t="n">
        <v>24.9</v>
      </c>
      <c r="J610" s="5" t="n">
        <v>0</v>
      </c>
      <c r="K610" s="5">
        <f>SUM(H610:J610)</f>
        <v/>
      </c>
      <c r="L610" s="6">
        <f>IF($K$622=0,0,K610/$K$622)</f>
        <v/>
      </c>
      <c r="M610" s="6">
        <f>M609+L610</f>
        <v/>
      </c>
      <c r="N610" s="9">
        <f>IF(M610&lt;=0.8,"A",IF(M610&lt;=0.95,"B","C"))</f>
        <v/>
      </c>
    </row>
    <row r="611">
      <c r="A611" s="2" t="n">
        <v>610</v>
      </c>
      <c r="B611" s="2" t="inlineStr">
        <is>
          <t>213537</t>
        </is>
      </c>
      <c r="C611" s="2" t="inlineStr">
        <is>
          <t>MELOXIVET DUPRAT - BLISTER C/ 10 COMP  - 6MG</t>
        </is>
      </c>
      <c r="D611" s="4" t="n">
        <v>0</v>
      </c>
      <c r="E611" s="4" t="n">
        <v>1</v>
      </c>
      <c r="F611" s="4" t="n">
        <v>0</v>
      </c>
      <c r="G611" s="4">
        <f>SUM(D611:F611)</f>
        <v/>
      </c>
      <c r="H611" s="5" t="n">
        <v>0</v>
      </c>
      <c r="I611" s="5" t="n">
        <v>24.9</v>
      </c>
      <c r="J611" s="5" t="n">
        <v>0</v>
      </c>
      <c r="K611" s="5">
        <f>SUM(H611:J611)</f>
        <v/>
      </c>
      <c r="L611" s="6">
        <f>IF($K$622=0,0,K611/$K$622)</f>
        <v/>
      </c>
      <c r="M611" s="6">
        <f>M610+L611</f>
        <v/>
      </c>
      <c r="N611" s="9">
        <f>IF(M611&lt;=0.8,"A",IF(M611&lt;=0.95,"B","C"))</f>
        <v/>
      </c>
    </row>
    <row r="612">
      <c r="A612" s="2" t="n">
        <v>611</v>
      </c>
      <c r="B612" s="2" t="inlineStr">
        <is>
          <t>1PCT-PROTETOR-COLCHÃO</t>
        </is>
      </c>
      <c r="C612" s="2" t="inlineStr">
        <is>
          <t>Protetor De Colchão Lençol Descartável Oliver Home G Branco Liso Casal - Branco - Liso</t>
        </is>
      </c>
      <c r="D612" s="4" t="n">
        <v>0</v>
      </c>
      <c r="E612" s="4" t="n">
        <v>1</v>
      </c>
      <c r="F612" s="4" t="n">
        <v>0</v>
      </c>
      <c r="G612" s="4">
        <f>SUM(D612:F612)</f>
        <v/>
      </c>
      <c r="H612" s="5" t="n">
        <v>0</v>
      </c>
      <c r="I612" s="5" t="n">
        <v>23.9</v>
      </c>
      <c r="J612" s="5" t="n">
        <v>0</v>
      </c>
      <c r="K612" s="5">
        <f>SUM(H612:J612)</f>
        <v/>
      </c>
      <c r="L612" s="6">
        <f>IF($K$622=0,0,K612/$K$622)</f>
        <v/>
      </c>
      <c r="M612" s="6">
        <f>M611+L612</f>
        <v/>
      </c>
      <c r="N612" s="9">
        <f>IF(M612&lt;=0.8,"A",IF(M612&lt;=0.95,"B","C"))</f>
        <v/>
      </c>
    </row>
    <row r="613">
      <c r="A613" s="2" t="n">
        <v>612</v>
      </c>
      <c r="B613" s="2" t="inlineStr">
        <is>
          <t>IVERCANIS-800MG</t>
        </is>
      </c>
      <c r="C613" s="2" t="inlineStr">
        <is>
          <t>Vermífugo Vermicanis 800mg - Para Cães De Até 10kg - World - 10 kg</t>
        </is>
      </c>
      <c r="D613" s="4" t="n">
        <v>0</v>
      </c>
      <c r="E613" s="4" t="n">
        <v>2</v>
      </c>
      <c r="F613" s="4" t="n">
        <v>0</v>
      </c>
      <c r="G613" s="4">
        <f>SUM(D613:F613)</f>
        <v/>
      </c>
      <c r="H613" s="5" t="n">
        <v>0</v>
      </c>
      <c r="I613" s="5" t="n">
        <v>23.8</v>
      </c>
      <c r="J613" s="5" t="n">
        <v>0</v>
      </c>
      <c r="K613" s="5">
        <f>SUM(H613:J613)</f>
        <v/>
      </c>
      <c r="L613" s="6">
        <f>IF($K$622=0,0,K613/$K$622)</f>
        <v/>
      </c>
      <c r="M613" s="6">
        <f>M612+L613</f>
        <v/>
      </c>
      <c r="N613" s="9">
        <f>IF(M613&lt;=0.8,"A",IF(M613&lt;=0.95,"B","C"))</f>
        <v/>
      </c>
    </row>
    <row r="614">
      <c r="A614" s="2" t="n">
        <v>613</v>
      </c>
      <c r="B614" s="2" t="inlineStr">
        <is>
          <t>213144</t>
        </is>
      </c>
      <c r="C614" s="2" t="inlineStr">
        <is>
          <t>TIURAN SOLUÇÃO 30ML</t>
        </is>
      </c>
      <c r="D614" s="4" t="n">
        <v>0</v>
      </c>
      <c r="E614" s="4" t="n">
        <v>0</v>
      </c>
      <c r="F614" s="4" t="n">
        <v>1</v>
      </c>
      <c r="G614" s="4">
        <f>SUM(D614:F614)</f>
        <v/>
      </c>
      <c r="H614" s="5" t="n">
        <v>0</v>
      </c>
      <c r="I614" s="5" t="n">
        <v>0</v>
      </c>
      <c r="J614" s="5" t="n">
        <v>20.31</v>
      </c>
      <c r="K614" s="5">
        <f>SUM(H614:J614)</f>
        <v/>
      </c>
      <c r="L614" s="6">
        <f>IF($K$622=0,0,K614/$K$622)</f>
        <v/>
      </c>
      <c r="M614" s="6">
        <f>M613+L614</f>
        <v/>
      </c>
      <c r="N614" s="9">
        <f>IF(M614&lt;=0.8,"A",IF(M614&lt;=0.95,"B","C"))</f>
        <v/>
      </c>
    </row>
    <row r="615">
      <c r="A615" s="2" t="n">
        <v>614</v>
      </c>
      <c r="B615" s="2" t="inlineStr">
        <is>
          <t>213473</t>
        </is>
      </c>
      <c r="C615" s="2" t="inlineStr">
        <is>
          <t>CARRAPATOX SARNICIDA 20ML BIOFARM</t>
        </is>
      </c>
      <c r="D615" s="4" t="n">
        <v>0</v>
      </c>
      <c r="E615" s="4" t="n">
        <v>1</v>
      </c>
      <c r="F615" s="4" t="n">
        <v>0</v>
      </c>
      <c r="G615" s="4">
        <f>SUM(D615:F615)</f>
        <v/>
      </c>
      <c r="H615" s="5" t="n">
        <v>0</v>
      </c>
      <c r="I615" s="5" t="n">
        <v>19.9</v>
      </c>
      <c r="J615" s="5" t="n">
        <v>0</v>
      </c>
      <c r="K615" s="5">
        <f>SUM(H615:J615)</f>
        <v/>
      </c>
      <c r="L615" s="6">
        <f>IF($K$622=0,0,K615/$K$622)</f>
        <v/>
      </c>
      <c r="M615" s="6">
        <f>M614+L615</f>
        <v/>
      </c>
      <c r="N615" s="9">
        <f>IF(M615&lt;=0.8,"A",IF(M615&lt;=0.95,"B","C"))</f>
        <v/>
      </c>
    </row>
    <row r="616">
      <c r="A616" s="2" t="n">
        <v>615</v>
      </c>
      <c r="B616" s="2" t="inlineStr">
        <is>
          <t>064</t>
        </is>
      </c>
      <c r="C616" s="2" t="inlineStr">
        <is>
          <t>Emetim 60ml Duprat Solução Oral</t>
        </is>
      </c>
      <c r="D616" s="4" t="n">
        <v>0</v>
      </c>
      <c r="E616" s="4" t="n">
        <v>0</v>
      </c>
      <c r="F616" s="4" t="n">
        <v>1</v>
      </c>
      <c r="G616" s="4">
        <f>SUM(D616:F616)</f>
        <v/>
      </c>
      <c r="H616" s="5" t="n">
        <v>0</v>
      </c>
      <c r="I616" s="5" t="n">
        <v>0</v>
      </c>
      <c r="J616" s="5" t="n">
        <v>18.9</v>
      </c>
      <c r="K616" s="5">
        <f>SUM(H616:J616)</f>
        <v/>
      </c>
      <c r="L616" s="6">
        <f>IF($K$622=0,0,K616/$K$622)</f>
        <v/>
      </c>
      <c r="M616" s="6">
        <f>M615+L616</f>
        <v/>
      </c>
      <c r="N616" s="9">
        <f>IF(M616&lt;=0.8,"A",IF(M616&lt;=0.95,"B","C"))</f>
        <v/>
      </c>
    </row>
    <row r="617">
      <c r="A617" s="2" t="n">
        <v>616</v>
      </c>
      <c r="B617" s="2" t="inlineStr">
        <is>
          <t>213398</t>
        </is>
      </c>
      <c r="C617" s="2" t="inlineStr">
        <is>
          <t>DUOTRILL 50 MG DUPRAT BLISTER C/ 10 COMPRIMIDOS CÃES E GATOS</t>
        </is>
      </c>
      <c r="D617" s="4" t="n">
        <v>0</v>
      </c>
      <c r="E617" s="4" t="n">
        <v>1</v>
      </c>
      <c r="F617" s="4" t="n">
        <v>0</v>
      </c>
      <c r="G617" s="4">
        <f>SUM(D617:F617)</f>
        <v/>
      </c>
      <c r="H617" s="5" t="n">
        <v>0</v>
      </c>
      <c r="I617" s="5" t="n">
        <v>17.99</v>
      </c>
      <c r="J617" s="5" t="n">
        <v>0</v>
      </c>
      <c r="K617" s="5">
        <f>SUM(H617:J617)</f>
        <v/>
      </c>
      <c r="L617" s="6">
        <f>IF($K$622=0,0,K617/$K$622)</f>
        <v/>
      </c>
      <c r="M617" s="6">
        <f>M616+L617</f>
        <v/>
      </c>
      <c r="N617" s="9">
        <f>IF(M617&lt;=0.8,"A",IF(M617&lt;=0.95,"B","C"))</f>
        <v/>
      </c>
    </row>
    <row r="618">
      <c r="A618" s="2" t="n">
        <v>617</v>
      </c>
      <c r="B618" s="2" t="inlineStr">
        <is>
          <t>UGUENTO-50G</t>
        </is>
      </c>
      <c r="C618" s="2" t="inlineStr">
        <is>
          <t>Unguento Chemitec Pomada Cicatrizante - 50 g</t>
        </is>
      </c>
      <c r="D618" s="4" t="n">
        <v>0</v>
      </c>
      <c r="E618" s="4" t="n">
        <v>1</v>
      </c>
      <c r="F618" s="4" t="n">
        <v>0</v>
      </c>
      <c r="G618" s="4">
        <f>SUM(D618:F618)</f>
        <v/>
      </c>
      <c r="H618" s="5" t="n">
        <v>0</v>
      </c>
      <c r="I618" s="5" t="n">
        <v>14.9</v>
      </c>
      <c r="J618" s="5" t="n">
        <v>0</v>
      </c>
      <c r="K618" s="5">
        <f>SUM(H618:J618)</f>
        <v/>
      </c>
      <c r="L618" s="6">
        <f>IF($K$622=0,0,K618/$K$622)</f>
        <v/>
      </c>
      <c r="M618" s="6">
        <f>M617+L618</f>
        <v/>
      </c>
      <c r="N618" s="9">
        <f>IF(M618&lt;=0.8,"A",IF(M618&lt;=0.95,"B","C"))</f>
        <v/>
      </c>
    </row>
    <row r="619">
      <c r="A619" s="2" t="n">
        <v>618</v>
      </c>
      <c r="B619" s="2" t="inlineStr">
        <is>
          <t>213601</t>
        </is>
      </c>
      <c r="C619" s="2" t="inlineStr">
        <is>
          <t>KIT 2 BRINQUEDO PARA GATOS COM CATNIP - BOLINHA - SORTIDO</t>
        </is>
      </c>
      <c r="D619" s="4" t="n">
        <v>0</v>
      </c>
      <c r="E619" s="4" t="n">
        <v>0</v>
      </c>
      <c r="F619" s="4" t="n">
        <v>1</v>
      </c>
      <c r="G619" s="4">
        <f>SUM(D619:F619)</f>
        <v/>
      </c>
      <c r="H619" s="5" t="n">
        <v>0</v>
      </c>
      <c r="I619" s="5" t="n">
        <v>0</v>
      </c>
      <c r="J619" s="5" t="n">
        <v>14.9</v>
      </c>
      <c r="K619" s="5">
        <f>SUM(H619:J619)</f>
        <v/>
      </c>
      <c r="L619" s="6">
        <f>IF($K$622=0,0,K619/$K$622)</f>
        <v/>
      </c>
      <c r="M619" s="6">
        <f>M618+L619</f>
        <v/>
      </c>
      <c r="N619" s="9">
        <f>IF(M619&lt;=0.8,"A",IF(M619&lt;=0.95,"B","C"))</f>
        <v/>
      </c>
    </row>
    <row r="620">
      <c r="A620" s="2" t="n">
        <v>619</v>
      </c>
      <c r="B620" s="2" t="inlineStr">
        <is>
          <t>213592</t>
        </is>
      </c>
      <c r="C620" s="2" t="inlineStr">
        <is>
          <t>KIT 2 BRINQUEDO PARA GATOS COM CATNIP - BOLINHA - AMARELO</t>
        </is>
      </c>
      <c r="D620" s="4" t="n">
        <v>0</v>
      </c>
      <c r="E620" s="4" t="n">
        <v>0</v>
      </c>
      <c r="F620" s="4" t="n">
        <v>1</v>
      </c>
      <c r="G620" s="4">
        <f>SUM(D620:F620)</f>
        <v/>
      </c>
      <c r="H620" s="5" t="n">
        <v>0</v>
      </c>
      <c r="I620" s="5" t="n">
        <v>0</v>
      </c>
      <c r="J620" s="5" t="n">
        <v>14.9</v>
      </c>
      <c r="K620" s="5">
        <f>SUM(H620:J620)</f>
        <v/>
      </c>
      <c r="L620" s="6">
        <f>IF($K$622=0,0,K620/$K$622)</f>
        <v/>
      </c>
      <c r="M620" s="6">
        <f>M619+L620</f>
        <v/>
      </c>
      <c r="N620" s="9">
        <f>IF(M620&lt;=0.8,"A",IF(M620&lt;=0.95,"B","C"))</f>
        <v/>
      </c>
    </row>
    <row r="621">
      <c r="A621" s="2" t="n">
        <v>620</v>
      </c>
      <c r="B621" s="2" t="inlineStr">
        <is>
          <t>214848</t>
        </is>
      </c>
      <c r="C621" s="2" t="inlineStr">
        <is>
          <t>KIT POTE DE VIDRO C/ TAMPA DE BAMBU - 300ML - 8 UNIDADES</t>
        </is>
      </c>
      <c r="D621" s="4" t="n">
        <v>0</v>
      </c>
      <c r="E621" s="4" t="n">
        <v>0</v>
      </c>
      <c r="F621" s="4" t="n">
        <v>1</v>
      </c>
      <c r="G621" s="4">
        <f>SUM(D621:F621)</f>
        <v/>
      </c>
      <c r="H621" s="5" t="n">
        <v>0</v>
      </c>
      <c r="I621" s="5" t="n">
        <v>0</v>
      </c>
      <c r="J621" s="5" t="n">
        <v>0</v>
      </c>
      <c r="K621" s="5">
        <f>SUM(H621:J621)</f>
        <v/>
      </c>
      <c r="L621" s="6">
        <f>IF($K$622=0,0,K621/$K$622)</f>
        <v/>
      </c>
      <c r="M621" s="6">
        <f>M620+L621</f>
        <v/>
      </c>
      <c r="N621" s="9">
        <f>IF(M621&lt;=0.8,"A",IF(M621&lt;=0.95,"B","C"))</f>
        <v/>
      </c>
    </row>
    <row r="622">
      <c r="A622" s="2" t="n"/>
      <c r="B622" s="2" t="n"/>
      <c r="C622" s="1" t="inlineStr">
        <is>
          <t>TOTAL</t>
        </is>
      </c>
      <c r="D622" s="10">
        <f>SUM(D2:D621)</f>
        <v/>
      </c>
      <c r="E622" s="10">
        <f>SUM(E2:E621)</f>
        <v/>
      </c>
      <c r="F622" s="10">
        <f>SUM(F2:F621)</f>
        <v/>
      </c>
      <c r="G622" s="10">
        <f>SUM(G2:G621)</f>
        <v/>
      </c>
      <c r="H622" s="11">
        <f>SUM(H2:H621)</f>
        <v/>
      </c>
      <c r="I622" s="11">
        <f>SUM(I2:I621)</f>
        <v/>
      </c>
      <c r="J622" s="11">
        <f>SUM(J2:J621)</f>
        <v/>
      </c>
      <c r="K622" s="11">
        <f>SUM(K2:K621)</f>
        <v/>
      </c>
      <c r="L622" s="6" t="n"/>
      <c r="M622" s="6" t="n"/>
      <c r="N622" s="2" t="n"/>
    </row>
  </sheetData>
  <autoFilter ref="A1:N6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6" customWidth="1" min="5" max="5"/>
    <col width="13" customWidth="1" min="6" max="6"/>
  </cols>
  <sheetData>
    <row r="1">
      <c r="A1" s="12" t="inlineStr">
        <is>
          <t>Classe</t>
        </is>
      </c>
      <c r="B1" s="12" t="inlineStr">
        <is>
          <t>SKUs</t>
        </is>
      </c>
      <c r="C1" s="12" t="inlineStr">
        <is>
          <t>% dos SKUs</t>
        </is>
      </c>
      <c r="D1" s="12" t="inlineStr">
        <is>
          <t>Qtd Total</t>
        </is>
      </c>
      <c r="E1" s="12" t="inlineStr">
        <is>
          <t>Receita Total</t>
        </is>
      </c>
      <c r="F1" s="12" t="inlineStr">
        <is>
          <t>% da Receita</t>
        </is>
      </c>
    </row>
    <row r="2">
      <c r="A2" s="13" t="inlineStr">
        <is>
          <t>A</t>
        </is>
      </c>
      <c r="B2" s="4">
        <f>COUNTIF('Curva ABC'!$N$2:$N$621,"A")</f>
        <v/>
      </c>
      <c r="C2" s="6">
        <f>IF($B$5=0,0,B2/$B$5)</f>
        <v/>
      </c>
      <c r="D2" s="4">
        <f>SUMIF('Curva ABC'!$N$2:$N$621,"A",'Curva ABC'!$G$2:$G$621)</f>
        <v/>
      </c>
      <c r="E2" s="5">
        <f>SUMIF('Curva ABC'!$N$2:$N$621,"A",'Curva ABC'!$K$2:$K$621)</f>
        <v/>
      </c>
      <c r="F2" s="6">
        <f>IF($E$5=0,0,E2/$E$5)</f>
        <v/>
      </c>
    </row>
    <row r="3">
      <c r="A3" s="14" t="inlineStr">
        <is>
          <t>B</t>
        </is>
      </c>
      <c r="B3" s="4">
        <f>COUNTIF('Curva ABC'!$N$2:$N$621,"B")</f>
        <v/>
      </c>
      <c r="C3" s="6">
        <f>IF($B$5=0,0,B3/$B$5)</f>
        <v/>
      </c>
      <c r="D3" s="4">
        <f>SUMIF('Curva ABC'!$N$2:$N$621,"B",'Curva ABC'!$G$2:$G$621)</f>
        <v/>
      </c>
      <c r="E3" s="5">
        <f>SUMIF('Curva ABC'!$N$2:$N$621,"B",'Curva ABC'!$K$2:$K$621)</f>
        <v/>
      </c>
      <c r="F3" s="6">
        <f>IF($E$5=0,0,E3/$E$5)</f>
        <v/>
      </c>
    </row>
    <row r="4">
      <c r="A4" s="15" t="inlineStr">
        <is>
          <t>C</t>
        </is>
      </c>
      <c r="B4" s="4">
        <f>COUNTIF('Curva ABC'!$N$2:$N$621,"C")</f>
        <v/>
      </c>
      <c r="C4" s="6">
        <f>IF($B$5=0,0,B4/$B$5)</f>
        <v/>
      </c>
      <c r="D4" s="4">
        <f>SUMIF('Curva ABC'!$N$2:$N$621,"C",'Curva ABC'!$G$2:$G$621)</f>
        <v/>
      </c>
      <c r="E4" s="5">
        <f>SUMIF('Curva ABC'!$N$2:$N$621,"C",'Curva ABC'!$K$2:$K$621)</f>
        <v/>
      </c>
      <c r="F4" s="6">
        <f>IF($E$5=0,0,E4/$E$5)</f>
        <v/>
      </c>
    </row>
    <row r="5">
      <c r="A5" s="1" t="inlineStr">
        <is>
          <t>TOTAL</t>
        </is>
      </c>
      <c r="B5" s="10">
        <f>SUM(B2:B4)</f>
        <v/>
      </c>
      <c r="C5" s="6" t="n"/>
      <c r="D5" s="10">
        <f>SUM(D2:D4)</f>
        <v/>
      </c>
      <c r="E5" s="11">
        <f>SUM(E2:E4)</f>
        <v/>
      </c>
      <c r="F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2026-07-24T19:39:50Z</dcterms:created>
  <dcterms:modified xsi:type="dcterms:W3CDTF">2026-07-24T19:39:50Z</dcterms:modified>
</cp:coreProperties>
</file>