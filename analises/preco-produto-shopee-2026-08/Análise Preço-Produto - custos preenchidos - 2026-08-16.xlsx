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1" activeTab="1" autoFilterDateGrouping="1"/>
  </bookViews>
  <sheets>
    <sheet name="Resumo" sheetId="1" state="visible" r:id="rId1"/>
    <sheet name="Produtos" sheetId="2" state="visible" r:id="rId2"/>
  </sheets>
  <definedNames>
    <definedName name="_xlnm._FilterDatabase" localSheetId="1" hidden="1">'Produtos'!$A$4:$U$695</definedName>
    <definedName name="_xlnm.Print_Titles" localSheetId="1">'Produtos'!$1:$4</definedName>
  </definedNames>
  <calcPr calcId="191028" fullCalcOnLoad="1" calcCompleted="0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$&quot;\ #,##0.00"/>
    <numFmt numFmtId="166" formatCode="&quot;R$&quot;\ #,##0.00;[Red]\-&quot;R$&quot;\ #,##0.00"/>
  </numFmts>
  <fonts count="26">
    <font>
      <name val="Calibri"/>
      <family val="2"/>
      <color theme="1"/>
      <sz val="11"/>
      <scheme val="minor"/>
    </font>
    <font>
      <name val="Aptos Display"/>
      <b val="1"/>
      <color rgb="FFFFFFFF"/>
      <sz val="20"/>
    </font>
    <font>
      <name val="Aptos"/>
      <color rgb="FF5B6573"/>
      <sz val="10"/>
    </font>
    <font>
      <name val="Aptos"/>
      <b val="1"/>
      <color rgb="FF5B6573"/>
      <sz val="10"/>
    </font>
    <font>
      <name val="Aptos Display"/>
      <b val="1"/>
      <color rgb="FF16324F"/>
      <sz val="22"/>
    </font>
    <font>
      <name val="Aptos Display"/>
      <b val="1"/>
      <color rgb="FF16324F"/>
      <sz val="14"/>
    </font>
    <font>
      <name val="Aptos"/>
      <color rgb="FF1F2933"/>
      <sz val="10"/>
    </font>
    <font>
      <name val="Aptos"/>
      <i val="1"/>
      <color rgb="FF5B6573"/>
      <sz val="9"/>
    </font>
    <font>
      <name val="Aptos"/>
      <b val="1"/>
      <color rgb="FFFFFFFF"/>
      <sz val="10"/>
    </font>
    <font>
      <name val="Aptos"/>
      <b val="1"/>
      <color rgb="FF16324F"/>
      <sz val="10"/>
    </font>
    <font>
      <name val="Aptos Display"/>
      <b val="1"/>
      <color rgb="FFFFFFFF"/>
      <sz val="18"/>
    </font>
    <font>
      <name val="Calibri"/>
      <b val="1"/>
      <color rgb="FF16324F"/>
      <sz val="11"/>
    </font>
    <font>
      <name val="Calibri"/>
      <b val="1"/>
      <color rgb="FF187A75"/>
      <sz val="11"/>
    </font>
    <font>
      <name val="Calibri"/>
      <b val="1"/>
      <color rgb="FFFFFFFF"/>
      <sz val="14"/>
      <scheme val="minor"/>
    </font>
    <font>
      <name val="Calibri"/>
      <family val="2"/>
      <b val="1"/>
      <color theme="1"/>
      <sz val="14"/>
      <scheme val="minor"/>
    </font>
    <font>
      <name val="Aptos"/>
      <b val="1"/>
      <color rgb="FFFFFFFF"/>
      <sz val="11"/>
    </font>
    <font>
      <name val="Aptos"/>
      <b val="1"/>
      <color theme="1"/>
      <sz val="11"/>
    </font>
    <font>
      <name val="Calibri"/>
      <b val="1"/>
      <color theme="0"/>
      <sz val="11"/>
    </font>
    <font>
      <name val="Calibri"/>
      <family val="2"/>
      <color rgb="FF000000"/>
      <sz val="11"/>
    </font>
    <font>
      <name val="Calibri"/>
      <family val="2"/>
      <b val="1"/>
      <color rgb="FF176B55"/>
      <sz val="11"/>
    </font>
    <font>
      <name val="Calibri"/>
      <family val="2"/>
      <b val="1"/>
      <color rgb="FF16324F"/>
      <sz val="11"/>
    </font>
    <font>
      <name val="Calibri"/>
      <family val="2"/>
      <b val="1"/>
      <color rgb="FF8A5A00"/>
      <sz val="11"/>
    </font>
    <font>
      <name val="Calibri"/>
      <family val="2"/>
      <color rgb="FF9E3C35"/>
      <sz val="11"/>
    </font>
    <font>
      <b val="1"/>
      <sz val="9"/>
    </font>
    <font>
      <sz val="8"/>
    </font>
    <font>
      <b val="1"/>
      <sz val="8"/>
    </font>
  </fonts>
  <fills count="17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FFFFF4D6"/>
      </patternFill>
    </fill>
    <fill>
      <patternFill patternType="solid">
        <fgColor rgb="FF24557A"/>
      </patternFill>
    </fill>
    <fill>
      <patternFill patternType="solid">
        <fgColor rgb="FFF7F9FB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rgb="FFE7F5EF"/>
      </patternFill>
    </fill>
    <fill>
      <patternFill patternType="solid">
        <fgColor indexed="65"/>
        <bgColor rgb="FFFFF4D6"/>
      </patternFill>
    </fill>
    <fill>
      <patternFill patternType="solid">
        <fgColor rgb="FFF7F9FB"/>
        <bgColor rgb="FF000000"/>
      </patternFill>
    </fill>
    <fill>
      <patternFill patternType="solid">
        <fgColor rgb="FFF7F9FB"/>
        <bgColor rgb="FFFCE8E6"/>
      </patternFill>
    </fill>
    <fill>
      <patternFill patternType="solid">
        <fgColor rgb="FFF7F9FB"/>
        <bgColor rgb="FFFFF4D6"/>
      </patternFill>
    </fill>
    <fill>
      <patternFill patternType="solid">
        <fgColor rgb="FFF7F9FB"/>
        <bgColor rgb="FFE7F5EF"/>
      </patternFill>
    </fill>
    <fill>
      <patternFill patternType="solid">
        <fgColor indexed="65"/>
        <bgColor rgb="FFFCE8E6"/>
      </patternFill>
    </fill>
  </fills>
  <borders count="12">
    <border>
      <left/>
      <right/>
      <top/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D8DEE6"/>
      </top>
      <bottom/>
      <diagonal/>
    </border>
    <border>
      <left/>
      <right style="thin">
        <color rgb="FFD8DEE6"/>
      </right>
      <top style="thin">
        <color rgb="FFD8DEE6"/>
      </top>
      <bottom/>
      <diagonal/>
    </border>
    <border>
      <left/>
      <right style="thin">
        <color rgb="FFD8DEE6"/>
      </right>
      <top style="thin">
        <color rgb="FFD8DEE6"/>
      </top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 style="thin">
        <color rgb="FFD8DEE6"/>
      </left>
      <right/>
      <top/>
      <bottom/>
      <diagonal/>
    </border>
    <border>
      <left/>
      <right style="thin">
        <color rgb="FFD8DEE6"/>
      </right>
      <top/>
      <bottom/>
      <diagonal/>
    </border>
    <border>
      <left style="thin">
        <color rgb="FFD8DEE6"/>
      </left>
      <right/>
      <top/>
      <bottom style="thin">
        <color rgb="FFD8DEE6"/>
      </bottom>
      <diagonal/>
    </border>
    <border>
      <left/>
      <right style="thin">
        <color rgb="FFD8DEE6"/>
      </right>
      <top/>
      <bottom style="thin">
        <color rgb="FFD8DEE6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8" fillId="6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165" fontId="0" fillId="0" borderId="0" pivotButton="0" quotePrefix="0" xfId="0"/>
    <xf numFmtId="22" fontId="0" fillId="0" borderId="0" pivotButton="0" quotePrefix="0" xfId="0"/>
    <xf numFmtId="165" fontId="8" fillId="6" borderId="2" applyAlignment="1" pivotButton="0" quotePrefix="0" xfId="0">
      <alignment horizontal="center" vertical="center" wrapText="1"/>
    </xf>
    <xf numFmtId="164" fontId="8" fillId="6" borderId="2" applyAlignment="1" pivotButton="0" quotePrefix="0" xfId="0">
      <alignment horizontal="center" vertical="center" wrapText="1"/>
    </xf>
    <xf numFmtId="22" fontId="8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165" fontId="0" fillId="7" borderId="0" applyAlignment="1" pivotButton="0" quotePrefix="0" xfId="0">
      <alignment vertical="center"/>
    </xf>
    <xf numFmtId="165" fontId="0" fillId="7" borderId="0" applyAlignment="1" pivotButton="0" quotePrefix="0" xfId="0">
      <alignment horizontal="center" vertical="center"/>
    </xf>
    <xf numFmtId="164" fontId="0" fillId="7" borderId="0" applyAlignment="1" pivotButton="0" quotePrefix="0" xfId="0">
      <alignment vertical="center"/>
    </xf>
    <xf numFmtId="22" fontId="0" fillId="7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15" fillId="8" borderId="2" applyAlignment="1" pivotButton="0" quotePrefix="0" xfId="0">
      <alignment horizontal="center" vertical="center" wrapText="1"/>
    </xf>
    <xf numFmtId="165" fontId="15" fillId="8" borderId="2" applyAlignment="1" pivotButton="0" quotePrefix="0" xfId="0">
      <alignment horizontal="center" vertical="center" wrapText="1"/>
    </xf>
    <xf numFmtId="165" fontId="11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5" fontId="11" fillId="7" borderId="0" applyAlignment="1" pivotButton="0" quotePrefix="0" xfId="0">
      <alignment horizontal="center" vertical="center"/>
    </xf>
    <xf numFmtId="165" fontId="12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6" fillId="9" borderId="2" applyAlignment="1" pivotButton="0" quotePrefix="0" xfId="0">
      <alignment horizontal="center" vertical="center" wrapText="1"/>
    </xf>
    <xf numFmtId="165" fontId="11" fillId="9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22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2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3" fillId="8" borderId="3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7" fillId="0" borderId="0" applyAlignment="1" pivotButton="0" quotePrefix="0" xfId="0">
      <alignment wrapText="1"/>
    </xf>
    <xf numFmtId="0" fontId="0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8" fillId="0" borderId="0" pivotButton="0" quotePrefix="0" xfId="0"/>
    <xf numFmtId="166" fontId="18" fillId="0" borderId="0" pivotButton="0" quotePrefix="0" xfId="0"/>
    <xf numFmtId="0" fontId="19" fillId="10" borderId="0" pivotButton="0" quotePrefix="0" xfId="0"/>
    <xf numFmtId="0" fontId="21" fillId="11" borderId="0" pivotButton="0" quotePrefix="0" xfId="0"/>
    <xf numFmtId="10" fontId="18" fillId="0" borderId="0" pivotButton="0" quotePrefix="0" xfId="0"/>
    <xf numFmtId="22" fontId="18" fillId="0" borderId="0" pivotButton="0" quotePrefix="0" xfId="0"/>
    <xf numFmtId="0" fontId="18" fillId="12" borderId="0" pivotButton="0" quotePrefix="0" xfId="0"/>
    <xf numFmtId="166" fontId="18" fillId="12" borderId="0" pivotButton="0" quotePrefix="0" xfId="0"/>
    <xf numFmtId="0" fontId="22" fillId="13" borderId="0" pivotButton="0" quotePrefix="0" xfId="0"/>
    <xf numFmtId="0" fontId="21" fillId="14" borderId="0" pivotButton="0" quotePrefix="0" xfId="0"/>
    <xf numFmtId="166" fontId="21" fillId="11" borderId="0" pivotButton="0" quotePrefix="0" xfId="0"/>
    <xf numFmtId="0" fontId="19" fillId="15" borderId="0" pivotButton="0" quotePrefix="0" xfId="0"/>
    <xf numFmtId="166" fontId="21" fillId="14" borderId="0" pivotButton="0" quotePrefix="0" xfId="0"/>
    <xf numFmtId="10" fontId="18" fillId="12" borderId="0" pivotButton="0" quotePrefix="0" xfId="0"/>
    <xf numFmtId="22" fontId="18" fillId="12" borderId="0" pivotButton="0" quotePrefix="0" xfId="0"/>
    <xf numFmtId="0" fontId="22" fillId="16" borderId="0" pivotButton="0" quotePrefix="0" xfId="0"/>
    <xf numFmtId="166" fontId="19" fillId="10" borderId="0" pivotButton="0" quotePrefix="0" xfId="0"/>
    <xf numFmtId="166" fontId="20" fillId="9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24" fillId="0" borderId="0" pivotButton="0" quotePrefix="0" xfId="0"/>
    <xf numFmtId="0" fontId="0" fillId="0" borderId="3" pivotButton="0" quotePrefix="0" xfId="0"/>
    <xf numFmtId="0" fontId="23" fillId="0" borderId="0" pivotButton="0" quotePrefix="0" xfId="0"/>
    <xf numFmtId="4" fontId="12" fillId="0" borderId="0" applyAlignment="1" pivotButton="0" quotePrefix="0" xfId="0">
      <alignment horizontal="center" vertical="center"/>
    </xf>
    <xf numFmtId="1" fontId="11" fillId="7" borderId="0" applyAlignment="1" pivotButton="0" quotePrefix="0" xfId="0">
      <alignment horizontal="center" vertical="center"/>
    </xf>
    <xf numFmtId="4" fontId="11" fillId="7" borderId="0" applyAlignment="1" pivotButton="0" quotePrefix="0" xfId="0">
      <alignment horizontal="center" vertical="center"/>
    </xf>
    <xf numFmtId="4" fontId="12" fillId="7" borderId="0" applyAlignment="1" pivotButton="0" quotePrefix="0" xfId="0">
      <alignment horizontal="center" vertical="center"/>
    </xf>
    <xf numFmtId="1" fontId="11" fillId="0" borderId="0" applyAlignment="1" pivotButton="0" quotePrefix="0" xfId="0">
      <alignment horizontal="center" vertical="center"/>
    </xf>
    <xf numFmtId="4" fontId="11" fillId="0" borderId="0" applyAlignment="1" pivotButton="0" quotePrefix="0" xfId="0">
      <alignment horizontal="center" vertical="center"/>
    </xf>
    <xf numFmtId="166" fontId="18" fillId="0" borderId="0" pivotButton="0" quotePrefix="0" xfId="0"/>
    <xf numFmtId="166" fontId="20" fillId="9" borderId="0" pivotButton="0" quotePrefix="0" xfId="0"/>
    <xf numFmtId="1" fontId="0" fillId="0" borderId="0" pivotButton="0" quotePrefix="0" xfId="0"/>
    <xf numFmtId="4" fontId="0" fillId="0" borderId="0" pivotButton="0" quotePrefix="0" xfId="0"/>
    <xf numFmtId="4" fontId="21" fillId="11" borderId="0" pivotButton="0" quotePrefix="0" xfId="0"/>
    <xf numFmtId="166" fontId="18" fillId="12" borderId="0" pivotButton="0" quotePrefix="0" xfId="0"/>
    <xf numFmtId="4" fontId="21" fillId="14" borderId="0" pivotButton="0" quotePrefix="0" xfId="0"/>
    <xf numFmtId="4" fontId="19" fillId="10" borderId="0" pivotButton="0" quotePrefix="0" xfId="0"/>
    <xf numFmtId="0" fontId="25" fillId="0" borderId="0" pivotButton="0" quotePrefix="0" xfId="0"/>
  </cellXfs>
  <cellStyles count="1">
    <cellStyle name="Normal" xfId="0" builtinId="0"/>
  </cellStyles>
  <dxfs count="7">
    <dxf>
      <font>
        <color rgb="FF9E3C35"/>
      </font>
      <fill>
        <patternFill patternType="solid">
          <fgColor rgb="FFFCE8E6"/>
        </patternFill>
      </fill>
    </dxf>
    <dxf>
      <font>
        <b val="1"/>
        <color rgb="FF176B55"/>
      </font>
      <fill>
        <patternFill patternType="solid">
          <fgColor rgb="FFE7F5E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E3C35"/>
      </font>
      <fill>
        <patternFill patternType="solid">
          <fgColor rgb="FFFCE8E6"/>
        </patternFill>
      </fill>
    </dxf>
    <dxf>
      <font>
        <color rgb="FF8A5A00"/>
      </font>
      <fill>
        <patternFill patternType="solid">
          <fgColor rgb="FFFFF4D6"/>
        </patternFill>
      </fill>
    </dxf>
    <dxf>
      <font>
        <b val="1"/>
        <color rgb="FF176B55"/>
      </font>
      <fill>
        <patternFill patternType="solid">
          <f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Author</author>
  </authors>
  <commentList>
    <comment ref="O4" authorId="0" shapeId="0">
      <text>
        <t/>
      </text>
    </comment>
    <comment ref="O5" authorId="0" shapeId="0">
      <text>
        <t>Correspondência por nome exato com a Olist. SKU Olist: Rolo Removedor de Pelo / 2; ID Olist: 341518188; produto: 3 Rolos Removedor De Pelos Pet de Gato e Cachorro Removedor de pelos - 2 Unidades.</t>
      </text>
    </comment>
    <comment ref="O16" authorId="0" shapeId="0">
      <text>
        <t>Correspondência por nome exato com a Olist. SKU Olist: 215765; ID Olist: 356628387; produto: Brinquedo Interativo Simulador de Pássaro- Varinha para provocar e estimular gato.</t>
      </text>
    </comment>
    <comment ref="O26" authorId="0" shapeId="0">
      <text>
        <t>Correspondência por nome exato com a Olist. SKU Olist: GAIOLA-HAMSTERS-ROXO; ID Olist: 341519152; produto: Gaiola Hamster Tubo 3 Andares Espaco De Bicho Completa com Rodinha - ROXO.</t>
      </text>
    </comment>
    <comment ref="O27" authorId="0" shapeId="0">
      <text>
        <t>Correspondência por nome exato com a Olist. SKU Olist: GAIOLA-HAMSTERS-VERMELHA; ID Olist: 341519168; produto: Gaiola Hamster Tubo 3 Andares Espaco De Bicho Completa com Rodinha - VERMELHO.</t>
      </text>
    </comment>
    <comment ref="O35" authorId="0" shapeId="0">
      <text>
        <t>Correspondência por nome exato com a Olist. SKU Olist: (vazio); ID Olist: 341554344; produto: Invicto 57mg Antipulgas P/cães E Gatos De 11,4kg A 57kg - 1 Comprimido.</t>
      </text>
    </comment>
    <comment ref="O38" authorId="0" shapeId="0">
      <text>
        <t>Correspondência por nome exato com a Olist. SKU Olist: 216058; ID Olist: 363840881; produto: Kit 4 Areia Higiênica Biodegradável Grãos Finos Milho e Mandioca (100% Natural) - Espaço De Bicho - Grãos Finos.</t>
      </text>
    </comment>
    <comment ref="O39" authorId="0" shapeId="0">
      <text>
        <t>Correspondência por nome exato com a Olist. SKU Olist: 213622; ID Olist: 343360372; produto: SENSPERT ERLIQUIOSE.</t>
      </text>
    </comment>
    <comment ref="O43" authorId="0" shapeId="0">
      <text>
        <t>Correspondência por nome exato com a Olist. SKU Olist: 214062; ID Olist: 343621010; produto: GELO ARTIFICIAL RECICLÁVEL 1L.</t>
      </text>
    </comment>
    <comment ref="O57" authorId="0" shapeId="0">
      <text>
        <t>Correspondência por nome exato com a Olist. SKU Olist: 214062; ID Olist: 343621010; produto: GELO ARTIFICIAL RECICLÁVEL 1L.</t>
      </text>
    </comment>
    <comment ref="O58" authorId="0" shapeId="0">
      <text>
        <t>Correspondência por nome exato com a Olist. SKU Olist: 0839; ID Olist: 341554844; produto: Tapete Higienico 150 unidades Espaço De Bicho  Envio Imediato.</t>
      </text>
    </comment>
    <comment ref="O63" authorId="0" shapeId="0">
      <text>
        <t>Correspondência por nome exato com a Olist. SKU Olist: 213457; ID Olist: 343003139; produto: CATA CACA SAQUINHO COLETOR PARA PET OSSINHO.</t>
      </text>
    </comment>
    <comment ref="O65" authorId="0" shapeId="0">
      <text>
        <t>Correspondência por nome exato com a Olist. SKU Olist: 213139; ID Olist: 343001731; produto: PROVERMIN ENVELOPE - FEMBENDAZOL - 20 G.</t>
      </text>
    </comment>
    <comment ref="O70" authorId="0" shapeId="0">
      <text>
        <t>Correspondência por nome exato com a Olist. SKU Olist: (vazio); ID Olist: 341562671; produto: Promoção tapetes higiênicos Espaço De Bicho Lavanda 80x60 - com 60 unidades.</t>
      </text>
    </comment>
    <comment ref="O75" authorId="0" shapeId="0">
      <text>
        <t>Correspondência por nome exato com a Olist. SKU Olist: 708; ID Olist: 341515211; produto: Tapete Higienico Pet Good Pads 80x60 com com 60 Unidades.</t>
      </text>
    </comment>
    <comment ref="O90" authorId="0" shapeId="0">
      <text>
        <t>Correspondência por nome exato com a Olist. SKU Olist: Rolo Removedor de Pelo / 2; ID Olist: 341518188; produto: 3 Rolos Removedor De Pelos Pet de Gato e Cachorro Removedor de pelos - 2 Unidades.</t>
      </text>
    </comment>
    <comment ref="O95" authorId="0" shapeId="0">
      <text>
        <t>Correspondência por nome exato com a Olist. SKU Olist: 216264; ID Olist: 370180528; produto: Balanca De Cozinha Digital Alta Precisao 10kg Com Pilhas Inclusas AA OliverHome.</t>
      </text>
    </comment>
    <comment ref="O97" authorId="0" shapeId="0">
      <text>
        <t>Correspondência por nome exato com a Olist. SKU Olist: 216166; ID Olist: 368021775; produto: Balança Digital Medidora Corporal Bioimpedância até 180kg OliverHome - Balança de Cozinha.</t>
      </text>
    </comment>
    <comment ref="O98" authorId="0" shapeId="0">
      <text>
        <t>Correspondência por nome exato com a Olist. SKU Olist: 64; ID Olist: 341518737; produto: Bebedouro Beija Flor Luxo com chapéu e poleiro - Jelplast Sortido.</t>
      </text>
    </comment>
    <comment ref="O106" authorId="0" shapeId="0">
      <text>
        <t>Correspondência por nome exato com a Olist. SKU Olist: 215765; ID Olist: 356628387; produto: Brinquedo Interativo Simulador de Pássaro- Varinha para provocar e estimular gato.</t>
      </text>
    </comment>
    <comment ref="O124" authorId="0" shapeId="0">
      <text>
        <t>Correspondência por nome exato com a Olist. SKU Olist: JOGO-TALHER-BRANCO; ID Olist: 341524730; produto: Jogo De Talheres inox Faqueiro Porta Talher Com 25 Peças Preto Branco E Rosa - Branco.</t>
      </text>
    </comment>
    <comment ref="O125" authorId="0" shapeId="0">
      <text>
        <t>Correspondência por nome exato com a Olist. SKU Olist: JOGO-TALHER-PRETO; ID Olist: 341524716; produto: Jogo De Talheres inox Faqueiro Porta Talher Com 25 Peças Preto Branco E Rosa - Preto.</t>
      </text>
    </comment>
    <comment ref="O126" authorId="0" shapeId="0">
      <text>
        <t>Correspondência por nome exato com a Olist. SKU Olist: JOGO-TALHER-ROSA; ID Olist: 341524753; produto: Jogo De Talheres inox Faqueiro Porta Talher Com 25 Peças Preto Branco E Rosa - Rosa.</t>
      </text>
    </comment>
    <comment ref="O127" authorId="0" shapeId="0">
      <text>
        <t>Correspondência por nome exato com a Olist. SKU Olist: JOGO-TALHER-SORTIDO; ID Olist: 341524702; produto: Jogo De Talheres inox Faqueiro Porta Talher Com 25 Peças Preto Branco E Rosa - Sortido.</t>
      </text>
    </comment>
    <comment ref="O128" authorId="0" shapeId="0">
      <text>
        <t>Correspondência por nome exato com a Olist. SKU Olist: JOGO-TALHER-VERMELHO; ID Olist: 341524739; produto: Jogo De Talheres inox Faqueiro Porta Talher Com 25 Peças Preto Branco E Rosa - Vermelho.</t>
      </text>
    </comment>
    <comment ref="O129" authorId="0" shapeId="0">
      <text>
        <t>Correspondência por nome exato com a Olist. SKU Olist: CABIDE-MARFIM-100 UN; ID Olist: 341528894; produto: Kit 100 Cabides de Madeira Marfim Adulto Antideslizante.</t>
      </text>
    </comment>
    <comment ref="O130" authorId="0" shapeId="0">
      <text>
        <t>Correspondência por nome exato com a Olist. SKU Olist: CABIDE VELUDO-100UN-CINZA; ID Olist: 341527793; produto: Kit 100 Cabides De Veludo Slim Ultra Finos Antideslizante - Cinza.</t>
      </text>
    </comment>
    <comment ref="O131" authorId="0" shapeId="0">
      <text>
        <t>Correspondência por nome exato com a Olist. SKU Olist: CABIDE VELUDO-100UN-PRETO; ID Olist: 341527783; produto: Kit 100 Cabides De Veludo Slim Ultra Finos Antideslizante - Preto.</t>
      </text>
    </comment>
    <comment ref="O134" authorId="0" shapeId="0">
      <text>
        <t>Correspondência por nome exato com a Olist. SKU Olist: CABIDE-MARFIM-30 UN; ID Olist: 341527883; produto: Kit 30 Cabide Madeira Marfim Barato Premium Organização Roupas Calças Loja Atacado.</t>
      </text>
    </comment>
    <comment ref="O140" authorId="0" shapeId="0">
      <text>
        <t>Correspondência por nome exato com a Olist. SKU Olist: CABIDE VELUDO-50UN-BEGE; ID Olist: 341525526; produto: Kit Cabides Veludo Para Roupas Adulto 50 Unidades Fino Resistente - Bege.</t>
      </text>
    </comment>
    <comment ref="O141" authorId="0" shapeId="0">
      <text>
        <t>Correspondência por nome exato com a Olist. SKU Olist: CABIDE VELUDO-50UN-BRANCO; ID Olist: 341525533; produto: Kit Cabides Veludo Para Roupas Adulto 50 Unidades Fino Resistente - Branco.</t>
      </text>
    </comment>
    <comment ref="O142" authorId="0" shapeId="0">
      <text>
        <t>Correspondência por nome exato com a Olist. SKU Olist: CABIDE VELUDO-50UN-CINZA; ID Olist: 341525548; produto: Kit Cabides Veludo Para Roupas Adulto 50 Unidades Fino Resistente - Cinza.</t>
      </text>
    </comment>
    <comment ref="O143" authorId="0" shapeId="0">
      <text>
        <t>Correspondência por nome exato com a Olist. SKU Olist: CABIDE VELUDO-50UN-PRETO; ID Olist: 341525540; produto: Kit Cabides Veludo Para Roupas Adulto 50 Unidades Fino Resistente - Preto.</t>
      </text>
    </comment>
    <comment ref="O158" authorId="0" shapeId="0">
      <text>
        <t>Correspondência por nome exato com a Olist. SKU Olist: 0839; ID Olist: 341554844; produto: Tapete Higienico 150 unidades Espaço De Bicho  Envio Imediato.</t>
      </text>
    </comment>
    <comment ref="O160" authorId="0" shapeId="0">
      <text>
        <t>Correspondência por nome exato com a Olist. SKU Olist: 694; ID Olist: 341518320; produto: Tapete Higiênico Espaço De Bicho 100 un Envio Imediato.</t>
      </text>
    </comment>
    <comment ref="O161" authorId="0" shapeId="0">
      <text>
        <t>Correspondência por nome exato com a Olist. SKU Olist: 0838; ID Olist: 341557528; produto: Tapete Higiênico Espaço De Bicho 100 unidades Envio Imediato.</t>
      </text>
    </comment>
    <comment ref="O166" authorId="0" shapeId="0">
      <text>
        <t>Correspondência por nome exato com a Olist. SKU Olist: KIT200-TAPETE-SHOPITOO; ID Olist: 341557588; produto: Tapete Higienico Espaço De Bicho Shopito Oficial 200 Unidades Envio Imediato.</t>
      </text>
    </comment>
    <comment ref="O178" authorId="0" shapeId="0">
      <text>
        <t>Correspondência por nome exato com a Olist. SKU Olist: 731; ID Olist: 341562187; produto: Tapete Higiênico Pet P/ Cães Ultra Espaço De Bicho Lavanda 80x60 90unid.</t>
      </text>
    </comment>
    <comment ref="O281" authorId="0" shapeId="0">
      <text>
        <t>Correspondência por nome exato com a Olist. SKU Olist: 740; ID Olist: 341515504; produto: Tapete Higiênico Ultra Pad 30unid. 80x60cm Aroma Lavanda.</t>
      </text>
    </comment>
    <comment ref="O564" authorId="0" shapeId="0">
      <text>
        <t>Correspondência por nome exato com a Olist. SKU Olist: TAPETE-SHOPITO-90UNI-AROMABB; ID Olist: 341557341; produto: Tapete Higiênico Espaço De Bicho Shopito Oficial 90 Unidades Aroma Bebê 80x60cm.</t>
      </text>
    </comment>
  </commentList>
</comments>
</file>

<file path=xl/tables/table1.xml><?xml version="1.0" encoding="utf-8"?>
<table xmlns="http://schemas.openxmlformats.org/spreadsheetml/2006/main" id="1" name="ResumoLojas" displayName="ResumoLojas" ref="A10:F13" headerRowCount="1">
  <tableColumns count="6">
    <tableColumn id="1" name="Loja" totalsRowLabel="Total"/>
    <tableColumn id="2" name="Anúncios" totalsRowFunction="sum"/>
    <tableColumn id="3" name="Produtos/variações" totalsRowFunction="sum"/>
    <tableColumn id="4" name="Em promoção" totalsRowFunction="sum"/>
    <tableColumn id="5" name="Sem promoção" totalsRowFunction="sum"/>
    <tableColumn id="6" name="% em promo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4" topLeftCell="A5" activePane="bottomLeft" state="frozen"/>
      <selection pane="bottomLeft" activeCell="G15" sqref="G15"/>
    </sheetView>
  </sheetViews>
  <sheetFormatPr baseColWidth="8" defaultRowHeight="20.1" customHeight="1"/>
  <cols>
    <col width="22" customWidth="1" min="1" max="1"/>
    <col width="15" customWidth="1" min="2" max="2"/>
    <col width="21" customWidth="1" min="3" max="3"/>
    <col width="15" customWidth="1" min="4" max="4"/>
    <col width="18" customWidth="1" min="5" max="5"/>
    <col width="15" customWidth="1" min="6" max="6"/>
    <col width="18" customWidth="1" min="7" max="7"/>
    <col width="15" customWidth="1" min="8" max="8"/>
  </cols>
  <sheetData>
    <row r="1" ht="27" customHeight="1">
      <c r="A1" s="49" t="inlineStr">
        <is>
          <t>Produtos, preços e custos — Jacartta e Espaço de Bicho</t>
        </is>
      </c>
    </row>
    <row r="2" ht="27" customHeight="1"/>
    <row r="3" ht="24" customHeight="1">
      <c r="A3" s="50" t="inlineStr">
        <is>
          <t>Shopee: 14/08/2026, 12:39:15 • custos Olist: 14/08/2026, 14:11:14 (horário de Brasília)</t>
        </is>
      </c>
    </row>
    <row r="5" ht="15" customHeight="1">
      <c r="A5" s="51" t="inlineStr">
        <is>
          <t>Anúncios ativos</t>
        </is>
      </c>
      <c r="B5" s="72" t="n"/>
      <c r="C5" s="51" t="inlineStr">
        <is>
          <t>Produtos/variações</t>
        </is>
      </c>
      <c r="D5" s="72" t="n"/>
      <c r="E5" s="52" t="inlineStr">
        <is>
          <t>Em promoção</t>
        </is>
      </c>
      <c r="F5" s="72" t="n"/>
      <c r="G5" s="53" t="inlineStr">
        <is>
          <t>Sem promoção</t>
        </is>
      </c>
      <c r="H5" s="72" t="n"/>
    </row>
    <row r="6" ht="15" customHeight="1">
      <c r="A6" s="45" t="n">
        <v>388</v>
      </c>
      <c r="B6" s="73" t="n"/>
      <c r="C6" s="45" t="n">
        <v>700</v>
      </c>
      <c r="D6" s="73" t="n"/>
      <c r="E6" s="46" t="n">
        <v>500</v>
      </c>
      <c r="F6" s="73" t="n"/>
      <c r="G6" s="47" t="n">
        <v>200</v>
      </c>
      <c r="H6" s="73" t="n"/>
    </row>
    <row r="7" ht="15" customHeight="1">
      <c r="A7" s="74" t="n"/>
      <c r="B7" s="75" t="n"/>
      <c r="C7" s="74" t="n"/>
      <c r="D7" s="75" t="n"/>
      <c r="E7" s="74" t="n"/>
      <c r="F7" s="75" t="n"/>
      <c r="G7" s="74" t="n"/>
      <c r="H7" s="75" t="n"/>
    </row>
    <row r="9" ht="18.75" customHeight="1">
      <c r="A9" s="1" t="inlineStr">
        <is>
          <t>Resumo por loja</t>
        </is>
      </c>
    </row>
    <row r="10" ht="27.95" customHeight="1">
      <c r="A10" t="inlineStr">
        <is>
          <t>Loja</t>
        </is>
      </c>
      <c r="B10" t="inlineStr">
        <is>
          <t>Anúncios</t>
        </is>
      </c>
      <c r="C10" t="inlineStr">
        <is>
          <t>Produtos/variações</t>
        </is>
      </c>
      <c r="D10" t="inlineStr">
        <is>
          <t>Em promoção</t>
        </is>
      </c>
      <c r="E10" t="inlineStr">
        <is>
          <t>Sem promoção</t>
        </is>
      </c>
      <c r="F10" t="inlineStr">
        <is>
          <t>% em promoção</t>
        </is>
      </c>
    </row>
    <row r="11" ht="15" customHeight="1">
      <c r="A11" t="inlineStr">
        <is>
          <t>Espaço De Bicho</t>
        </is>
      </c>
      <c r="B11" t="n">
        <v>189</v>
      </c>
      <c r="C11" t="n">
        <v>286</v>
      </c>
      <c r="D11" t="n">
        <v>202</v>
      </c>
      <c r="E11" t="n">
        <v>84</v>
      </c>
      <c r="F11" s="2" t="n">
        <v>0.7062937062937062</v>
      </c>
    </row>
    <row r="12" ht="15" customHeight="1">
      <c r="A12" t="inlineStr">
        <is>
          <t>Jacartta</t>
        </is>
      </c>
      <c r="B12" t="n">
        <v>199</v>
      </c>
      <c r="C12" t="n">
        <v>414</v>
      </c>
      <c r="D12" t="n">
        <v>298</v>
      </c>
      <c r="E12" t="n">
        <v>116</v>
      </c>
      <c r="F12" s="2" t="n">
        <v>0.7198067632850241</v>
      </c>
    </row>
    <row r="13" ht="15" customHeight="1">
      <c r="A13" t="inlineStr">
        <is>
          <t>Total</t>
        </is>
      </c>
      <c r="B13">
        <f>SUBTOTAL(109,ResumoLojas[Anúncios])</f>
        <v/>
      </c>
      <c r="C13">
        <f>SUBTOTAL(109,ResumoLojas[Produtos/variações])</f>
        <v/>
      </c>
      <c r="D13">
        <f>SUBTOTAL(109,ResumoLojas[Em promoção])</f>
        <v/>
      </c>
      <c r="E13">
        <f>SUBTOTAL(109,ResumoLojas[Sem promoção])</f>
        <v/>
      </c>
      <c r="F13" s="2">
        <f>D13/C13</f>
        <v/>
      </c>
    </row>
    <row r="15" ht="18.75" customHeight="1">
      <c r="A15" s="1" t="inlineStr">
        <is>
          <t>Como interpretar os preços</t>
        </is>
      </c>
    </row>
    <row r="16" ht="33.95" customHeight="1">
      <c r="A16" s="48" t="inlineStr">
        <is>
          <t>Preço final = preço promocional quando houver promoção ativa; caso contrário, preço de venda atual retornado pela Shopee.</t>
        </is>
      </c>
      <c r="B16" s="76" t="n"/>
      <c r="C16" s="76" t="n"/>
      <c r="D16" s="76" t="n"/>
      <c r="E16" s="76" t="n"/>
      <c r="F16" s="76" t="n"/>
      <c r="G16" s="76" t="n"/>
      <c r="H16" s="72" t="n"/>
    </row>
    <row r="18" ht="15" customHeight="1">
      <c r="A18" s="43" t="inlineStr">
        <is>
          <t>Fontes: Shopee Open Platform — https://partner.shopeemobile.com • Olist ERP/API — https://olist.com</t>
        </is>
      </c>
    </row>
    <row r="20" ht="18.75" customHeight="1">
      <c r="A20" s="1" t="inlineStr">
        <is>
          <t>Cobertura dos custos Olist</t>
        </is>
      </c>
    </row>
    <row r="21" ht="27.95" customHeight="1">
      <c r="A21" s="3" t="inlineStr">
        <is>
          <t>Loja</t>
        </is>
      </c>
      <c r="B21" s="3" t="inlineStr">
        <is>
          <t>Linhas</t>
        </is>
      </c>
      <c r="C21" s="3" t="inlineStr">
        <is>
          <t>Localizadas</t>
        </is>
      </c>
      <c r="D21" s="3" t="inlineStr">
        <is>
          <t>Custo &gt; R$ 0</t>
        </is>
      </c>
      <c r="E21" s="3" t="inlineStr">
        <is>
          <t>Custo R$ 0</t>
        </is>
      </c>
      <c r="F21" s="3" t="inlineStr">
        <is>
          <t>Sem correspondência</t>
        </is>
      </c>
    </row>
    <row r="22" ht="15" customHeight="1">
      <c r="A22" s="4" t="inlineStr">
        <is>
          <t>Espaço De Bicho</t>
        </is>
      </c>
      <c r="B22" s="5" t="n">
        <v>286</v>
      </c>
      <c r="C22" s="5">
        <f>COUNTIFS(Produtos!$A$5:$A$695,A22,Produtos!$O$5:$O$695,"&lt;&gt;")</f>
        <v/>
      </c>
      <c r="D22" s="5">
        <f>COUNTIFS(Produtos!$A$5:$A$695,A22,Produtos!$O$5:$O$695,"&gt;0")</f>
        <v/>
      </c>
      <c r="E22" s="5">
        <f>COUNTIFS(Produtos!$A$5:$A$695,A22,Produtos!$O$5:$O$695,"=0")</f>
        <v/>
      </c>
      <c r="F22" s="5">
        <f>COUNTIFS(Produtos!$A$5:$A$695,A22,Produtos!$O$5:$O$695,"")</f>
        <v/>
      </c>
    </row>
    <row r="23" ht="15" customHeight="1">
      <c r="A23" s="4" t="inlineStr">
        <is>
          <t>Jacartta</t>
        </is>
      </c>
      <c r="B23" s="5" t="n">
        <v>414</v>
      </c>
      <c r="C23" s="5">
        <f>COUNTIFS(Produtos!$A$5:$A$695,A23,Produtos!$O$5:$O$695,"&lt;&gt;")</f>
        <v/>
      </c>
      <c r="D23" s="5">
        <f>COUNTIFS(Produtos!$A$5:$A$695,A23,Produtos!$O$5:$O$695,"&gt;0")</f>
        <v/>
      </c>
      <c r="E23" s="5">
        <f>COUNTIFS(Produtos!$A$5:$A$695,A23,Produtos!$O$5:$O$695,"=0")</f>
        <v/>
      </c>
      <c r="F23" s="5">
        <f>COUNTIFS(Produtos!$A$5:$A$695,A23,Produtos!$O$5:$O$695,"")</f>
        <v/>
      </c>
    </row>
    <row r="24" ht="13.5" customFormat="1" customHeight="1" s="6">
      <c r="A24" s="7" t="inlineStr">
        <is>
          <t>Total</t>
        </is>
      </c>
      <c r="B24" s="8" t="n">
        <v>700</v>
      </c>
      <c r="C24" s="8">
        <f>SUM(C22:C23)</f>
        <v/>
      </c>
      <c r="D24" s="8">
        <f>SUM(D22:D23)</f>
        <v/>
      </c>
      <c r="E24" s="8">
        <f>SUM(E22:E23)</f>
        <v/>
      </c>
      <c r="F24" s="8">
        <f>SUM(F22:F23)</f>
        <v/>
      </c>
    </row>
    <row r="26" ht="33.95" customHeight="1">
      <c r="A26" s="44" t="inlineStr">
        <is>
          <t>Leitura: custo positivo = valor cadastrado; R$ 0,00 = produto localizado com custo zerado na Olist; vazio = sem correspondência exata segura.</t>
        </is>
      </c>
      <c r="B26" s="76" t="n"/>
      <c r="C26" s="76" t="n"/>
      <c r="D26" s="76" t="n"/>
      <c r="E26" s="76" t="n"/>
      <c r="F26" s="76" t="n"/>
      <c r="G26" s="76" t="n"/>
      <c r="H26" s="72" t="n"/>
    </row>
  </sheetData>
  <mergeCells count="13">
    <mergeCell ref="A18:H18"/>
    <mergeCell ref="A26:H26"/>
    <mergeCell ref="A3:H3"/>
    <mergeCell ref="E6:F7"/>
    <mergeCell ref="C6:D7"/>
    <mergeCell ref="G6:H7"/>
    <mergeCell ref="A16:H16"/>
    <mergeCell ref="C5:D5"/>
    <mergeCell ref="A5:B5"/>
    <mergeCell ref="G5:H5"/>
    <mergeCell ref="E5:F5"/>
    <mergeCell ref="A6:B7"/>
    <mergeCell ref="A1:H2"/>
  </mergeCells>
  <pageMargins left="0.7" right="0.7" top="0.75" bottom="0.75" header="0.3" footer="0.3"/>
  <pageSetup orientation="landscape" horizontalDpi="4294967295" verticalDpi="429496729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602"/>
  <sheetViews>
    <sheetView showGridLines="0" tabSelected="1" workbookViewId="0">
      <pane xSplit="3" ySplit="4" topLeftCell="J1585" activePane="bottomRight" state="frozen"/>
      <selection pane="bottomRight" activeCell="L5" sqref="L5:L1602"/>
      <selection pane="bottomLeft" activeCell="A1" sqref="A1"/>
      <selection pane="topRight" activeCell="A1" sqref="A1"/>
    </sheetView>
  </sheetViews>
  <sheetFormatPr baseColWidth="8" defaultRowHeight="18" customHeight="1"/>
  <cols>
    <col width="20" customWidth="1" min="1" max="1"/>
    <col width="75.42578125" customWidth="1" min="2" max="2"/>
    <col width="28" customWidth="1" min="3" max="3"/>
    <col width="23.85546875" customWidth="1" min="4" max="4"/>
    <col width="15" customWidth="1" min="5" max="6"/>
    <col width="12" customWidth="1" min="7" max="7"/>
    <col width="17" customWidth="1" style="9" min="8" max="9"/>
    <col width="15" customWidth="1" style="9" min="10" max="10"/>
    <col width="18" customWidth="1" style="9" min="11" max="11"/>
    <col width="16" customWidth="1" style="25" min="12" max="12"/>
    <col width="16" customWidth="1" style="24" min="13" max="13"/>
    <col width="12.85546875" customWidth="1" style="25" min="14" max="14"/>
    <col width="10" customWidth="1" style="25" min="15" max="15"/>
    <col width="16" customWidth="1" style="25" min="16" max="16"/>
    <col width="13" customWidth="1" style="2" min="17" max="17"/>
    <col width="22" customWidth="1" min="18" max="18"/>
    <col width="19" customWidth="1" style="10" min="19" max="19"/>
    <col width="16.85546875" customWidth="1" style="10" min="20" max="20"/>
    <col width="10.7109375" customWidth="1" min="21" max="21"/>
    <col width="18" customWidth="1" min="22" max="22"/>
    <col width="56" customWidth="1" min="23" max="23"/>
    <col width="14" customWidth="1" min="24" max="24"/>
    <col width="46" customWidth="1" min="25" max="25"/>
  </cols>
  <sheetData>
    <row r="1" ht="33.95" customHeight="1">
      <c r="A1" s="37" t="inlineStr">
        <is>
          <t>Catálogo ativo com preços finais, promoções e custos Olist</t>
        </is>
      </c>
    </row>
    <row r="2" ht="15.75" customHeight="1">
      <c r="A2" s="39" t="inlineStr">
        <is>
          <t>Uma linha por produto/variação. Custo Olist: R$ 0,00 = custo zerado no ERP; vazio = sem correspondência segura.</t>
        </is>
      </c>
      <c r="V2" s="77" t="inlineStr">
        <is>
          <t>Custo = preco_custo do cadastro Olist consultado hoje via API. QTD = unidades Olist por unidade do anúncio, derivada dos pedidos casados.</t>
        </is>
      </c>
      <c r="W2" s="94" t="inlineStr">
        <is>
          <t>Custo: anúncio de KIT usa o valor da aba de kits da Olist (componente × quantidade); produto unitário usa o preço de custo do cadastro. Conferido ao vivo em 16/08. Preços (I,K) do sync Shopee 16/08 ~13h50.</t>
        </is>
      </c>
    </row>
    <row r="3" ht="30" customHeight="1">
      <c r="M3" s="41" t="inlineStr">
        <is>
          <t>ANÁLISE JULIANO</t>
        </is>
      </c>
      <c r="N3" s="78" t="n"/>
      <c r="O3" s="78" t="n"/>
      <c r="P3" s="78" t="n"/>
      <c r="V3" s="79" t="inlineStr">
        <is>
          <t>PREENCHIDO PELO ORÁCULO — 16/08/2026 (custos conferidos AO VIVO na API da Olist)</t>
        </is>
      </c>
    </row>
    <row r="4" ht="33.95" customHeight="1">
      <c r="A4" s="3" t="inlineStr">
        <is>
          <t>Loja</t>
        </is>
      </c>
      <c r="B4" s="3" t="inlineStr">
        <is>
          <t>Produto</t>
        </is>
      </c>
      <c r="C4" s="3" t="inlineStr">
        <is>
          <t>Variação</t>
        </is>
      </c>
      <c r="D4" s="3" t="inlineStr">
        <is>
          <t>SKU vendedor</t>
        </is>
      </c>
      <c r="E4" s="3" t="inlineStr">
        <is>
          <t>Item ID</t>
        </is>
      </c>
      <c r="F4" s="3" t="inlineStr">
        <is>
          <t>Variação ID</t>
        </is>
      </c>
      <c r="G4" s="3" t="inlineStr">
        <is>
          <t>Status</t>
        </is>
      </c>
      <c r="H4" s="11" t="inlineStr">
        <is>
          <t>Preço cadastrado</t>
        </is>
      </c>
      <c r="I4" s="11" t="inlineStr">
        <is>
          <t>Preço venda atual</t>
        </is>
      </c>
      <c r="J4" s="11" t="inlineStr">
        <is>
          <t>Em promoção?</t>
        </is>
      </c>
      <c r="K4" s="11" t="inlineStr">
        <is>
          <t>Preço promocional</t>
        </is>
      </c>
      <c r="L4" s="34" t="inlineStr">
        <is>
          <t>Preço final</t>
        </is>
      </c>
      <c r="M4" s="26" t="inlineStr">
        <is>
          <t>QTD</t>
        </is>
      </c>
      <c r="N4" s="27" t="inlineStr">
        <is>
          <t>Custo Unitário</t>
        </is>
      </c>
      <c r="O4" s="27" t="inlineStr">
        <is>
          <t>Custo Olist</t>
        </is>
      </c>
      <c r="P4" s="27" t="inlineStr">
        <is>
          <t>Lucro / Prejuizo</t>
        </is>
      </c>
      <c r="Q4" s="12" t="inlineStr">
        <is>
          <t>Desconto %</t>
        </is>
      </c>
      <c r="R4" s="3" t="inlineStr">
        <is>
          <t>ID(s) promoção</t>
        </is>
      </c>
      <c r="S4" s="13" t="inlineStr">
        <is>
          <t>Início promoção</t>
        </is>
      </c>
      <c r="T4" s="13" t="inlineStr">
        <is>
          <t>Fim promoção</t>
        </is>
      </c>
      <c r="U4" s="3" t="inlineStr">
        <is>
          <t>Categoria ID</t>
        </is>
      </c>
      <c r="V4" s="3" t="inlineStr">
        <is>
          <t>SKU Olist</t>
        </is>
      </c>
      <c r="W4" s="3" t="inlineStr">
        <is>
          <t>Origem do custo</t>
        </is>
      </c>
      <c r="X4" s="3" t="inlineStr">
        <is>
          <t>Pedidos casados</t>
        </is>
      </c>
      <c r="Y4" s="3" t="inlineStr">
        <is>
          <t>Checagem de modelo</t>
        </is>
      </c>
    </row>
    <row r="5" ht="15" customFormat="1" customHeight="1" s="14">
      <c r="A5" s="14" t="inlineStr">
        <is>
          <t>Espaço De Bicho</t>
        </is>
      </c>
      <c r="B5" s="14" t="inlineStr">
        <is>
          <t>3 Rolos Removedor De Pelos Pet de Gato e Cachorro Removedor de pelos</t>
        </is>
      </c>
      <c r="C5" s="14" t="inlineStr">
        <is>
          <t>2 UNIDADES</t>
        </is>
      </c>
      <c r="D5" s="14" t="inlineStr">
        <is>
          <t>2-ROLO-REMOVEDOR</t>
        </is>
      </c>
      <c r="E5" s="14" t="inlineStr">
        <is>
          <t>54964685255</t>
        </is>
      </c>
      <c r="F5" s="14" t="inlineStr">
        <is>
          <t>262815678259</t>
        </is>
      </c>
      <c r="G5" s="14" t="inlineStr">
        <is>
          <t>NORMAL</t>
        </is>
      </c>
      <c r="H5" s="15" t="n">
        <v>89.90000000000001</v>
      </c>
      <c r="I5" s="15" t="n">
        <v>37.9</v>
      </c>
      <c r="J5" s="16" t="inlineStr">
        <is>
          <t>SIM</t>
        </is>
      </c>
      <c r="K5" s="15" t="n">
        <v>37.9</v>
      </c>
      <c r="L5" s="35">
        <f>IF(K5&lt;&gt;"",K5,I5)</f>
        <v/>
      </c>
      <c r="M5" s="28" t="n"/>
      <c r="N5" s="28" t="n"/>
      <c r="O5" s="29" t="n">
        <v>28.65</v>
      </c>
      <c r="P5" s="80">
        <f>IF($O5="","",L5-O5-(L5*IF(L5&lt;=79.99,20%,14%)+IF(L5&lt;=79.99,4,IF(L5&lt;=99.99,16,IF(L5&lt;=199.99,20,IF(L5&lt;=499.99,26,28)))))-L5*1.3%-L5*6%-(L5-O5)*9.25%-L5*3%-L5*3%-1)</f>
        <v/>
      </c>
      <c r="Q5" s="17">
        <f>IF(AND(K5&lt;&gt;"",H5&gt;0),(H5-K5)/H5,"")</f>
        <v/>
      </c>
      <c r="R5" s="14" t="inlineStr">
        <is>
          <t>909477973245952</t>
        </is>
      </c>
      <c r="S5" s="18" t="n">
        <v>46144.38263888889</v>
      </c>
      <c r="T5" s="18" t="n">
        <v>46295.4375</v>
      </c>
      <c r="U5" s="14" t="inlineStr">
        <is>
          <t>100929</t>
        </is>
      </c>
      <c r="W5" t="inlineStr">
        <is>
          <t>custo preexistente (busca por texto) mantido</t>
        </is>
      </c>
      <c r="Y5" t="inlineStr"/>
    </row>
    <row r="6" ht="15" customFormat="1" customHeight="1" s="19">
      <c r="A6" s="19" t="inlineStr">
        <is>
          <t>Espaço De Bicho</t>
        </is>
      </c>
      <c r="B6" s="19" t="inlineStr">
        <is>
          <t>Adubo Fertilizante Mineral Forth Rosa Do Deserto 3kg/400g</t>
        </is>
      </c>
      <c r="C6" s="19" t="inlineStr">
        <is>
          <t>3KG</t>
        </is>
      </c>
      <c r="D6" s="19" t="inlineStr">
        <is>
          <t>ADUBO-FORTH-ROSA-3KG</t>
        </is>
      </c>
      <c r="E6" s="19" t="inlineStr">
        <is>
          <t>22593696013</t>
        </is>
      </c>
      <c r="F6" s="19" t="inlineStr">
        <is>
          <t>169406379212</t>
        </is>
      </c>
      <c r="G6" s="19" t="inlineStr">
        <is>
          <t>NORMAL</t>
        </is>
      </c>
      <c r="H6" s="20" t="n">
        <v>79.90000000000001</v>
      </c>
      <c r="I6" s="20" t="n">
        <v>59.6</v>
      </c>
      <c r="J6" s="21" t="inlineStr">
        <is>
          <t>SIM</t>
        </is>
      </c>
      <c r="K6" s="20" t="n">
        <v>59.6</v>
      </c>
      <c r="L6" s="35">
        <f>IF(K6&lt;&gt;"",K6,I6)</f>
        <v/>
      </c>
      <c r="M6" s="81" t="n">
        <v>1</v>
      </c>
      <c r="N6" s="82" t="n">
        <v>39.25</v>
      </c>
      <c r="O6" s="83">
        <f>ROUND(M6*N6,2)</f>
        <v/>
      </c>
      <c r="P6" s="80">
        <f>IF($O6="","",L6-O6-(L6*IF(L6&lt;=79.99,20%,14%)+IF(L6&lt;=79.99,4,IF(L6&lt;=99.99,16,IF(L6&lt;=199.99,20,IF(L6&lt;=499.99,26,28)))))-L6*1.3%-L6*6%-(L6-O6)*9.25%-L6*3%-L6*3%-1)</f>
        <v/>
      </c>
      <c r="Q6" s="22">
        <f>IF(AND(K6&lt;&gt;"",H6&gt;0),(H6-K6)/H6,"")</f>
        <v/>
      </c>
      <c r="R6" s="19" t="inlineStr">
        <is>
          <t>909477973245952</t>
        </is>
      </c>
      <c r="S6" s="23" t="n">
        <v>46144.38263888889</v>
      </c>
      <c r="T6" s="23" t="n">
        <v>46295.4375</v>
      </c>
      <c r="U6" s="19" t="inlineStr">
        <is>
          <t>101179</t>
        </is>
      </c>
      <c r="V6" t="inlineStr">
        <is>
          <t>213560</t>
        </is>
      </c>
      <c r="W6" t="inlineStr">
        <is>
          <t>venda casada (10 pedidos)</t>
        </is>
      </c>
      <c r="X6" t="n">
        <v>10</v>
      </c>
      <c r="Y6" t="inlineStr">
        <is>
          <t>ok</t>
        </is>
      </c>
    </row>
    <row r="7" ht="15" customFormat="1" customHeight="1" s="14">
      <c r="A7" s="14" t="inlineStr">
        <is>
          <t>Espaço De Bicho</t>
        </is>
      </c>
      <c r="B7" s="14" t="inlineStr">
        <is>
          <t>Anti-Inflamatório Alcort Para Cachorros Com 10 Comprimidos De 5mg</t>
        </is>
      </c>
      <c r="C7" s="14" t="inlineStr">
        <is>
          <t>5mg</t>
        </is>
      </c>
      <c r="D7" s="14" t="inlineStr">
        <is>
          <t>ALCORT-5MG-10COMP</t>
        </is>
      </c>
      <c r="E7" s="14" t="inlineStr">
        <is>
          <t>22799241855</t>
        </is>
      </c>
      <c r="F7" s="14" t="inlineStr">
        <is>
          <t>109871690918</t>
        </is>
      </c>
      <c r="G7" s="14" t="inlineStr">
        <is>
          <t>NORMAL</t>
        </is>
      </c>
      <c r="H7" s="15" t="n">
        <v>99.90000000000001</v>
      </c>
      <c r="I7" s="15" t="n">
        <v>99.90000000000001</v>
      </c>
      <c r="J7" s="16" t="inlineStr">
        <is>
          <t>NÃO</t>
        </is>
      </c>
      <c r="K7" s="15" t="n"/>
      <c r="L7" s="35">
        <f>IF(K7&lt;&gt;"",K7,I7)</f>
        <v/>
      </c>
      <c r="M7" s="28" t="n"/>
      <c r="N7" s="28" t="n"/>
      <c r="O7" s="29" t="n"/>
      <c r="P7" s="80">
        <f>IF($O7="","",L7-O7-(L7*IF(L7&lt;=79.99,20%,14%)+IF(L7&lt;=79.99,4,IF(L7&lt;=99.99,16,IF(L7&lt;=199.99,20,IF(L7&lt;=499.99,26,28)))))-L7*1.3%-L7*6%-(L7-O7)*9.25%-L7*3%-L7*3%-1)</f>
        <v/>
      </c>
      <c r="Q7" s="17">
        <f>IF(AND(K7&lt;&gt;"",H7&gt;0),(H7-K7)/H7,"")</f>
        <v/>
      </c>
      <c r="R7" s="14" t="inlineStr"/>
      <c r="S7" s="18" t="n"/>
      <c r="T7" s="18" t="n"/>
      <c r="U7" s="14" t="inlineStr">
        <is>
          <t>100942</t>
        </is>
      </c>
      <c r="V7" t="inlineStr">
        <is>
          <t>ALCORT-5MG-10COMP</t>
        </is>
      </c>
      <c r="W7" t="inlineStr">
        <is>
          <t>SKU idêntico na Olist · CUSTO ZERADO na Olist (conferido hoje)</t>
        </is>
      </c>
      <c r="Y7" t="inlineStr">
        <is>
          <t>ok</t>
        </is>
      </c>
    </row>
    <row r="8" ht="15" customFormat="1" customHeight="1" s="19">
      <c r="A8" s="19" t="inlineStr">
        <is>
          <t>Espaço De Bicho</t>
        </is>
      </c>
      <c r="B8" s="19" t="inlineStr">
        <is>
          <t>Antipulgas E Carrapatos Frontline Top Spot Gato 1 A 10kg</t>
        </is>
      </c>
      <c r="C8" s="19" t="inlineStr">
        <is>
          <t>Sem variação</t>
        </is>
      </c>
      <c r="D8" s="19" t="inlineStr">
        <is>
          <t>0667</t>
        </is>
      </c>
      <c r="E8" s="19" t="inlineStr">
        <is>
          <t>20959149444</t>
        </is>
      </c>
      <c r="F8" s="19" t="inlineStr">
        <is>
          <t>0</t>
        </is>
      </c>
      <c r="G8" s="19" t="inlineStr">
        <is>
          <t>NORMAL</t>
        </is>
      </c>
      <c r="H8" s="20" t="n">
        <v>38.9</v>
      </c>
      <c r="I8" s="20" t="n">
        <v>38.9</v>
      </c>
      <c r="J8" s="21" t="inlineStr">
        <is>
          <t>NÃO</t>
        </is>
      </c>
      <c r="K8" s="20" t="n"/>
      <c r="L8" s="35">
        <f>IF(K8&lt;&gt;"",K8,I8)</f>
        <v/>
      </c>
      <c r="M8" s="30" t="n"/>
      <c r="N8" s="30" t="n"/>
      <c r="O8" s="31" t="n"/>
      <c r="P8" s="80">
        <f>IF($O8="","",L8-O8-(L8*IF(L8&lt;=79.99,20%,14%)+IF(L8&lt;=79.99,4,IF(L8&lt;=99.99,16,IF(L8&lt;=199.99,20,IF(L8&lt;=499.99,26,28)))))-L8*1.3%-L8*6%-(L8-O8)*9.25%-L8*3%-L8*3%-1)</f>
        <v/>
      </c>
      <c r="Q8" s="22">
        <f>IF(AND(K8&lt;&gt;"",H8&gt;0),(H8-K8)/H8,"")</f>
        <v/>
      </c>
      <c r="R8" s="19" t="inlineStr"/>
      <c r="S8" s="23" t="n"/>
      <c r="T8" s="23" t="n"/>
      <c r="U8" s="19" t="inlineStr">
        <is>
          <t>100942</t>
        </is>
      </c>
      <c r="V8" t="inlineStr">
        <is>
          <t>0667</t>
        </is>
      </c>
      <c r="W8" t="inlineStr">
        <is>
          <t>SKU idêntico na Olist · CUSTO ZERADO na Olist (conferido hoje)</t>
        </is>
      </c>
      <c r="Y8" t="inlineStr">
        <is>
          <t>ok</t>
        </is>
      </c>
    </row>
    <row r="9" ht="15" customFormat="1" customHeight="1" s="14">
      <c r="A9" s="19" t="inlineStr">
        <is>
          <t>Espaço De Bicho</t>
        </is>
      </c>
      <c r="B9" s="19" t="inlineStr">
        <is>
          <t>Antipulgas Invicto Cães 11,4 Kg A 57kg 1 Comprimido</t>
        </is>
      </c>
      <c r="C9" s="19" t="inlineStr">
        <is>
          <t>Sem variação</t>
        </is>
      </c>
      <c r="D9" s="19" t="inlineStr">
        <is>
          <t>010</t>
        </is>
      </c>
      <c r="E9" s="19" t="inlineStr">
        <is>
          <t>21169839582</t>
        </is>
      </c>
      <c r="F9" s="19" t="inlineStr">
        <is>
          <t>0</t>
        </is>
      </c>
      <c r="G9" s="19" t="inlineStr">
        <is>
          <t>NORMAL</t>
        </is>
      </c>
      <c r="H9" s="20" t="n">
        <v>17.9</v>
      </c>
      <c r="I9" s="20" t="n">
        <v>17.9</v>
      </c>
      <c r="J9" s="21" t="inlineStr">
        <is>
          <t>NÃO</t>
        </is>
      </c>
      <c r="K9" s="20" t="n"/>
      <c r="L9" s="35">
        <f>IF(K9&lt;&gt;"",K9,I9)</f>
        <v/>
      </c>
      <c r="M9" s="81" t="n">
        <v>1</v>
      </c>
      <c r="N9" s="82" t="n">
        <v>6.52</v>
      </c>
      <c r="O9" s="83">
        <f>ROUND(M9*N9,2)</f>
        <v/>
      </c>
      <c r="P9" s="80">
        <f>IF($O9="","",L9-O9-(L9*IF(L9&lt;=79.99,20%,14%)+IF(L9&lt;=79.99,4,IF(L9&lt;=99.99,16,IF(L9&lt;=199.99,20,IF(L9&lt;=499.99,26,28)))))-L9*1.3%-L9*6%-(L9-O9)*9.25%-L9*3%-L9*3%-1)</f>
        <v/>
      </c>
      <c r="Q9" s="22">
        <f>IF(AND(K9&lt;&gt;"",H9&gt;0),(H9-K9)/H9,"")</f>
        <v/>
      </c>
      <c r="R9" s="19" t="inlineStr"/>
      <c r="S9" s="23" t="n"/>
      <c r="T9" s="23" t="n"/>
      <c r="U9" s="19" t="inlineStr">
        <is>
          <t>100942</t>
        </is>
      </c>
      <c r="V9" t="inlineStr">
        <is>
          <t>213547</t>
        </is>
      </c>
      <c r="W9" t="inlineStr">
        <is>
          <t>SKU do de-para · custo do KIT 213690 (1× 213547)</t>
        </is>
      </c>
      <c r="X9" t="n">
        <v>2</v>
      </c>
      <c r="Y9" t="inlineStr">
        <is>
          <t>ok</t>
        </is>
      </c>
    </row>
    <row r="10" ht="15" customFormat="1" customHeight="1" s="19">
      <c r="A10" s="14" t="inlineStr">
        <is>
          <t>Espaço De Bicho</t>
        </is>
      </c>
      <c r="B10" s="14" t="inlineStr">
        <is>
          <t>Antitóxico Duprat Oral 20ML Cães Gatos</t>
        </is>
      </c>
      <c r="C10" s="14" t="inlineStr">
        <is>
          <t>Sem variação</t>
        </is>
      </c>
      <c r="D10" s="14" t="inlineStr">
        <is>
          <t>ANTITOXICO-DUPRAT-ORAL-20 ML</t>
        </is>
      </c>
      <c r="E10" s="14" t="inlineStr">
        <is>
          <t>22199050344</t>
        </is>
      </c>
      <c r="F10" s="14" t="inlineStr">
        <is>
          <t>0</t>
        </is>
      </c>
      <c r="G10" s="14" t="inlineStr">
        <is>
          <t>NORMAL</t>
        </is>
      </c>
      <c r="H10" s="15" t="n">
        <v>59.9</v>
      </c>
      <c r="I10" s="15" t="n">
        <v>18.83</v>
      </c>
      <c r="J10" s="16" t="inlineStr">
        <is>
          <t>SIM</t>
        </is>
      </c>
      <c r="K10" s="15" t="n">
        <v>18.83</v>
      </c>
      <c r="L10" s="35">
        <f>IF(K10&lt;&gt;"",K10,I10)</f>
        <v/>
      </c>
      <c r="M10" s="28" t="n"/>
      <c r="N10" s="28" t="n"/>
      <c r="O10" s="29" t="n"/>
      <c r="P10" s="80">
        <f>IF($O10="","",L10-O10-(L10*IF(L10&lt;=79.99,20%,14%)+IF(L10&lt;=79.99,4,IF(L10&lt;=99.99,16,IF(L10&lt;=199.99,20,IF(L10&lt;=499.99,26,28)))))-L10*1.3%-L10*6%-(L10-O10)*9.25%-L10*3%-L10*3%-1)</f>
        <v/>
      </c>
      <c r="Q10" s="17">
        <f>IF(AND(K10&lt;&gt;"",H10&gt;0),(H10-K10)/H10,"")</f>
        <v/>
      </c>
      <c r="R10" s="14" t="inlineStr">
        <is>
          <t>909477973245952</t>
        </is>
      </c>
      <c r="S10" s="18" t="n">
        <v>46144.38263888889</v>
      </c>
      <c r="T10" s="18" t="n">
        <v>46295.4375</v>
      </c>
      <c r="U10" s="14" t="inlineStr">
        <is>
          <t>100942</t>
        </is>
      </c>
      <c r="V10" t="inlineStr">
        <is>
          <t>ANTITOXICO-DUPRAT-ORAL-20 ML</t>
        </is>
      </c>
      <c r="W10" t="inlineStr">
        <is>
          <t>SKU idêntico na Olist · CUSTO ZERADO na Olist (conferido hoje)</t>
        </is>
      </c>
      <c r="Y10" t="inlineStr">
        <is>
          <t>ok</t>
        </is>
      </c>
    </row>
    <row r="11" ht="15" customFormat="1" customHeight="1" s="14">
      <c r="A11" s="19" t="inlineStr">
        <is>
          <t>Espaço De Bicho</t>
        </is>
      </c>
      <c r="B11" s="19" t="inlineStr">
        <is>
          <t>Tapete Higienico Good Pad 50 Unidades Envio Imediato</t>
        </is>
      </c>
      <c r="C11" s="19" t="inlineStr">
        <is>
          <t>Sem variação</t>
        </is>
      </c>
      <c r="D11" s="19" t="inlineStr">
        <is>
          <t>0771</t>
        </is>
      </c>
      <c r="E11" s="19" t="inlineStr">
        <is>
          <t>17981944804</t>
        </is>
      </c>
      <c r="F11" s="19" t="inlineStr">
        <is>
          <t>0</t>
        </is>
      </c>
      <c r="G11" s="19" t="inlineStr">
        <is>
          <t>NORMAL</t>
        </is>
      </c>
      <c r="H11" s="20" t="n">
        <v>99.90000000000001</v>
      </c>
      <c r="I11" s="20" t="n">
        <v>44.9</v>
      </c>
      <c r="J11" s="21" t="inlineStr">
        <is>
          <t>SIM</t>
        </is>
      </c>
      <c r="K11" s="20" t="n">
        <v>44.9</v>
      </c>
      <c r="L11" s="35">
        <f>IF(K11&lt;&gt;"",K11,I11)</f>
        <v/>
      </c>
      <c r="M11" s="81" t="n">
        <v>1</v>
      </c>
      <c r="N11" s="82" t="n">
        <v>33.46</v>
      </c>
      <c r="O11" s="83">
        <f>ROUND(M11*N11,2)</f>
        <v/>
      </c>
      <c r="P11" s="80">
        <f>IF($O11="","",L11-O11-(L11*IF(L11&lt;=79.99,20%,14%)+IF(L11&lt;=79.99,4,IF(L11&lt;=99.99,16,IF(L11&lt;=199.99,20,IF(L11&lt;=499.99,26,28)))))-L11*1.3%-L11*6%-(L11-O11)*9.25%-L11*3%-L11*3%-1)</f>
        <v/>
      </c>
      <c r="Q11" s="22">
        <f>IF(AND(K11&lt;&gt;"",H11&gt;0),(H11-K11)/H11,"")</f>
        <v/>
      </c>
      <c r="R11" s="19" t="inlineStr">
        <is>
          <t>909477973245952</t>
        </is>
      </c>
      <c r="S11" s="23" t="n">
        <v>46144.38263888889</v>
      </c>
      <c r="T11" s="23" t="n">
        <v>46295.4375</v>
      </c>
      <c r="U11" s="19" t="inlineStr">
        <is>
          <t>100926</t>
        </is>
      </c>
      <c r="V11" t="inlineStr">
        <is>
          <t>212961</t>
        </is>
      </c>
      <c r="W11" t="inlineStr">
        <is>
          <t>venda casada (1160 pedidos) · custo do KIT 213830 (1× 212961)</t>
        </is>
      </c>
      <c r="X11" t="n">
        <v>1160</v>
      </c>
      <c r="Y11" t="inlineStr">
        <is>
          <t>ok</t>
        </is>
      </c>
    </row>
    <row r="12" ht="15" customFormat="1" customHeight="1" s="19">
      <c r="A12" s="19" t="inlineStr">
        <is>
          <t>Espaço De Bicho</t>
        </is>
      </c>
      <c r="B12" s="19" t="inlineStr">
        <is>
          <t>Bebedouro Beija Flor Luxo com chapéu e poleiro - Jelplast Sortido</t>
        </is>
      </c>
      <c r="C12" s="19" t="inlineStr">
        <is>
          <t>Sem variação</t>
        </is>
      </c>
      <c r="D12" s="19" t="inlineStr">
        <is>
          <t>64</t>
        </is>
      </c>
      <c r="E12" s="19" t="inlineStr">
        <is>
          <t>18499198968</t>
        </is>
      </c>
      <c r="F12" s="19" t="inlineStr">
        <is>
          <t>0</t>
        </is>
      </c>
      <c r="G12" s="19" t="inlineStr">
        <is>
          <t>NORMAL</t>
        </is>
      </c>
      <c r="H12" s="20" t="n">
        <v>29.9</v>
      </c>
      <c r="I12" s="20" t="n">
        <v>13.9</v>
      </c>
      <c r="J12" s="21" t="inlineStr">
        <is>
          <t>SIM</t>
        </is>
      </c>
      <c r="K12" s="20" t="n">
        <v>13.9</v>
      </c>
      <c r="L12" s="35">
        <f>IF(K12&lt;&gt;"",K12,I12)</f>
        <v/>
      </c>
      <c r="M12" s="30" t="n"/>
      <c r="N12" s="36" t="n"/>
      <c r="O12" s="31" t="n"/>
      <c r="P12" s="80">
        <f>IF($O12="","",L12-O12-(L12*IF(L12&lt;=79.99,20%,14%)+IF(L12&lt;=79.99,4,IF(L12&lt;=99.99,16,IF(L12&lt;=199.99,20,IF(L12&lt;=499.99,26,28)))))-L12*1.3%-L12*6%-(L12-O12)*9.25%-L12*3%-L12*3%-1)</f>
        <v/>
      </c>
      <c r="Q12" s="22">
        <f>IF(AND(K12&lt;&gt;"",H12&gt;0),(H12-K12)/H12,"")</f>
        <v/>
      </c>
      <c r="R12" s="19" t="inlineStr">
        <is>
          <t>909477973245952</t>
        </is>
      </c>
      <c r="S12" s="23" t="n">
        <v>46144.38263888889</v>
      </c>
      <c r="T12" s="23" t="n">
        <v>46295.4375</v>
      </c>
      <c r="U12" s="19" t="inlineStr">
        <is>
          <t>100916</t>
        </is>
      </c>
      <c r="V12" t="inlineStr">
        <is>
          <t>64</t>
        </is>
      </c>
      <c r="W12" t="inlineStr">
        <is>
          <t>SKU idêntico na Olist · CUSTO ZERADO na Olist (conferido hoje)</t>
        </is>
      </c>
      <c r="Y12" t="inlineStr">
        <is>
          <t>ok</t>
        </is>
      </c>
    </row>
    <row r="13" ht="15" customFormat="1" customHeight="1" s="14">
      <c r="A13" s="14" t="inlineStr">
        <is>
          <t>Espaço De Bicho</t>
        </is>
      </c>
      <c r="B13" s="14" t="inlineStr">
        <is>
          <t>Bolinha Com Guizo Brinquedo Para Gato Colorido</t>
        </is>
      </c>
      <c r="C13" s="14" t="inlineStr">
        <is>
          <t>Sem variação</t>
        </is>
      </c>
      <c r="D13" s="14" t="inlineStr">
        <is>
          <t>BOLA-GUIZO-CAT</t>
        </is>
      </c>
      <c r="E13" s="14" t="inlineStr">
        <is>
          <t>22993543152</t>
        </is>
      </c>
      <c r="F13" s="14" t="inlineStr">
        <is>
          <t>0</t>
        </is>
      </c>
      <c r="G13" s="14" t="inlineStr">
        <is>
          <t>NORMAL</t>
        </is>
      </c>
      <c r="H13" s="15" t="n">
        <v>19.9</v>
      </c>
      <c r="I13" s="15" t="n">
        <v>9.9</v>
      </c>
      <c r="J13" s="16" t="inlineStr">
        <is>
          <t>SIM</t>
        </is>
      </c>
      <c r="K13" s="15" t="n">
        <v>9.9</v>
      </c>
      <c r="L13" s="35">
        <f>IF(K13&lt;&gt;"",K13,I13)</f>
        <v/>
      </c>
      <c r="M13" s="84" t="n">
        <v>1</v>
      </c>
      <c r="N13" s="85" t="n">
        <v>0.2</v>
      </c>
      <c r="O13" s="80">
        <f>ROUND(M13*N13,2)</f>
        <v/>
      </c>
      <c r="P13" s="80">
        <f>IF($O13="","",L13-O13-(L13*IF(L13&lt;=79.99,20%,14%)+IF(L13&lt;=79.99,4,IF(L13&lt;=99.99,16,IF(L13&lt;=199.99,20,IF(L13&lt;=499.99,26,28)))))-L13*1.3%-L13*6%-(L13-O13)*9.25%-L13*3%-L13*3%-1)</f>
        <v/>
      </c>
      <c r="Q13" s="17">
        <f>IF(AND(K13&lt;&gt;"",H13&gt;0),(H13-K13)/H13,"")</f>
        <v/>
      </c>
      <c r="R13" s="14" t="inlineStr">
        <is>
          <t>909477973245952</t>
        </is>
      </c>
      <c r="S13" s="18" t="n">
        <v>46144.38263888889</v>
      </c>
      <c r="T13" s="18" t="n">
        <v>46295.4375</v>
      </c>
      <c r="U13" s="14" t="inlineStr">
        <is>
          <t>101926</t>
        </is>
      </c>
      <c r="V13" t="inlineStr">
        <is>
          <t>212992</t>
        </is>
      </c>
      <c r="W13" t="inlineStr">
        <is>
          <t>venda casada (25 pedidos)</t>
        </is>
      </c>
      <c r="X13" t="n">
        <v>25</v>
      </c>
      <c r="Y13" t="inlineStr">
        <is>
          <t>ok</t>
        </is>
      </c>
    </row>
    <row r="14" ht="15" customFormat="1" customHeight="1" s="19">
      <c r="A14" s="19" t="inlineStr">
        <is>
          <t>Espaço De Bicho</t>
        </is>
      </c>
      <c r="B14" s="19" t="inlineStr">
        <is>
          <t>Brinquedo Interativo P/ Gatos Varinha Arranhador Pena Ratinho</t>
        </is>
      </c>
      <c r="C14" s="19" t="inlineStr">
        <is>
          <t>PENA</t>
        </is>
      </c>
      <c r="D14" s="19" t="inlineStr">
        <is>
          <t>BRINQUEDO-PENA</t>
        </is>
      </c>
      <c r="E14" s="19" t="inlineStr">
        <is>
          <t>19197811676</t>
        </is>
      </c>
      <c r="F14" s="19" t="inlineStr">
        <is>
          <t>229409372832</t>
        </is>
      </c>
      <c r="G14" s="19" t="inlineStr">
        <is>
          <t>NORMAL</t>
        </is>
      </c>
      <c r="H14" s="20" t="n">
        <v>59.9</v>
      </c>
      <c r="I14" s="20" t="n">
        <v>19.89</v>
      </c>
      <c r="J14" s="21" t="inlineStr">
        <is>
          <t>SIM</t>
        </is>
      </c>
      <c r="K14" s="20" t="n">
        <v>19.89</v>
      </c>
      <c r="L14" s="35">
        <f>IF(K14&lt;&gt;"",K14,I14)</f>
        <v/>
      </c>
      <c r="M14" s="81" t="n">
        <v>1</v>
      </c>
      <c r="N14" s="85" t="n">
        <v>12.2</v>
      </c>
      <c r="O14" s="83">
        <f>ROUND(M14*N14,2)</f>
        <v/>
      </c>
      <c r="P14" s="80">
        <f>IF($O14="","",L14-O14-(L14*IF(L14&lt;=79.99,20%,14%)+IF(L14&lt;=79.99,4,IF(L14&lt;=99.99,16,IF(L14&lt;=199.99,20,IF(L14&lt;=499.99,26,28)))))-L14*1.3%-L14*6%-(L14-O14)*9.25%-L14*3%-L14*3%-1)</f>
        <v/>
      </c>
      <c r="Q14" s="22">
        <f>IF(AND(K14&lt;&gt;"",H14&gt;0),(H14-K14)/H14,"")</f>
        <v/>
      </c>
      <c r="R14" s="19" t="inlineStr">
        <is>
          <t>909477973245952</t>
        </is>
      </c>
      <c r="S14" s="23" t="n">
        <v>46144.38263888889</v>
      </c>
      <c r="T14" s="23" t="n">
        <v>46295.4375</v>
      </c>
      <c r="U14" s="19" t="inlineStr">
        <is>
          <t>101678</t>
        </is>
      </c>
      <c r="V14" t="inlineStr">
        <is>
          <t>213556</t>
        </is>
      </c>
      <c r="W14" t="inlineStr">
        <is>
          <t>venda casada (3 pedidos)</t>
        </is>
      </c>
      <c r="X14" t="n">
        <v>3</v>
      </c>
      <c r="Y14" t="inlineStr">
        <is>
          <t>ok</t>
        </is>
      </c>
    </row>
    <row r="15" ht="15" customFormat="1" customHeight="1" s="14">
      <c r="A15" s="19" t="inlineStr">
        <is>
          <t>Espaço De Bicho</t>
        </is>
      </c>
      <c r="B15" s="19" t="inlineStr">
        <is>
          <t>Brinquedo Interativo P/ Gatos Varinha Arranhador Pena Ratinho</t>
        </is>
      </c>
      <c r="C15" s="19" t="inlineStr">
        <is>
          <t>RATO</t>
        </is>
      </c>
      <c r="D15" s="19" t="inlineStr">
        <is>
          <t>BRINQUEDO-RATO</t>
        </is>
      </c>
      <c r="E15" s="19" t="inlineStr">
        <is>
          <t>19197811676</t>
        </is>
      </c>
      <c r="F15" s="19" t="inlineStr">
        <is>
          <t>229409372831</t>
        </is>
      </c>
      <c r="G15" s="19" t="inlineStr">
        <is>
          <t>NORMAL</t>
        </is>
      </c>
      <c r="H15" s="20" t="n">
        <v>59.9</v>
      </c>
      <c r="I15" s="20" t="n">
        <v>19.89</v>
      </c>
      <c r="J15" s="21" t="inlineStr">
        <is>
          <t>SIM</t>
        </is>
      </c>
      <c r="K15" s="20" t="n">
        <v>19.89</v>
      </c>
      <c r="L15" s="35">
        <f>IF(K15&lt;&gt;"",K15,I15)</f>
        <v/>
      </c>
      <c r="M15" s="81" t="n">
        <v>1</v>
      </c>
      <c r="N15" s="85" t="n">
        <v>12.2</v>
      </c>
      <c r="O15" s="83">
        <f>ROUND(M15*N15,2)</f>
        <v/>
      </c>
      <c r="P15" s="80">
        <f>IF($O15="","",L15-O15-(L15*IF(L15&lt;=79.99,20%,14%)+IF(L15&lt;=79.99,4,IF(L15&lt;=99.99,16,IF(L15&lt;=199.99,20,IF(L15&lt;=499.99,26,28)))))-L15*1.3%-L15*6%-(L15-O15)*9.25%-L15*3%-L15*3%-1)</f>
        <v/>
      </c>
      <c r="Q15" s="22">
        <f>IF(AND(K15&lt;&gt;"",H15&gt;0),(H15-K15)/H15,"")</f>
        <v/>
      </c>
      <c r="R15" s="19" t="inlineStr">
        <is>
          <t>909477973245952</t>
        </is>
      </c>
      <c r="S15" s="23" t="n">
        <v>46144.38263888889</v>
      </c>
      <c r="T15" s="23" t="n">
        <v>46295.4375</v>
      </c>
      <c r="U15" s="19" t="inlineStr">
        <is>
          <t>101678</t>
        </is>
      </c>
      <c r="V15" t="inlineStr">
        <is>
          <t>213555</t>
        </is>
      </c>
      <c r="W15" t="inlineStr">
        <is>
          <t>venda casada (7 pedidos)</t>
        </is>
      </c>
      <c r="X15" t="n">
        <v>7</v>
      </c>
      <c r="Y15" t="inlineStr">
        <is>
          <t>ok</t>
        </is>
      </c>
    </row>
    <row r="16" ht="15" customFormat="1" customHeight="1" s="19">
      <c r="A16" s="14" t="inlineStr">
        <is>
          <t>Espaço De Bicho</t>
        </is>
      </c>
      <c r="B16" s="14" t="inlineStr">
        <is>
          <t>Brinquedo Interativo Simulador de Pássaro- Varinha para provocar e estimular gato</t>
        </is>
      </c>
      <c r="C16" s="14" t="inlineStr">
        <is>
          <t>Sem variação</t>
        </is>
      </c>
      <c r="D16" s="14" t="inlineStr">
        <is>
          <t>BRINQUEDO-VARA-CAT</t>
        </is>
      </c>
      <c r="E16" s="14" t="inlineStr">
        <is>
          <t>20699202925</t>
        </is>
      </c>
      <c r="F16" s="14" t="inlineStr">
        <is>
          <t>0</t>
        </is>
      </c>
      <c r="G16" s="14" t="inlineStr">
        <is>
          <t>NORMAL</t>
        </is>
      </c>
      <c r="H16" s="15" t="n">
        <v>29.9</v>
      </c>
      <c r="I16" s="15" t="n">
        <v>25.9</v>
      </c>
      <c r="J16" s="16" t="inlineStr">
        <is>
          <t>SIM</t>
        </is>
      </c>
      <c r="K16" s="15" t="n">
        <v>25.9</v>
      </c>
      <c r="L16" s="35">
        <f>IF(K16&lt;&gt;"",K16,I16)</f>
        <v/>
      </c>
      <c r="M16" s="28" t="n"/>
      <c r="N16" s="28" t="n"/>
      <c r="O16" s="29" t="n"/>
      <c r="P16" s="80">
        <f>IF($O16="","",L16-O16-(L16*IF(L16&lt;=79.99,20%,14%)+IF(L16&lt;=79.99,4,IF(L16&lt;=99.99,16,IF(L16&lt;=199.99,20,IF(L16&lt;=499.99,26,28)))))-L16*1.3%-L16*6%-(L16-O16)*9.25%-L16*3%-L16*3%-1)</f>
        <v/>
      </c>
      <c r="Q16" s="17">
        <f>IF(AND(K16&lt;&gt;"",H16&gt;0),(H16-K16)/H16,"")</f>
        <v/>
      </c>
      <c r="R16" s="14" t="inlineStr">
        <is>
          <t>909477973245952</t>
        </is>
      </c>
      <c r="S16" s="18" t="n">
        <v>46144.38263888889</v>
      </c>
      <c r="T16" s="18" t="n">
        <v>46295.4375</v>
      </c>
      <c r="U16" s="14" t="inlineStr">
        <is>
          <t>101925</t>
        </is>
      </c>
      <c r="W16" t="inlineStr">
        <is>
          <t>ambíguo: 213575 (50%) vs BRINQUEDO-VARA-CAT</t>
        </is>
      </c>
      <c r="X16" t="n">
        <v>2</v>
      </c>
      <c r="Y16" t="inlineStr"/>
    </row>
    <row r="17" ht="15" customFormat="1" customHeight="1" s="14">
      <c r="A17" s="14" t="inlineStr">
        <is>
          <t>Espaço De Bicho</t>
        </is>
      </c>
      <c r="B17" s="14" t="inlineStr">
        <is>
          <t>Brinquedo Mordedor Osso Bamboo Sabor Bacon Limpeza Dentes Tartaro Truqys</t>
        </is>
      </c>
      <c r="C17" s="14" t="inlineStr">
        <is>
          <t>Osso Pequeno</t>
        </is>
      </c>
      <c r="D17" s="14" t="inlineStr">
        <is>
          <t>0332</t>
        </is>
      </c>
      <c r="E17" s="14" t="inlineStr">
        <is>
          <t>22196102653</t>
        </is>
      </c>
      <c r="F17" s="14" t="inlineStr">
        <is>
          <t>159766308983</t>
        </is>
      </c>
      <c r="G17" s="14" t="inlineStr">
        <is>
          <t>NORMAL</t>
        </is>
      </c>
      <c r="H17" s="15" t="n">
        <v>44.9</v>
      </c>
      <c r="I17" s="15" t="n">
        <v>19.9</v>
      </c>
      <c r="J17" s="16" t="inlineStr">
        <is>
          <t>SIM</t>
        </is>
      </c>
      <c r="K17" s="15" t="n">
        <v>19.9</v>
      </c>
      <c r="L17" s="35">
        <f>IF(K17&lt;&gt;"",K17,I17)</f>
        <v/>
      </c>
      <c r="M17" s="84" t="n">
        <v>1</v>
      </c>
      <c r="N17" s="85" t="n">
        <v>9.93</v>
      </c>
      <c r="O17" s="80">
        <f>ROUND(M17*N17,2)</f>
        <v/>
      </c>
      <c r="P17" s="80">
        <f>IF($O17="","",L17-O17-(L17*IF(L17&lt;=79.99,20%,14%)+IF(L17&lt;=79.99,4,IF(L17&lt;=99.99,16,IF(L17&lt;=199.99,20,IF(L17&lt;=499.99,26,28)))))-L17*1.3%-L17*6%-(L17-O17)*9.25%-L17*3%-L17*3%-1)</f>
        <v/>
      </c>
      <c r="Q17" s="17">
        <f>IF(AND(K17&lt;&gt;"",H17&gt;0),(H17-K17)/H17,"")</f>
        <v/>
      </c>
      <c r="R17" s="14" t="inlineStr">
        <is>
          <t>909477973245952</t>
        </is>
      </c>
      <c r="S17" s="18" t="n">
        <v>46144.38263888889</v>
      </c>
      <c r="T17" s="18" t="n">
        <v>46295.4375</v>
      </c>
      <c r="U17" s="14" t="inlineStr">
        <is>
          <t>101926</t>
        </is>
      </c>
      <c r="V17" t="inlineStr">
        <is>
          <t>215138</t>
        </is>
      </c>
      <c r="W17" t="inlineStr">
        <is>
          <t>venda casada (1 pedido)</t>
        </is>
      </c>
      <c r="X17" t="n">
        <v>1</v>
      </c>
      <c r="Y17" t="inlineStr">
        <is>
          <t>⚠ evidência fraca (1 pedido)</t>
        </is>
      </c>
    </row>
    <row r="18" ht="15" customFormat="1" customHeight="1" s="19">
      <c r="A18" s="14" t="inlineStr">
        <is>
          <t>Espaço De Bicho</t>
        </is>
      </c>
      <c r="B18" s="14" t="inlineStr">
        <is>
          <t>Brinquedo Varinha Gato Penas Pássaro Com Ventosa Fixa No Chão</t>
        </is>
      </c>
      <c r="C18" s="14" t="inlineStr">
        <is>
          <t>PRETO</t>
        </is>
      </c>
      <c r="D18" s="14" t="inlineStr">
        <is>
          <t>BRINQUEDO-VARA-CAT-PRETO</t>
        </is>
      </c>
      <c r="E18" s="14" t="inlineStr">
        <is>
          <t>19997807516</t>
        </is>
      </c>
      <c r="F18" s="14" t="inlineStr">
        <is>
          <t>169399702997</t>
        </is>
      </c>
      <c r="G18" s="14" t="inlineStr">
        <is>
          <t>NORMAL</t>
        </is>
      </c>
      <c r="H18" s="15" t="n">
        <v>39.9</v>
      </c>
      <c r="I18" s="15" t="n">
        <v>24.89</v>
      </c>
      <c r="J18" s="16" t="inlineStr">
        <is>
          <t>SIM</t>
        </is>
      </c>
      <c r="K18" s="15" t="n">
        <v>24.89</v>
      </c>
      <c r="L18" s="35">
        <f>IF(K18&lt;&gt;"",K18,I18)</f>
        <v/>
      </c>
      <c r="M18" s="84" t="n">
        <v>1</v>
      </c>
      <c r="N18" s="85" t="n">
        <v>4.33</v>
      </c>
      <c r="O18" s="80">
        <f>ROUND(M18*N18,2)</f>
        <v/>
      </c>
      <c r="P18" s="80">
        <f>IF($O18="","",L18-O18-(L18*IF(L18&lt;=79.99,20%,14%)+IF(L18&lt;=79.99,4,IF(L18&lt;=99.99,16,IF(L18&lt;=199.99,20,IF(L18&lt;=499.99,26,28)))))-L18*1.3%-L18*6%-(L18-O18)*9.25%-L18*3%-L18*3%-1)</f>
        <v/>
      </c>
      <c r="Q18" s="17">
        <f>IF(AND(K18&lt;&gt;"",H18&gt;0),(H18-K18)/H18,"")</f>
        <v/>
      </c>
      <c r="R18" s="14" t="inlineStr">
        <is>
          <t>909477973245952</t>
        </is>
      </c>
      <c r="S18" s="18" t="n">
        <v>46144.38263888889</v>
      </c>
      <c r="T18" s="18" t="n">
        <v>46295.4375</v>
      </c>
      <c r="U18" s="14" t="inlineStr">
        <is>
          <t>101925</t>
        </is>
      </c>
      <c r="V18" t="inlineStr">
        <is>
          <t>213527</t>
        </is>
      </c>
      <c r="W18" t="inlineStr">
        <is>
          <t>venda casada (13 pedidos)</t>
        </is>
      </c>
      <c r="X18" t="n">
        <v>13</v>
      </c>
      <c r="Y18" t="inlineStr">
        <is>
          <t>ok</t>
        </is>
      </c>
    </row>
    <row r="19" ht="15" customFormat="1" customHeight="1" s="14">
      <c r="A19" s="19" t="inlineStr">
        <is>
          <t>Espaço De Bicho</t>
        </is>
      </c>
      <c r="B19" s="19" t="inlineStr">
        <is>
          <t>Brinquedo Varinha Gato Penas Pássaro Com Ventosa Fixa No Chão</t>
        </is>
      </c>
      <c r="C19" s="19" t="inlineStr">
        <is>
          <t>ROSA</t>
        </is>
      </c>
      <c r="D19" s="19" t="inlineStr">
        <is>
          <t>BRINQUEDO-VARA-CAT-ROSA</t>
        </is>
      </c>
      <c r="E19" s="19" t="inlineStr">
        <is>
          <t>19997807516</t>
        </is>
      </c>
      <c r="F19" s="19" t="inlineStr">
        <is>
          <t>169399702996</t>
        </is>
      </c>
      <c r="G19" s="19" t="inlineStr">
        <is>
          <t>NORMAL</t>
        </is>
      </c>
      <c r="H19" s="20" t="n">
        <v>39.9</v>
      </c>
      <c r="I19" s="20" t="n">
        <v>19.9</v>
      </c>
      <c r="J19" s="21" t="inlineStr">
        <is>
          <t>SIM</t>
        </is>
      </c>
      <c r="K19" s="20" t="n">
        <v>19.9</v>
      </c>
      <c r="L19" s="35">
        <f>IF(K19&lt;&gt;"",K19,I19)</f>
        <v/>
      </c>
      <c r="M19" s="81" t="n">
        <v>1</v>
      </c>
      <c r="N19" s="82" t="n">
        <v>4.33</v>
      </c>
      <c r="O19" s="83">
        <f>ROUND(M19*N19,2)</f>
        <v/>
      </c>
      <c r="P19" s="80">
        <f>IF($O19="","",L19-O19-(L19*IF(L19&lt;=79.99,20%,14%)+IF(L19&lt;=79.99,4,IF(L19&lt;=99.99,16,IF(L19&lt;=199.99,20,IF(L19&lt;=499.99,26,28)))))-L19*1.3%-L19*6%-(L19-O19)*9.25%-L19*3%-L19*3%-1)</f>
        <v/>
      </c>
      <c r="Q19" s="22">
        <f>IF(AND(K19&lt;&gt;"",H19&gt;0),(H19-K19)/H19,"")</f>
        <v/>
      </c>
      <c r="R19" s="19" t="inlineStr">
        <is>
          <t>909477973245952</t>
        </is>
      </c>
      <c r="S19" s="23" t="n">
        <v>46144.38263888889</v>
      </c>
      <c r="T19" s="23" t="n">
        <v>46295.4375</v>
      </c>
      <c r="U19" s="19" t="inlineStr">
        <is>
          <t>101925</t>
        </is>
      </c>
      <c r="V19" t="inlineStr">
        <is>
          <t>213528</t>
        </is>
      </c>
      <c r="W19" t="inlineStr">
        <is>
          <t>venda casada (57 pedidos)</t>
        </is>
      </c>
      <c r="X19" t="n">
        <v>57</v>
      </c>
      <c r="Y19" t="inlineStr">
        <is>
          <t>ok</t>
        </is>
      </c>
    </row>
    <row r="20" ht="15" customFormat="1" customHeight="1" s="19">
      <c r="A20" s="14" t="inlineStr">
        <is>
          <t>Espaço De Bicho</t>
        </is>
      </c>
      <c r="B20" s="14" t="inlineStr">
        <is>
          <t>Cata caca passeio dos pet</t>
        </is>
      </c>
      <c r="C20" s="14" t="inlineStr">
        <is>
          <t>Sem variação</t>
        </is>
      </c>
      <c r="D20" s="14" t="inlineStr">
        <is>
          <t>290</t>
        </is>
      </c>
      <c r="E20" s="14" t="inlineStr">
        <is>
          <t>21499666045</t>
        </is>
      </c>
      <c r="F20" s="14" t="inlineStr">
        <is>
          <t>0</t>
        </is>
      </c>
      <c r="G20" s="14" t="inlineStr">
        <is>
          <t>NORMAL</t>
        </is>
      </c>
      <c r="H20" s="15" t="n">
        <v>29.9</v>
      </c>
      <c r="I20" s="15" t="n">
        <v>29.9</v>
      </c>
      <c r="J20" s="16" t="inlineStr">
        <is>
          <t>NÃO</t>
        </is>
      </c>
      <c r="K20" s="15" t="n"/>
      <c r="L20" s="35">
        <f>IF(K20&lt;&gt;"",K20,I20)</f>
        <v/>
      </c>
      <c r="M20" s="28" t="n"/>
      <c r="N20" s="28" t="n"/>
      <c r="O20" s="29" t="n"/>
      <c r="P20" s="80">
        <f>IF($O20="","",L20-O20-(L20*IF(L20&lt;=79.99,20%,14%)+IF(L20&lt;=79.99,4,IF(L20&lt;=99.99,16,IF(L20&lt;=199.99,20,IF(L20&lt;=499.99,26,28)))))-L20*1.3%-L20*6%-(L20-O20)*9.25%-L20*3%-L20*3%-1)</f>
        <v/>
      </c>
      <c r="Q20" s="17">
        <f>IF(AND(K20&lt;&gt;"",H20&gt;0),(H20-K20)/H20,"")</f>
        <v/>
      </c>
      <c r="R20" s="14" t="inlineStr"/>
      <c r="S20" s="18" t="n"/>
      <c r="T20" s="18" t="n"/>
      <c r="U20" s="14" t="inlineStr">
        <is>
          <t>100927</t>
        </is>
      </c>
      <c r="V20" t="inlineStr">
        <is>
          <t>290</t>
        </is>
      </c>
      <c r="W20" t="inlineStr">
        <is>
          <t>SKU idêntico na Olist · CUSTO ZERADO na Olist (conferido hoje)</t>
        </is>
      </c>
      <c r="Y20" t="inlineStr">
        <is>
          <t>ok</t>
        </is>
      </c>
    </row>
    <row r="21" ht="15" customFormat="1" customHeight="1" s="14">
      <c r="A21" s="14" t="inlineStr">
        <is>
          <t>Espaço De Bicho</t>
        </is>
      </c>
      <c r="B21" s="14" t="inlineStr">
        <is>
          <t>Duotrill 150mg 10 Comprimidos Para Cães E Gatos - Duprat</t>
        </is>
      </c>
      <c r="C21" s="14" t="inlineStr">
        <is>
          <t>Sem variação</t>
        </is>
      </c>
      <c r="D21" s="14" t="inlineStr">
        <is>
          <t>DUOTRILL-150MG-10COMP</t>
        </is>
      </c>
      <c r="E21" s="14" t="inlineStr">
        <is>
          <t>23099049174</t>
        </is>
      </c>
      <c r="F21" s="14" t="inlineStr">
        <is>
          <t>0</t>
        </is>
      </c>
      <c r="G21" s="14" t="inlineStr">
        <is>
          <t>NORMAL</t>
        </is>
      </c>
      <c r="H21" s="15" t="n">
        <v>99.90000000000001</v>
      </c>
      <c r="I21" s="15" t="n">
        <v>56.9</v>
      </c>
      <c r="J21" s="16" t="inlineStr">
        <is>
          <t>SIM</t>
        </is>
      </c>
      <c r="K21" s="15" t="n">
        <v>56.9</v>
      </c>
      <c r="L21" s="35">
        <f>IF(K21&lt;&gt;"",K21,I21)</f>
        <v/>
      </c>
      <c r="M21" s="28" t="n"/>
      <c r="N21" s="28" t="n"/>
      <c r="O21" s="29" t="n"/>
      <c r="P21" s="80">
        <f>IF($O21="","",L21-O21-(L21*IF(L21&lt;=79.99,20%,14%)+IF(L21&lt;=79.99,4,IF(L21&lt;=99.99,16,IF(L21&lt;=199.99,20,IF(L21&lt;=499.99,26,28)))))-L21*1.3%-L21*6%-(L21-O21)*9.25%-L21*3%-L21*3%-1)</f>
        <v/>
      </c>
      <c r="Q21" s="17">
        <f>IF(AND(K21&lt;&gt;"",H21&gt;0),(H21-K21)/H21,"")</f>
        <v/>
      </c>
      <c r="R21" s="14" t="inlineStr">
        <is>
          <t>909477973245952</t>
        </is>
      </c>
      <c r="S21" s="18" t="n">
        <v>46144.38263888889</v>
      </c>
      <c r="T21" s="18" t="n">
        <v>46295.4375</v>
      </c>
      <c r="U21" s="14" t="inlineStr">
        <is>
          <t>100944</t>
        </is>
      </c>
      <c r="V21" t="inlineStr">
        <is>
          <t>DUOTRILL-150MG-10COMP</t>
        </is>
      </c>
      <c r="W21" t="inlineStr">
        <is>
          <t>SKU idêntico na Olist · CUSTO ZERADO na Olist (conferido hoje)</t>
        </is>
      </c>
      <c r="Y21" t="inlineStr">
        <is>
          <t>ok</t>
        </is>
      </c>
    </row>
    <row r="22" ht="15" customFormat="1" customHeight="1" s="19">
      <c r="A22" s="19" t="inlineStr">
        <is>
          <t>Espaço De Bicho</t>
        </is>
      </c>
      <c r="B22" s="19" t="inlineStr">
        <is>
          <t>Duotrill 50 MG Duprat Blister C/ 10 Comprimidos Cães e Gatos</t>
        </is>
      </c>
      <c r="C22" s="19" t="inlineStr">
        <is>
          <t>Sem variação</t>
        </is>
      </c>
      <c r="D22" s="19" t="inlineStr">
        <is>
          <t>DUOTRILL-50MG-10-COMP</t>
        </is>
      </c>
      <c r="E22" s="19" t="inlineStr">
        <is>
          <t>22899048121</t>
        </is>
      </c>
      <c r="F22" s="19" t="inlineStr">
        <is>
          <t>0</t>
        </is>
      </c>
      <c r="G22" s="19" t="inlineStr">
        <is>
          <t>NORMAL</t>
        </is>
      </c>
      <c r="H22" s="20" t="n">
        <v>59.9</v>
      </c>
      <c r="I22" s="20" t="n">
        <v>17.99</v>
      </c>
      <c r="J22" s="21" t="inlineStr">
        <is>
          <t>SIM</t>
        </is>
      </c>
      <c r="K22" s="20" t="n">
        <v>17.99</v>
      </c>
      <c r="L22" s="35">
        <f>IF(K22&lt;&gt;"",K22,I22)</f>
        <v/>
      </c>
      <c r="M22" s="81" t="n">
        <v>1</v>
      </c>
      <c r="N22" s="82" t="n">
        <v>8</v>
      </c>
      <c r="O22" s="83">
        <f>ROUND(M22*N22,2)</f>
        <v/>
      </c>
      <c r="P22" s="80">
        <f>IF($O22="","",L22-O22-(L22*IF(L22&lt;=79.99,20%,14%)+IF(L22&lt;=79.99,4,IF(L22&lt;=99.99,16,IF(L22&lt;=199.99,20,IF(L22&lt;=499.99,26,28)))))-L22*1.3%-L22*6%-(L22-O22)*9.25%-L22*3%-L22*3%-1)</f>
        <v/>
      </c>
      <c r="Q22" s="22">
        <f>IF(AND(K22&lt;&gt;"",H22&gt;0),(H22-K22)/H22,"")</f>
        <v/>
      </c>
      <c r="R22" s="19" t="inlineStr">
        <is>
          <t>909477973245952</t>
        </is>
      </c>
      <c r="S22" s="23" t="n">
        <v>46144.38263888889</v>
      </c>
      <c r="T22" s="23" t="n">
        <v>46295.4375</v>
      </c>
      <c r="U22" s="19" t="inlineStr">
        <is>
          <t>100942</t>
        </is>
      </c>
      <c r="V22" t="inlineStr">
        <is>
          <t>213398</t>
        </is>
      </c>
      <c r="W22" t="inlineStr">
        <is>
          <t>venda casada (7 pedidos)</t>
        </is>
      </c>
      <c r="X22" t="n">
        <v>7</v>
      </c>
      <c r="Y22" t="inlineStr">
        <is>
          <t>ok</t>
        </is>
      </c>
    </row>
    <row r="23" ht="15" customFormat="1" customHeight="1" s="14">
      <c r="A23" s="14" t="inlineStr">
        <is>
          <t>Espaço De Bicho</t>
        </is>
      </c>
      <c r="B23" s="14" t="inlineStr">
        <is>
          <t>Duprantel Vermífugo Cães e Gatos- 4 Comprimidos - Duprat</t>
        </is>
      </c>
      <c r="C23" s="14" t="inlineStr">
        <is>
          <t>Sem variação</t>
        </is>
      </c>
      <c r="D23" s="14" t="inlineStr">
        <is>
          <t>DUPRANTEL-660MG-4COMPS</t>
        </is>
      </c>
      <c r="E23" s="14" t="inlineStr">
        <is>
          <t>22999049495</t>
        </is>
      </c>
      <c r="F23" s="14" t="inlineStr">
        <is>
          <t>0</t>
        </is>
      </c>
      <c r="G23" s="14" t="inlineStr">
        <is>
          <t>NORMAL</t>
        </is>
      </c>
      <c r="H23" s="15" t="n">
        <v>59.9</v>
      </c>
      <c r="I23" s="15" t="n">
        <v>14.9</v>
      </c>
      <c r="J23" s="16" t="inlineStr">
        <is>
          <t>SIM</t>
        </is>
      </c>
      <c r="K23" s="15" t="n">
        <v>14.9</v>
      </c>
      <c r="L23" s="35">
        <f>IF(K23&lt;&gt;"",K23,I23)</f>
        <v/>
      </c>
      <c r="M23" s="84" t="n">
        <v>1</v>
      </c>
      <c r="N23" s="85" t="n">
        <v>17.46</v>
      </c>
      <c r="O23" s="80">
        <f>ROUND(M23*N23,2)</f>
        <v/>
      </c>
      <c r="P23" s="80">
        <f>IF($O23="","",L23-O23-(L23*IF(L23&lt;=79.99,20%,14%)+IF(L23&lt;=79.99,4,IF(L23&lt;=99.99,16,IF(L23&lt;=199.99,20,IF(L23&lt;=499.99,26,28)))))-L23*1.3%-L23*6%-(L23-O23)*9.25%-L23*3%-L23*3%-1)</f>
        <v/>
      </c>
      <c r="Q23" s="17">
        <f>IF(AND(K23&lt;&gt;"",H23&gt;0),(H23-K23)/H23,"")</f>
        <v/>
      </c>
      <c r="R23" s="14" t="inlineStr">
        <is>
          <t>909477973245952</t>
        </is>
      </c>
      <c r="S23" s="18" t="n">
        <v>46144.38263888889</v>
      </c>
      <c r="T23" s="18" t="n">
        <v>46295.4375</v>
      </c>
      <c r="U23" s="14" t="inlineStr">
        <is>
          <t>100942</t>
        </is>
      </c>
      <c r="V23" t="inlineStr">
        <is>
          <t>212433</t>
        </is>
      </c>
      <c r="W23" t="inlineStr">
        <is>
          <t>venda casada (3 pedidos)</t>
        </is>
      </c>
      <c r="X23" t="n">
        <v>3</v>
      </c>
      <c r="Y23" t="inlineStr">
        <is>
          <t>ok</t>
        </is>
      </c>
    </row>
    <row r="24" ht="15" customFormat="1" customHeight="1" s="19">
      <c r="A24" s="19" t="inlineStr">
        <is>
          <t>Espaço De Bicho</t>
        </is>
      </c>
      <c r="B24" s="19" t="inlineStr">
        <is>
          <t>Duprazol Soluçao Oral 30 ML Anti-Helmíntico Cães e Gatos</t>
        </is>
      </c>
      <c r="C24" s="19" t="inlineStr">
        <is>
          <t>Sem variação</t>
        </is>
      </c>
      <c r="D24" s="19" t="inlineStr">
        <is>
          <t>DUPRAZOL-ORAL-30 ML</t>
        </is>
      </c>
      <c r="E24" s="19" t="inlineStr">
        <is>
          <t>20599908178</t>
        </is>
      </c>
      <c r="F24" s="19" t="inlineStr">
        <is>
          <t>0</t>
        </is>
      </c>
      <c r="G24" s="19" t="inlineStr">
        <is>
          <t>NORMAL</t>
        </is>
      </c>
      <c r="H24" s="20" t="n">
        <v>59.9</v>
      </c>
      <c r="I24" s="20" t="n">
        <v>17.9</v>
      </c>
      <c r="J24" s="21" t="inlineStr">
        <is>
          <t>SIM</t>
        </is>
      </c>
      <c r="K24" s="20" t="n">
        <v>17.9</v>
      </c>
      <c r="L24" s="35">
        <f>IF(K24&lt;&gt;"",K24,I24)</f>
        <v/>
      </c>
      <c r="M24" s="81" t="n">
        <v>1</v>
      </c>
      <c r="N24" s="82" t="n">
        <v>9.4</v>
      </c>
      <c r="O24" s="80">
        <f>ROUND(M24*N24,2)</f>
        <v/>
      </c>
      <c r="P24" s="80">
        <f>IF($O24="","",L24-O24-(L24*IF(L24&lt;=79.99,20%,14%)+IF(L24&lt;=79.99,4,IF(L24&lt;=99.99,16,IF(L24&lt;=199.99,20,IF(L24&lt;=499.99,26,28)))))-L24*1.3%-L24*6%-(L24-O24)*9.25%-L24*3%-L24*3%-1)</f>
        <v/>
      </c>
      <c r="Q24" s="22">
        <f>IF(AND(K24&lt;&gt;"",H24&gt;0),(H24-K24)/H24,"")</f>
        <v/>
      </c>
      <c r="R24" s="19" t="inlineStr">
        <is>
          <t>909477973245952</t>
        </is>
      </c>
      <c r="S24" s="23" t="n">
        <v>46144.38263888889</v>
      </c>
      <c r="T24" s="23" t="n">
        <v>46295.4375</v>
      </c>
      <c r="U24" s="19" t="inlineStr">
        <is>
          <t>100942</t>
        </is>
      </c>
      <c r="V24" t="inlineStr">
        <is>
          <t>213480</t>
        </is>
      </c>
      <c r="W24" t="inlineStr">
        <is>
          <t>venda casada (2 pedidos)</t>
        </is>
      </c>
      <c r="X24" t="n">
        <v>2</v>
      </c>
      <c r="Y24" t="inlineStr">
        <is>
          <t>ok</t>
        </is>
      </c>
    </row>
    <row r="25" ht="15" customFormat="1" customHeight="1" s="14">
      <c r="A25" s="14" t="inlineStr">
        <is>
          <t>Espaço De Bicho</t>
        </is>
      </c>
      <c r="B25" s="14" t="inlineStr">
        <is>
          <t>Gaiola Hamster Tubo 3 Andares Espaco De Bicho Completa com Rodinha</t>
        </is>
      </c>
      <c r="C25" s="14" t="inlineStr">
        <is>
          <t>AZUL</t>
        </is>
      </c>
      <c r="D25" s="14" t="inlineStr">
        <is>
          <t>GAIOLA-HAMSTER-PEQ-AZ</t>
        </is>
      </c>
      <c r="E25" s="14" t="inlineStr">
        <is>
          <t>22098124819</t>
        </is>
      </c>
      <c r="F25" s="14" t="inlineStr">
        <is>
          <t>239414033397</t>
        </is>
      </c>
      <c r="G25" s="14" t="inlineStr">
        <is>
          <t>NORMAL</t>
        </is>
      </c>
      <c r="H25" s="15" t="n">
        <v>199.9</v>
      </c>
      <c r="I25" s="15" t="n">
        <v>128.99</v>
      </c>
      <c r="J25" s="16" t="inlineStr">
        <is>
          <t>SIM</t>
        </is>
      </c>
      <c r="K25" s="15" t="n">
        <v>128.99</v>
      </c>
      <c r="L25" s="35">
        <f>IF(K25&lt;&gt;"",K25,I25)</f>
        <v/>
      </c>
      <c r="M25" s="84" t="n">
        <v>1</v>
      </c>
      <c r="N25" s="85" t="n">
        <v>71.14</v>
      </c>
      <c r="O25" s="80">
        <f>ROUND(M25*N25,2)</f>
        <v/>
      </c>
      <c r="P25" s="80">
        <f>IF($O25="","",L25-O25-(L25*IF(L25&lt;=79.99,20%,14%)+IF(L25&lt;=79.99,4,IF(L25&lt;=99.99,16,IF(L25&lt;=199.99,20,IF(L25&lt;=499.99,26,28)))))-L25*1.3%-L25*6%-(L25-O25)*9.25%-L25*3%-L25*3%-1)</f>
        <v/>
      </c>
      <c r="Q25" s="17">
        <f>IF(AND(K25&lt;&gt;"",H25&gt;0),(H25-K25)/H25,"")</f>
        <v/>
      </c>
      <c r="R25" s="14" t="inlineStr">
        <is>
          <t>909477973245952</t>
        </is>
      </c>
      <c r="S25" s="18" t="n">
        <v>46144.38263888889</v>
      </c>
      <c r="T25" s="18" t="n">
        <v>46295.4375</v>
      </c>
      <c r="U25" s="14" t="inlineStr">
        <is>
          <t>101684</t>
        </is>
      </c>
      <c r="V25" t="inlineStr">
        <is>
          <t>213625</t>
        </is>
      </c>
      <c r="W25" t="inlineStr">
        <is>
          <t>venda casada (1 pedido)</t>
        </is>
      </c>
      <c r="X25" t="n">
        <v>1</v>
      </c>
      <c r="Y25" t="inlineStr">
        <is>
          <t>⚠ evidência fraca (1 pedido)</t>
        </is>
      </c>
    </row>
    <row r="26" ht="15" customFormat="1" customHeight="1" s="19">
      <c r="A26" s="19" t="inlineStr">
        <is>
          <t>Espaço De Bicho</t>
        </is>
      </c>
      <c r="B26" s="19" t="inlineStr">
        <is>
          <t>Gaiola Hamster Tubo 3 Andares Espaco De Bicho Completa com Rodinha</t>
        </is>
      </c>
      <c r="C26" s="19" t="inlineStr">
        <is>
          <t>ROXO</t>
        </is>
      </c>
      <c r="D26" s="19" t="inlineStr">
        <is>
          <t>GAIOLA-HAMSTER-PEQ-RX</t>
        </is>
      </c>
      <c r="E26" s="19" t="inlineStr">
        <is>
          <t>22098124819</t>
        </is>
      </c>
      <c r="F26" s="19" t="inlineStr">
        <is>
          <t>239414033395</t>
        </is>
      </c>
      <c r="G26" s="19" t="inlineStr">
        <is>
          <t>NORMAL</t>
        </is>
      </c>
      <c r="H26" s="20" t="n">
        <v>199.9</v>
      </c>
      <c r="I26" s="20" t="n">
        <v>149.89</v>
      </c>
      <c r="J26" s="21" t="inlineStr">
        <is>
          <t>SIM</t>
        </is>
      </c>
      <c r="K26" s="20" t="n">
        <v>149.89</v>
      </c>
      <c r="L26" s="35">
        <f>IF(K26&lt;&gt;"",K26,I26)</f>
        <v/>
      </c>
      <c r="M26" s="81" t="n">
        <v>1</v>
      </c>
      <c r="N26" s="82" t="n">
        <v>71.14</v>
      </c>
      <c r="O26" s="80">
        <f>ROUND(M26*N26,2)</f>
        <v/>
      </c>
      <c r="P26" s="80">
        <f>IF($O26="","",L26-O26-(L26*IF(L26&lt;=79.99,20%,14%)+IF(L26&lt;=79.99,4,IF(L26&lt;=99.99,16,IF(L26&lt;=199.99,20,IF(L26&lt;=499.99,26,28)))))-L26*1.3%-L26*6%-(L26-O26)*9.25%-L26*3%-L26*3%-1)</f>
        <v/>
      </c>
      <c r="Q26" s="22">
        <f>IF(AND(K26&lt;&gt;"",H26&gt;0),(H26-K26)/H26,"")</f>
        <v/>
      </c>
      <c r="R26" s="19" t="inlineStr">
        <is>
          <t>909477973245952</t>
        </is>
      </c>
      <c r="S26" s="23" t="n">
        <v>46144.38263888889</v>
      </c>
      <c r="T26" s="23" t="n">
        <v>46295.4375</v>
      </c>
      <c r="U26" s="19" t="inlineStr">
        <is>
          <t>101684</t>
        </is>
      </c>
      <c r="V26" t="inlineStr">
        <is>
          <t>213625</t>
        </is>
      </c>
      <c r="W26" t="inlineStr">
        <is>
          <t>herdado do anúncio</t>
        </is>
      </c>
      <c r="Y26" t="inlineStr">
        <is>
          <t>ok</t>
        </is>
      </c>
    </row>
    <row r="27" ht="15" customFormat="1" customHeight="1" s="14">
      <c r="A27" s="14" t="inlineStr">
        <is>
          <t>Espaço De Bicho</t>
        </is>
      </c>
      <c r="B27" s="14" t="inlineStr">
        <is>
          <t>Gaiola Hamster Tubo 3 Andares Espaco De Bicho Completa com Rodinha</t>
        </is>
      </c>
      <c r="C27" s="14" t="inlineStr">
        <is>
          <t>VERMELHO</t>
        </is>
      </c>
      <c r="D27" s="14" t="inlineStr">
        <is>
          <t>GAIOLA-HAMSTER-PEQ-VM</t>
        </is>
      </c>
      <c r="E27" s="14" t="inlineStr">
        <is>
          <t>22098124819</t>
        </is>
      </c>
      <c r="F27" s="14" t="inlineStr">
        <is>
          <t>239414033396</t>
        </is>
      </c>
      <c r="G27" s="14" t="inlineStr">
        <is>
          <t>NORMAL</t>
        </is>
      </c>
      <c r="H27" s="15" t="n">
        <v>199.9</v>
      </c>
      <c r="I27" s="15" t="n">
        <v>149.9</v>
      </c>
      <c r="J27" s="16" t="inlineStr">
        <is>
          <t>SIM</t>
        </is>
      </c>
      <c r="K27" s="15" t="n">
        <v>149.9</v>
      </c>
      <c r="L27" s="35">
        <f>IF(K27&lt;&gt;"",K27,I27)</f>
        <v/>
      </c>
      <c r="M27" s="84" t="n">
        <v>1</v>
      </c>
      <c r="N27" s="85" t="n">
        <v>71.14</v>
      </c>
      <c r="O27" s="80">
        <f>ROUND(M27*N27,2)</f>
        <v/>
      </c>
      <c r="P27" s="80">
        <f>IF($O27="","",L27-O27-(L27*IF(L27&lt;=79.99,20%,14%)+IF(L27&lt;=79.99,4,IF(L27&lt;=99.99,16,IF(L27&lt;=199.99,20,IF(L27&lt;=499.99,26,28)))))-L27*1.3%-L27*6%-(L27-O27)*9.25%-L27*3%-L27*3%-1)</f>
        <v/>
      </c>
      <c r="Q27" s="17">
        <f>IF(AND(K27&lt;&gt;"",H27&gt;0),(H27-K27)/H27,"")</f>
        <v/>
      </c>
      <c r="R27" s="14" t="inlineStr">
        <is>
          <t>909477973245952</t>
        </is>
      </c>
      <c r="S27" s="18" t="n">
        <v>46144.38263888889</v>
      </c>
      <c r="T27" s="18" t="n">
        <v>46295.4375</v>
      </c>
      <c r="U27" s="14" t="inlineStr">
        <is>
          <t>101684</t>
        </is>
      </c>
      <c r="V27" t="inlineStr">
        <is>
          <t>213625</t>
        </is>
      </c>
      <c r="W27" t="inlineStr">
        <is>
          <t>herdado do anúncio</t>
        </is>
      </c>
      <c r="Y27" t="inlineStr">
        <is>
          <t>ok</t>
        </is>
      </c>
    </row>
    <row r="28" ht="15" customFormat="1" customHeight="1" s="19">
      <c r="A28" s="19" t="inlineStr">
        <is>
          <t>Espaço De Bicho</t>
        </is>
      </c>
      <c r="B28" s="19" t="inlineStr">
        <is>
          <t>Glicosol Pet 50ml - Lavizoo Suplemento Cães E Gatos</t>
        </is>
      </c>
      <c r="C28" s="19" t="inlineStr">
        <is>
          <t>Sem variação</t>
        </is>
      </c>
      <c r="D28" s="19" t="inlineStr">
        <is>
          <t>GLICOSOL-50ML</t>
        </is>
      </c>
      <c r="E28" s="19" t="inlineStr">
        <is>
          <t>21199252289</t>
        </is>
      </c>
      <c r="F28" s="19" t="inlineStr">
        <is>
          <t>0</t>
        </is>
      </c>
      <c r="G28" s="19" t="inlineStr">
        <is>
          <t>NORMAL</t>
        </is>
      </c>
      <c r="H28" s="20" t="n">
        <v>59.9</v>
      </c>
      <c r="I28" s="20" t="n">
        <v>24.9</v>
      </c>
      <c r="J28" s="21" t="inlineStr">
        <is>
          <t>SIM</t>
        </is>
      </c>
      <c r="K28" s="20" t="n">
        <v>24.9</v>
      </c>
      <c r="L28" s="35">
        <f>IF(K28&lt;&gt;"",K28,I28)</f>
        <v/>
      </c>
      <c r="M28" s="30" t="n"/>
      <c r="N28" s="30" t="n"/>
      <c r="O28" s="29" t="n"/>
      <c r="P28" s="80">
        <f>IF($O28="","",L28-O28-(L28*IF(L28&lt;=79.99,20%,14%)+IF(L28&lt;=79.99,4,IF(L28&lt;=99.99,16,IF(L28&lt;=199.99,20,IF(L28&lt;=499.99,26,28)))))-L28*1.3%-L28*6%-(L28-O28)*9.25%-L28*3%-L28*3%-1)</f>
        <v/>
      </c>
      <c r="Q28" s="22">
        <f>IF(AND(K28&lt;&gt;"",H28&gt;0),(H28-K28)/H28,"")</f>
        <v/>
      </c>
      <c r="R28" s="19" t="inlineStr">
        <is>
          <t>909477973245952</t>
        </is>
      </c>
      <c r="S28" s="23" t="n">
        <v>46144.38263888889</v>
      </c>
      <c r="T28" s="23" t="n">
        <v>46295.4375</v>
      </c>
      <c r="U28" s="19" t="inlineStr">
        <is>
          <t>100944</t>
        </is>
      </c>
      <c r="V28" t="inlineStr">
        <is>
          <t>GLICOSOL-50ML</t>
        </is>
      </c>
      <c r="W28" t="inlineStr">
        <is>
          <t>SKU idêntico na Olist · CUSTO ZERADO na Olist (conferido hoje)</t>
        </is>
      </c>
      <c r="Y28" t="inlineStr">
        <is>
          <t>ok</t>
        </is>
      </c>
    </row>
    <row r="29" ht="15" customFormat="1" customHeight="1" s="14">
      <c r="A29" s="14" t="inlineStr">
        <is>
          <t>Espaço De Bicho</t>
        </is>
      </c>
      <c r="B29" s="14" t="inlineStr">
        <is>
          <t>Granulado De Madeira Higiênico para Gatos Absorve 5x Mais</t>
        </is>
      </c>
      <c r="C29" s="14" t="inlineStr">
        <is>
          <t>10kg</t>
        </is>
      </c>
      <c r="D29" s="14" t="inlineStr">
        <is>
          <t>GRANULADO-GATO-10KG</t>
        </is>
      </c>
      <c r="E29" s="14" t="inlineStr">
        <is>
          <t>23297634808</t>
        </is>
      </c>
      <c r="F29" s="14" t="inlineStr">
        <is>
          <t>179398139975</t>
        </is>
      </c>
      <c r="G29" s="14" t="inlineStr">
        <is>
          <t>NORMAL</t>
        </is>
      </c>
      <c r="H29" s="15" t="n">
        <v>68.90000000000001</v>
      </c>
      <c r="I29" s="15" t="n">
        <v>42.9</v>
      </c>
      <c r="J29" s="16" t="inlineStr">
        <is>
          <t>SIM</t>
        </is>
      </c>
      <c r="K29" s="15" t="n">
        <v>42.9</v>
      </c>
      <c r="L29" s="35">
        <f>IF(K29&lt;&gt;"",K29,I29)</f>
        <v/>
      </c>
      <c r="M29" s="84" t="n">
        <v>1</v>
      </c>
      <c r="N29" s="85" t="n">
        <v>14.54</v>
      </c>
      <c r="O29" s="80">
        <f>ROUND(M29*N29,2)</f>
        <v/>
      </c>
      <c r="P29" s="80">
        <f>IF($O29="","",L29-O29-(L29*IF(L29&lt;=79.99,20%,14%)+IF(L29&lt;=79.99,4,IF(L29&lt;=99.99,16,IF(L29&lt;=199.99,20,IF(L29&lt;=499.99,26,28)))))-L29*1.3%-L29*6%-(L29-O29)*9.25%-L29*3%-L29*3%-1)</f>
        <v/>
      </c>
      <c r="Q29" s="17">
        <f>IF(AND(K29&lt;&gt;"",H29&gt;0),(H29-K29)/H29,"")</f>
        <v/>
      </c>
      <c r="R29" s="14" t="inlineStr">
        <is>
          <t>909477973245952</t>
        </is>
      </c>
      <c r="S29" s="18" t="n">
        <v>46144.38263888889</v>
      </c>
      <c r="T29" s="18" t="n">
        <v>46295.4375</v>
      </c>
      <c r="U29" s="14" t="inlineStr">
        <is>
          <t>100923</t>
        </is>
      </c>
      <c r="V29" t="inlineStr">
        <is>
          <t>213515</t>
        </is>
      </c>
      <c r="W29" t="inlineStr">
        <is>
          <t>venda casada (51 pedidos)</t>
        </is>
      </c>
      <c r="X29" t="n">
        <v>51</v>
      </c>
      <c r="Y29" t="inlineStr">
        <is>
          <t>ok</t>
        </is>
      </c>
    </row>
    <row r="30" ht="15" customFormat="1" customHeight="1" s="19">
      <c r="A30" s="19" t="inlineStr">
        <is>
          <t>Espaço De Bicho</t>
        </is>
      </c>
      <c r="B30" s="19" t="inlineStr">
        <is>
          <t>Granulado De Madeira Higiênico para Gatos Absorve 5x Mais</t>
        </is>
      </c>
      <c r="C30" s="19" t="inlineStr">
        <is>
          <t>20kg</t>
        </is>
      </c>
      <c r="D30" s="19" t="inlineStr">
        <is>
          <t>GRANULADO-GATO-20KG</t>
        </is>
      </c>
      <c r="E30" s="19" t="inlineStr">
        <is>
          <t>23297634808</t>
        </is>
      </c>
      <c r="F30" s="19" t="inlineStr">
        <is>
          <t>169709589663</t>
        </is>
      </c>
      <c r="G30" s="19" t="inlineStr">
        <is>
          <t>NORMAL</t>
        </is>
      </c>
      <c r="H30" s="20" t="n">
        <v>99.90000000000001</v>
      </c>
      <c r="I30" s="20" t="n">
        <v>79.89</v>
      </c>
      <c r="J30" s="21" t="inlineStr">
        <is>
          <t>SIM</t>
        </is>
      </c>
      <c r="K30" s="20" t="n">
        <v>79.89</v>
      </c>
      <c r="L30" s="35">
        <f>IF(K30&lt;&gt;"",K30,I30)</f>
        <v/>
      </c>
      <c r="M30" s="81" t="n">
        <v>1</v>
      </c>
      <c r="N30" s="82" t="n">
        <v>27.45</v>
      </c>
      <c r="O30" s="80">
        <f>ROUND(M30*N30,2)</f>
        <v/>
      </c>
      <c r="P30" s="80">
        <f>IF($O30="","",L30-O30-(L30*IF(L30&lt;=79.99,20%,14%)+IF(L30&lt;=79.99,4,IF(L30&lt;=99.99,16,IF(L30&lt;=199.99,20,IF(L30&lt;=499.99,26,28)))))-L30*1.3%-L30*6%-(L30-O30)*9.25%-L30*3%-L30*3%-1)</f>
        <v/>
      </c>
      <c r="Q30" s="22">
        <f>IF(AND(K30&lt;&gt;"",H30&gt;0),(H30-K30)/H30,"")</f>
        <v/>
      </c>
      <c r="R30" s="19" t="inlineStr">
        <is>
          <t>909477973245952</t>
        </is>
      </c>
      <c r="S30" s="23" t="n">
        <v>46144.38263888889</v>
      </c>
      <c r="T30" s="23" t="n">
        <v>46295.4375</v>
      </c>
      <c r="U30" s="19" t="inlineStr">
        <is>
          <t>100923</t>
        </is>
      </c>
      <c r="V30" t="inlineStr">
        <is>
          <t>213516</t>
        </is>
      </c>
      <c r="W30" t="inlineStr">
        <is>
          <t>venda casada (36 pedidos)</t>
        </is>
      </c>
      <c r="X30" t="n">
        <v>36</v>
      </c>
      <c r="Y30" t="inlineStr">
        <is>
          <t>ok</t>
        </is>
      </c>
    </row>
    <row r="31" ht="15" customFormat="1" customHeight="1" s="14">
      <c r="A31" s="14" t="inlineStr">
        <is>
          <t>Espaço De Bicho</t>
        </is>
      </c>
      <c r="B31" s="14" t="inlineStr">
        <is>
          <t>Granulado De Madeira Higiênico para Gatos Absorve 5x Mais</t>
        </is>
      </c>
      <c r="C31" s="14" t="inlineStr">
        <is>
          <t>2kg</t>
        </is>
      </c>
      <c r="D31" s="14" t="inlineStr">
        <is>
          <t>GRANULADO-GATO-2KG</t>
        </is>
      </c>
      <c r="E31" s="14" t="inlineStr">
        <is>
          <t>23297634808</t>
        </is>
      </c>
      <c r="F31" s="14" t="inlineStr">
        <is>
          <t>179398139973</t>
        </is>
      </c>
      <c r="G31" s="14" t="inlineStr">
        <is>
          <t>NORMAL</t>
        </is>
      </c>
      <c r="H31" s="15" t="n">
        <v>20.9</v>
      </c>
      <c r="I31" s="15" t="n">
        <v>14.9</v>
      </c>
      <c r="J31" s="16" t="inlineStr">
        <is>
          <t>NÃO</t>
        </is>
      </c>
      <c r="K31" s="15" t="n"/>
      <c r="L31" s="35">
        <f>IF(K31&lt;&gt;"",K31,I31)</f>
        <v/>
      </c>
      <c r="M31" s="84" t="n">
        <v>1</v>
      </c>
      <c r="N31" s="85" t="n">
        <v>2.35</v>
      </c>
      <c r="O31" s="80">
        <f>ROUND(M31*N31,2)</f>
        <v/>
      </c>
      <c r="P31" s="80">
        <f>IF($O31="","",L31-O31-(L31*IF(L31&lt;=79.99,20%,14%)+IF(L31&lt;=79.99,4,IF(L31&lt;=99.99,16,IF(L31&lt;=199.99,20,IF(L31&lt;=499.99,26,28)))))-L31*1.3%-L31*6%-(L31-O31)*9.25%-L31*3%-L31*3%-1)</f>
        <v/>
      </c>
      <c r="Q31" s="17">
        <f>IF(AND(K31&lt;&gt;"",H31&gt;0),(H31-K31)/H31,"")</f>
        <v/>
      </c>
      <c r="R31" s="14" t="inlineStr"/>
      <c r="S31" s="18" t="n"/>
      <c r="T31" s="18" t="n"/>
      <c r="U31" s="14" t="inlineStr">
        <is>
          <t>100923</t>
        </is>
      </c>
      <c r="V31" t="inlineStr">
        <is>
          <t>213513</t>
        </is>
      </c>
      <c r="W31" t="inlineStr">
        <is>
          <t>venda casada (9 pedidos)</t>
        </is>
      </c>
      <c r="X31" t="n">
        <v>9</v>
      </c>
      <c r="Y31" t="inlineStr">
        <is>
          <t>ok</t>
        </is>
      </c>
    </row>
    <row r="32" ht="15" customFormat="1" customHeight="1" s="19">
      <c r="A32" s="19" t="inlineStr">
        <is>
          <t>Espaço De Bicho</t>
        </is>
      </c>
      <c r="B32" s="19" t="inlineStr">
        <is>
          <t>Granulado De Madeira Higiênico para Gatos Absorve 5x Mais</t>
        </is>
      </c>
      <c r="C32" s="19" t="inlineStr">
        <is>
          <t>4kg</t>
        </is>
      </c>
      <c r="D32" s="19" t="inlineStr">
        <is>
          <t>GRANULADO-GATO-4KG</t>
        </is>
      </c>
      <c r="E32" s="19" t="inlineStr">
        <is>
          <t>23297634808</t>
        </is>
      </c>
      <c r="F32" s="19" t="inlineStr">
        <is>
          <t>179398139974</t>
        </is>
      </c>
      <c r="G32" s="19" t="inlineStr">
        <is>
          <t>NORMAL</t>
        </is>
      </c>
      <c r="H32" s="20" t="n">
        <v>29.9</v>
      </c>
      <c r="I32" s="20" t="n">
        <v>29.59</v>
      </c>
      <c r="J32" s="21" t="inlineStr">
        <is>
          <t>SIM</t>
        </is>
      </c>
      <c r="K32" s="20" t="n">
        <v>29.59</v>
      </c>
      <c r="L32" s="35">
        <f>IF(K32&lt;&gt;"",K32,I32)</f>
        <v/>
      </c>
      <c r="M32" s="81" t="n">
        <v>1</v>
      </c>
      <c r="N32" s="82" t="n">
        <v>2.35</v>
      </c>
      <c r="O32" s="80">
        <f>ROUND(M32*N32,2)</f>
        <v/>
      </c>
      <c r="P32" s="80">
        <f>IF($O32="","",L32-O32-(L32*IF(L32&lt;=79.99,20%,14%)+IF(L32&lt;=79.99,4,IF(L32&lt;=99.99,16,IF(L32&lt;=199.99,20,IF(L32&lt;=499.99,26,28)))))-L32*1.3%-L32*6%-(L32-O32)*9.25%-L32*3%-L32*3%-1)</f>
        <v/>
      </c>
      <c r="Q32" s="22">
        <f>IF(AND(K32&lt;&gt;"",H32&gt;0),(H32-K32)/H32,"")</f>
        <v/>
      </c>
      <c r="R32" s="19" t="inlineStr">
        <is>
          <t>909477973245952</t>
        </is>
      </c>
      <c r="S32" s="23" t="n">
        <v>46144.38263888889</v>
      </c>
      <c r="T32" s="23" t="n">
        <v>46295.4375</v>
      </c>
      <c r="U32" s="19" t="inlineStr">
        <is>
          <t>100923</t>
        </is>
      </c>
      <c r="V32" t="inlineStr">
        <is>
          <t>213514</t>
        </is>
      </c>
      <c r="W32" t="inlineStr">
        <is>
          <t>venda casada (17 pedidos)</t>
        </is>
      </c>
      <c r="X32" t="n">
        <v>17</v>
      </c>
      <c r="Y32" t="inlineStr">
        <is>
          <t>ok</t>
        </is>
      </c>
    </row>
    <row r="33" ht="15" customFormat="1" customHeight="1" s="14">
      <c r="A33" s="14" t="inlineStr">
        <is>
          <t>Espaço De Bicho</t>
        </is>
      </c>
      <c r="B33" s="14" t="inlineStr">
        <is>
          <t>Invicto 11,4 Mg 6 Comprimidos (antipulgas Até 11,4kg)</t>
        </is>
      </c>
      <c r="C33" s="14" t="inlineStr">
        <is>
          <t>Sem variação</t>
        </is>
      </c>
      <c r="D33" s="14" t="inlineStr">
        <is>
          <t>0023</t>
        </is>
      </c>
      <c r="E33" s="14" t="inlineStr">
        <is>
          <t>22914482891</t>
        </is>
      </c>
      <c r="F33" s="14" t="inlineStr">
        <is>
          <t>0</t>
        </is>
      </c>
      <c r="G33" s="14" t="inlineStr">
        <is>
          <t>NORMAL</t>
        </is>
      </c>
      <c r="H33" s="15" t="n">
        <v>62.9</v>
      </c>
      <c r="I33" s="15" t="n">
        <v>59.9</v>
      </c>
      <c r="J33" s="16" t="inlineStr">
        <is>
          <t>SIM</t>
        </is>
      </c>
      <c r="K33" s="15" t="n">
        <v>59.9</v>
      </c>
      <c r="L33" s="35">
        <f>IF(K33&lt;&gt;"",K33,I33)</f>
        <v/>
      </c>
      <c r="M33" s="28" t="n"/>
      <c r="N33" s="28" t="n"/>
      <c r="O33" s="29" t="n"/>
      <c r="P33" s="80">
        <f>IF($O33="","",L33-O33-(L33*IF(L33&lt;=79.99,20%,14%)+IF(L33&lt;=79.99,4,IF(L33&lt;=99.99,16,IF(L33&lt;=199.99,20,IF(L33&lt;=499.99,26,28)))))-L33*1.3%-L33*6%-(L33-O33)*9.25%-L33*3%-L33*3%-1)</f>
        <v/>
      </c>
      <c r="Q33" s="17">
        <f>IF(AND(K33&lt;&gt;"",H33&gt;0),(H33-K33)/H33,"")</f>
        <v/>
      </c>
      <c r="R33" s="14" t="inlineStr">
        <is>
          <t>909477973245952</t>
        </is>
      </c>
      <c r="S33" s="18" t="n">
        <v>46144.38263888889</v>
      </c>
      <c r="T33" s="18" t="n">
        <v>46295.4375</v>
      </c>
      <c r="U33" s="14" t="inlineStr">
        <is>
          <t>100942</t>
        </is>
      </c>
      <c r="V33" t="inlineStr">
        <is>
          <t>0023</t>
        </is>
      </c>
      <c r="W33" t="inlineStr">
        <is>
          <t>SKU idêntico na Olist · CUSTO ZERADO na Olist (conferido hoje)</t>
        </is>
      </c>
      <c r="Y33" t="inlineStr">
        <is>
          <t>ok</t>
        </is>
      </c>
    </row>
    <row r="34" ht="15" customFormat="1" customHeight="1" s="19">
      <c r="A34" s="19" t="inlineStr">
        <is>
          <t>Espaço De Bicho</t>
        </is>
      </c>
      <c r="B34" s="19" t="inlineStr">
        <is>
          <t>Invicto 11,4 Mg Cão/gato Antipulga 20 Blister 1 Cp</t>
        </is>
      </c>
      <c r="C34" s="19" t="inlineStr">
        <is>
          <t>Sem variação</t>
        </is>
      </c>
      <c r="D34" s="19" t="inlineStr">
        <is>
          <t>0644</t>
        </is>
      </c>
      <c r="E34" s="19" t="inlineStr">
        <is>
          <t>22914542066</t>
        </is>
      </c>
      <c r="F34" s="19" t="inlineStr">
        <is>
          <t>0</t>
        </is>
      </c>
      <c r="G34" s="19" t="inlineStr">
        <is>
          <t>NORMAL</t>
        </is>
      </c>
      <c r="H34" s="20" t="n">
        <v>252.9</v>
      </c>
      <c r="I34" s="20" t="n">
        <v>252.9</v>
      </c>
      <c r="J34" s="21" t="inlineStr">
        <is>
          <t>NÃO</t>
        </is>
      </c>
      <c r="K34" s="20" t="n"/>
      <c r="L34" s="35">
        <f>IF(K34&lt;&gt;"",K34,I34)</f>
        <v/>
      </c>
      <c r="M34" s="30" t="n"/>
      <c r="N34" s="30" t="n"/>
      <c r="O34" s="31" t="n"/>
      <c r="P34" s="80">
        <f>IF($O34="","",L34-O34-(L34*IF(L34&lt;=79.99,20%,14%)+IF(L34&lt;=79.99,4,IF(L34&lt;=99.99,16,IF(L34&lt;=199.99,20,IF(L34&lt;=499.99,26,28)))))-L34*1.3%-L34*6%-(L34-O34)*9.25%-L34*3%-L34*3%-1)</f>
        <v/>
      </c>
      <c r="Q34" s="22">
        <f>IF(AND(K34&lt;&gt;"",H34&gt;0),(H34-K34)/H34,"")</f>
        <v/>
      </c>
      <c r="R34" s="19" t="inlineStr"/>
      <c r="S34" s="23" t="n"/>
      <c r="T34" s="23" t="n"/>
      <c r="U34" s="19" t="inlineStr">
        <is>
          <t>100942</t>
        </is>
      </c>
      <c r="V34" t="inlineStr">
        <is>
          <t>0644</t>
        </is>
      </c>
      <c r="W34" t="inlineStr">
        <is>
          <t>SKU idêntico na Olist · CUSTO ZERADO na Olist (conferido hoje)</t>
        </is>
      </c>
      <c r="Y34" t="inlineStr">
        <is>
          <t>ok</t>
        </is>
      </c>
    </row>
    <row r="35" ht="15" customFormat="1" customHeight="1" s="14">
      <c r="A35" s="14" t="inlineStr">
        <is>
          <t>Espaço De Bicho</t>
        </is>
      </c>
      <c r="B35" s="14" t="inlineStr">
        <is>
          <t>Invicto 57mg Antipulgas P/cães E Gatos De 11,4kg A 57kg - 1 Comprimido</t>
        </is>
      </c>
      <c r="C35" s="14" t="inlineStr">
        <is>
          <t>Sem variação</t>
        </is>
      </c>
      <c r="D35" s="14" t="inlineStr"/>
      <c r="E35" s="14" t="inlineStr">
        <is>
          <t>21997503469</t>
        </is>
      </c>
      <c r="F35" s="14" t="inlineStr">
        <is>
          <t>0</t>
        </is>
      </c>
      <c r="G35" s="14" t="inlineStr">
        <is>
          <t>NORMAL</t>
        </is>
      </c>
      <c r="H35" s="15" t="n">
        <v>29.9</v>
      </c>
      <c r="I35" s="15" t="n">
        <v>16.9</v>
      </c>
      <c r="J35" s="16" t="inlineStr">
        <is>
          <t>SIM</t>
        </is>
      </c>
      <c r="K35" s="15" t="n">
        <v>16.9</v>
      </c>
      <c r="L35" s="35">
        <f>IF(K35&lt;&gt;"",K35,I35)</f>
        <v/>
      </c>
      <c r="M35" s="28" t="n"/>
      <c r="N35" s="28" t="n"/>
      <c r="O35" s="29" t="n"/>
      <c r="P35" s="80">
        <f>IF($O35="","",L35-O35-(L35*IF(L35&lt;=79.99,20%,14%)+IF(L35&lt;=79.99,4,IF(L35&lt;=99.99,16,IF(L35&lt;=199.99,20,IF(L35&lt;=499.99,26,28)))))-L35*1.3%-L35*6%-(L35-O35)*9.25%-L35*3%-L35*3%-1)</f>
        <v/>
      </c>
      <c r="Q35" s="17">
        <f>IF(AND(K35&lt;&gt;"",H35&gt;0),(H35-K35)/H35,"")</f>
        <v/>
      </c>
      <c r="R35" s="14" t="inlineStr">
        <is>
          <t>909477973245952</t>
        </is>
      </c>
      <c r="S35" s="18" t="n">
        <v>46144.38263888889</v>
      </c>
      <c r="T35" s="18" t="n">
        <v>46295.4375</v>
      </c>
      <c r="U35" s="14" t="inlineStr">
        <is>
          <t>100942</t>
        </is>
      </c>
      <c r="W35" t="inlineStr">
        <is>
          <t>sem correspondência</t>
        </is>
      </c>
      <c r="Y35" t="inlineStr"/>
    </row>
    <row r="36" ht="15" customFormat="1" customHeight="1" s="19">
      <c r="A36" s="19" t="inlineStr">
        <is>
          <t>Jacartta</t>
        </is>
      </c>
      <c r="B36" s="19" t="inlineStr">
        <is>
          <t>Tapete Higienico Good Pad 50 Unidades Envio Imediato</t>
        </is>
      </c>
      <c r="C36" s="19" t="inlineStr">
        <is>
          <t>Sem variação</t>
        </is>
      </c>
      <c r="D36" s="19" t="inlineStr">
        <is>
          <t>0771</t>
        </is>
      </c>
      <c r="E36" s="19" t="inlineStr">
        <is>
          <t>17463955532</t>
        </is>
      </c>
      <c r="F36" s="19" t="inlineStr">
        <is>
          <t>0</t>
        </is>
      </c>
      <c r="G36" s="19" t="inlineStr">
        <is>
          <t>NORMAL</t>
        </is>
      </c>
      <c r="H36" s="20" t="n">
        <v>64.90000000000001</v>
      </c>
      <c r="I36" s="20" t="n">
        <v>59.9</v>
      </c>
      <c r="J36" s="21" t="inlineStr">
        <is>
          <t>NÃO</t>
        </is>
      </c>
      <c r="K36" s="20" t="n"/>
      <c r="L36" s="35">
        <f>IF(K36&lt;&gt;"",K36,I36)</f>
        <v/>
      </c>
      <c r="M36" s="81" t="n">
        <v>1</v>
      </c>
      <c r="N36" s="82" t="n">
        <v>33.46</v>
      </c>
      <c r="O36" s="83">
        <f>ROUND(M36*N36,2)</f>
        <v/>
      </c>
      <c r="P36" s="80">
        <f>IF($O36="","",L36-O36-(L36*IF(L36&lt;=79.99,20%,14%)+IF(L36&lt;=79.99,4,IF(L36&lt;=99.99,16,IF(L36&lt;=199.99,20,IF(L36&lt;=499.99,26,28)))))-L36*1.3%-L36*6%-(L36-O36)*9.25%-L36*3%-L36*3%-1)</f>
        <v/>
      </c>
      <c r="Q36" s="22">
        <f>IF(AND(K36&lt;&gt;"",H36&gt;0),(H36-K36)/H36,"")</f>
        <v/>
      </c>
      <c r="R36" s="19" t="inlineStr"/>
      <c r="S36" s="23" t="n"/>
      <c r="T36" s="23" t="n"/>
      <c r="U36" s="19" t="inlineStr">
        <is>
          <t>100926</t>
        </is>
      </c>
      <c r="V36" t="inlineStr">
        <is>
          <t>212961</t>
        </is>
      </c>
      <c r="W36" t="inlineStr">
        <is>
          <t>venda casada (750 pedidos) · custo do KIT 213830 (1× 212961)</t>
        </is>
      </c>
      <c r="X36" t="n">
        <v>750</v>
      </c>
      <c r="Y36" t="inlineStr">
        <is>
          <t>ok</t>
        </is>
      </c>
    </row>
    <row r="37" ht="15" customFormat="1" customHeight="1" s="14">
      <c r="A37" s="19" t="inlineStr">
        <is>
          <t>Espaço De Bicho</t>
        </is>
      </c>
      <c r="B37" s="19" t="inlineStr">
        <is>
          <t>Kit 2 Bebedouro Para Beija Flor Aves Passaro Poleiro 250ml</t>
        </is>
      </c>
      <c r="C37" s="19" t="inlineStr">
        <is>
          <t>Kit 2</t>
        </is>
      </c>
      <c r="D37" s="19" t="inlineStr">
        <is>
          <t>KIT-2-BEBEDOURO-BEIJAFLOR</t>
        </is>
      </c>
      <c r="E37" s="19" t="inlineStr">
        <is>
          <t>23697343948</t>
        </is>
      </c>
      <c r="F37" s="19" t="inlineStr">
        <is>
          <t>219174198287</t>
        </is>
      </c>
      <c r="G37" s="19" t="inlineStr">
        <is>
          <t>NORMAL</t>
        </is>
      </c>
      <c r="H37" s="20" t="n">
        <v>59.9</v>
      </c>
      <c r="I37" s="20" t="n">
        <v>19.9</v>
      </c>
      <c r="J37" s="21" t="inlineStr">
        <is>
          <t>SIM</t>
        </is>
      </c>
      <c r="K37" s="20" t="n">
        <v>19.9</v>
      </c>
      <c r="L37" s="35">
        <f>IF(K37&lt;&gt;"",K37,I37)</f>
        <v/>
      </c>
      <c r="M37" s="81" t="n">
        <v>2</v>
      </c>
      <c r="N37" s="82" t="n">
        <v>3.35</v>
      </c>
      <c r="O37" s="80">
        <f>ROUND(M37*N37,2)</f>
        <v/>
      </c>
      <c r="P37" s="80">
        <f>IF($O37="","",L37-O37-(L37*IF(L37&lt;=79.99,20%,14%)+IF(L37&lt;=79.99,4,IF(L37&lt;=99.99,16,IF(L37&lt;=199.99,20,IF(L37&lt;=499.99,26,28)))))-L37*1.3%-L37*6%-(L37-O37)*9.25%-L37*3%-L37*3%-1)</f>
        <v/>
      </c>
      <c r="Q37" s="22">
        <f>IF(AND(K37&lt;&gt;"",H37&gt;0),(H37-K37)/H37,"")</f>
        <v/>
      </c>
      <c r="R37" s="19" t="inlineStr">
        <is>
          <t>909477973245952</t>
        </is>
      </c>
      <c r="S37" s="23" t="n">
        <v>46144.38263888889</v>
      </c>
      <c r="T37" s="23" t="n">
        <v>46295.4375</v>
      </c>
      <c r="U37" s="19" t="inlineStr">
        <is>
          <t>100916</t>
        </is>
      </c>
      <c r="V37" t="inlineStr">
        <is>
          <t>212811</t>
        </is>
      </c>
      <c r="W37" t="inlineStr">
        <is>
          <t>venda casada (374 pedidos) · custo do KIT 213561 (2× 212811)</t>
        </is>
      </c>
      <c r="X37" t="n">
        <v>374</v>
      </c>
      <c r="Y37" t="inlineStr">
        <is>
          <t>ok</t>
        </is>
      </c>
    </row>
    <row r="38" ht="15" customFormat="1" customHeight="1" s="19">
      <c r="A38" s="19" t="inlineStr">
        <is>
          <t>Espaço De Bicho</t>
        </is>
      </c>
      <c r="B38" s="19" t="inlineStr">
        <is>
          <t>Kit 4 Areia Higiênica Biodegradável Grãos Finos Milho e Mandioca (100% Natural) - Espaço De Bicho</t>
        </is>
      </c>
      <c r="C38" s="19" t="inlineStr">
        <is>
          <t>Grãos Finos</t>
        </is>
      </c>
      <c r="D38" s="19" t="inlineStr">
        <is>
          <t>KIT4-AREIA-EDB-4KG-GF</t>
        </is>
      </c>
      <c r="E38" s="19" t="inlineStr">
        <is>
          <t>58254481683</t>
        </is>
      </c>
      <c r="F38" s="19" t="inlineStr">
        <is>
          <t>229437018332</t>
        </is>
      </c>
      <c r="G38" s="19" t="inlineStr">
        <is>
          <t>NORMAL</t>
        </is>
      </c>
      <c r="H38" s="20" t="n">
        <v>199.9</v>
      </c>
      <c r="I38" s="20" t="n">
        <v>199.9</v>
      </c>
      <c r="J38" s="21" t="inlineStr">
        <is>
          <t>NÃO</t>
        </is>
      </c>
      <c r="K38" s="20" t="n"/>
      <c r="L38" s="35">
        <f>IF(K38&lt;&gt;"",K38,I38)</f>
        <v/>
      </c>
      <c r="M38" s="30" t="n"/>
      <c r="N38" s="30" t="n"/>
      <c r="O38" s="31" t="n"/>
      <c r="P38" s="80">
        <f>IF($O38="","",L38-O38-(L38*IF(L38&lt;=79.99,20%,14%)+IF(L38&lt;=79.99,4,IF(L38&lt;=99.99,16,IF(L38&lt;=199.99,20,IF(L38&lt;=499.99,26,28)))))-L38*1.3%-L38*6%-(L38-O38)*9.25%-L38*3%-L38*3%-1)</f>
        <v/>
      </c>
      <c r="Q38" s="22">
        <f>IF(AND(K38&lt;&gt;"",H38&gt;0),(H38-K38)/H38,"")</f>
        <v/>
      </c>
      <c r="R38" s="19" t="inlineStr"/>
      <c r="S38" s="23" t="n"/>
      <c r="T38" s="23" t="n"/>
      <c r="U38" s="19" t="inlineStr">
        <is>
          <t>100923</t>
        </is>
      </c>
      <c r="W38" t="inlineStr">
        <is>
          <t>ambíguo: 215511 (77%) vs KIT4-AREIA-EDB-4KG-GF</t>
        </is>
      </c>
      <c r="X38" t="n">
        <v>13</v>
      </c>
      <c r="Y38" t="inlineStr"/>
    </row>
    <row r="39" ht="15" customFormat="1" customHeight="1" s="14">
      <c r="A39" s="14" t="inlineStr">
        <is>
          <t>Jacartta</t>
        </is>
      </c>
      <c r="B39" s="14" t="inlineStr">
        <is>
          <t>Senspert -  Erliquiose</t>
        </is>
      </c>
      <c r="C39" s="14" t="inlineStr">
        <is>
          <t>Sem variação</t>
        </is>
      </c>
      <c r="D39" s="14" t="inlineStr">
        <is>
          <t>043</t>
        </is>
      </c>
      <c r="E39" s="14" t="inlineStr">
        <is>
          <t>14182727107</t>
        </is>
      </c>
      <c r="F39" s="14" t="inlineStr">
        <is>
          <t>0</t>
        </is>
      </c>
      <c r="G39" s="14" t="inlineStr">
        <is>
          <t>NORMAL</t>
        </is>
      </c>
      <c r="H39" s="15" t="n">
        <v>145.8</v>
      </c>
      <c r="I39" s="15" t="n">
        <v>71.90000000000001</v>
      </c>
      <c r="J39" s="16" t="inlineStr">
        <is>
          <t>SIM</t>
        </is>
      </c>
      <c r="K39" s="15" t="n">
        <v>71.90000000000001</v>
      </c>
      <c r="L39" s="35">
        <f>IF(K39&lt;&gt;"",K39,I39)</f>
        <v/>
      </c>
      <c r="M39" s="28" t="n"/>
      <c r="N39" s="28" t="n"/>
      <c r="O39" s="29" t="n">
        <v>51.04</v>
      </c>
      <c r="P39" s="80">
        <f>IF($O39="","",L39-O39-(L39*IF(L39&lt;=79.99,20%,14%)+IF(L39&lt;=79.99,4,IF(L39&lt;=99.99,16,IF(L39&lt;=199.99,20,IF(L39&lt;=499.99,26,28)))))-L39*1.3%-L39*6%-(L39-O39)*9.25%-L39*3%-L39*3%-1)</f>
        <v/>
      </c>
      <c r="Q39" s="17">
        <f>IF(AND(K39&lt;&gt;"",H39&gt;0),(H39-K39)/H39,"")</f>
        <v/>
      </c>
      <c r="R39" s="14" t="inlineStr">
        <is>
          <t>909481504866304</t>
        </is>
      </c>
      <c r="S39" s="18" t="n">
        <v>46144.3875</v>
      </c>
      <c r="T39" s="18" t="n">
        <v>46295.4375</v>
      </c>
      <c r="U39" s="14" t="inlineStr">
        <is>
          <t>100942</t>
        </is>
      </c>
      <c r="W39" t="inlineStr">
        <is>
          <t>custo preexistente (busca por texto) mantido</t>
        </is>
      </c>
      <c r="Y39" t="inlineStr"/>
    </row>
    <row r="40" ht="15" customFormat="1" customHeight="1" s="19">
      <c r="A40" s="19" t="inlineStr">
        <is>
          <t>Espaço De Bicho</t>
        </is>
      </c>
      <c r="B40" s="19" t="inlineStr">
        <is>
          <t>Kit Protetor De Colchão  Lençol Oliver Home G Descartável Cadeira de Rodas Pós Operatório Impermeável</t>
        </is>
      </c>
      <c r="C40" s="19" t="inlineStr">
        <is>
          <t>KIT 3 - 15 UNIDADES</t>
        </is>
      </c>
      <c r="D40" s="19" t="inlineStr">
        <is>
          <t>3PCT-PROTETOR-COLCHÃO</t>
        </is>
      </c>
      <c r="E40" s="19" t="inlineStr">
        <is>
          <t>23593573884</t>
        </is>
      </c>
      <c r="F40" s="19" t="inlineStr">
        <is>
          <t>229413614023</t>
        </is>
      </c>
      <c r="G40" s="19" t="inlineStr">
        <is>
          <t>NORMAL</t>
        </is>
      </c>
      <c r="H40" s="20" t="n">
        <v>89.90000000000001</v>
      </c>
      <c r="I40" s="20" t="n">
        <v>73.90000000000001</v>
      </c>
      <c r="J40" s="21" t="inlineStr">
        <is>
          <t>SIM</t>
        </is>
      </c>
      <c r="K40" s="20" t="n">
        <v>73.90000000000001</v>
      </c>
      <c r="L40" s="35">
        <f>IF(K40&lt;&gt;"",K40,I40)</f>
        <v/>
      </c>
      <c r="M40" s="81" t="n">
        <v>3</v>
      </c>
      <c r="N40" s="82" t="n">
        <v>7.31</v>
      </c>
      <c r="O40" s="80">
        <f>ROUND(M40*N40,2)</f>
        <v/>
      </c>
      <c r="P40" s="80">
        <f>IF($O40="","",L40-O40-(L40*IF(L40&lt;=79.99,20%,14%)+IF(L40&lt;=79.99,4,IF(L40&lt;=99.99,16,IF(L40&lt;=199.99,20,IF(L40&lt;=499.99,26,28)))))-L40*1.3%-L40*6%-(L40-O40)*9.25%-L40*3%-L40*3%-1)</f>
        <v/>
      </c>
      <c r="Q40" s="22">
        <f>IF(AND(K40&lt;&gt;"",H40&gt;0),(H40-K40)/H40,"")</f>
        <v/>
      </c>
      <c r="R40" s="19" t="inlineStr">
        <is>
          <t>909477973245952</t>
        </is>
      </c>
      <c r="S40" s="23" t="n">
        <v>46144.38263888889</v>
      </c>
      <c r="T40" s="23" t="n">
        <v>46295.4375</v>
      </c>
      <c r="U40" s="19" t="inlineStr">
        <is>
          <t>101145</t>
        </is>
      </c>
      <c r="V40" t="inlineStr">
        <is>
          <t>213170</t>
        </is>
      </c>
      <c r="W40" t="inlineStr">
        <is>
          <t>venda casada (1 pedido) · custo do KIT 213681 (3× 213170)</t>
        </is>
      </c>
      <c r="X40" t="n">
        <v>1</v>
      </c>
      <c r="Y40" t="inlineStr">
        <is>
          <t>⚠ evidência fraca (1 pedido)</t>
        </is>
      </c>
    </row>
    <row r="41" ht="15" customFormat="1" customHeight="1" s="14">
      <c r="A41" s="19" t="inlineStr">
        <is>
          <t>Espaço De Bicho</t>
        </is>
      </c>
      <c r="B41" s="19" t="inlineStr">
        <is>
          <t>Kit Protetor De Colchão  Lençol Oliver Home G Descartável Cadeira de Rodas Pós Operatório Impermeável</t>
        </is>
      </c>
      <c r="C41" s="19" t="inlineStr">
        <is>
          <t>KIT 5 - 25 UNIDADES</t>
        </is>
      </c>
      <c r="D41" s="19" t="inlineStr">
        <is>
          <t>5PCT-PROTETOR-COLCHÃO</t>
        </is>
      </c>
      <c r="E41" s="19" t="inlineStr">
        <is>
          <t>23593573884</t>
        </is>
      </c>
      <c r="F41" s="19" t="inlineStr">
        <is>
          <t>229413614025</t>
        </is>
      </c>
      <c r="G41" s="19" t="inlineStr">
        <is>
          <t>NORMAL</t>
        </is>
      </c>
      <c r="H41" s="20" t="n">
        <v>120.9</v>
      </c>
      <c r="I41" s="20" t="n">
        <v>119.9</v>
      </c>
      <c r="J41" s="21" t="inlineStr">
        <is>
          <t>SIM</t>
        </is>
      </c>
      <c r="K41" s="20" t="n">
        <v>119.9</v>
      </c>
      <c r="L41" s="35">
        <f>IF(K41&lt;&gt;"",K41,I41)</f>
        <v/>
      </c>
      <c r="M41" s="81" t="n">
        <v>5</v>
      </c>
      <c r="N41" s="82" t="n">
        <v>7.31</v>
      </c>
      <c r="O41" s="80">
        <f>ROUND(M41*N41,2)</f>
        <v/>
      </c>
      <c r="P41" s="80">
        <f>IF($O41="","",L41-O41-(L41*IF(L41&lt;=79.99,20%,14%)+IF(L41&lt;=79.99,4,IF(L41&lt;=99.99,16,IF(L41&lt;=199.99,20,IF(L41&lt;=499.99,26,28)))))-L41*1.3%-L41*6%-(L41-O41)*9.25%-L41*3%-L41*3%-1)</f>
        <v/>
      </c>
      <c r="Q41" s="22">
        <f>IF(AND(K41&lt;&gt;"",H41&gt;0),(H41-K41)/H41,"")</f>
        <v/>
      </c>
      <c r="R41" s="19" t="inlineStr">
        <is>
          <t>909477973245952</t>
        </is>
      </c>
      <c r="S41" s="23" t="n">
        <v>46144.38263888889</v>
      </c>
      <c r="T41" s="23" t="n">
        <v>46295.4375</v>
      </c>
      <c r="U41" s="19" t="inlineStr">
        <is>
          <t>101145</t>
        </is>
      </c>
      <c r="V41" t="inlineStr">
        <is>
          <t>213170</t>
        </is>
      </c>
      <c r="W41" t="inlineStr">
        <is>
          <t>SKU do de-para · custo do KIT 213683 (5× 213170)</t>
        </is>
      </c>
      <c r="X41" t="n">
        <v>5</v>
      </c>
      <c r="Y41" t="inlineStr">
        <is>
          <t>ok</t>
        </is>
      </c>
    </row>
    <row r="42" ht="15" customFormat="1" customHeight="1" s="19">
      <c r="A42" s="14" t="inlineStr">
        <is>
          <t>Jacartta</t>
        </is>
      </c>
      <c r="B42" s="14" t="inlineStr">
        <is>
          <t>Escorredor De Louça Suspenso Aço Inoxidável Organizador Louça Preto 65cm</t>
        </is>
      </c>
      <c r="C42" s="14" t="inlineStr">
        <is>
          <t>Modelo 1</t>
        </is>
      </c>
      <c r="D42" s="14" t="inlineStr">
        <is>
          <t>214030</t>
        </is>
      </c>
      <c r="E42" s="14" t="inlineStr">
        <is>
          <t>23294523254</t>
        </is>
      </c>
      <c r="F42" s="14" t="inlineStr">
        <is>
          <t>219613010012</t>
        </is>
      </c>
      <c r="G42" s="14" t="inlineStr">
        <is>
          <t>NORMAL</t>
        </is>
      </c>
      <c r="H42" s="15" t="n">
        <v>199.9</v>
      </c>
      <c r="I42" s="15" t="n">
        <v>74.90000000000001</v>
      </c>
      <c r="J42" s="16" t="inlineStr">
        <is>
          <t>SIM</t>
        </is>
      </c>
      <c r="K42" s="15" t="n">
        <v>74.90000000000001</v>
      </c>
      <c r="L42" s="35">
        <f>IF(K42&lt;&gt;"",K42,I42)</f>
        <v/>
      </c>
      <c r="M42" s="84" t="n">
        <v>1</v>
      </c>
      <c r="N42" s="85" t="n">
        <v>51.63</v>
      </c>
      <c r="O42" s="80">
        <f>ROUND(M42*N42,2)</f>
        <v/>
      </c>
      <c r="P42" s="80">
        <f>IF($O42="","",L42-O42-(L42*IF(L42&lt;=79.99,20%,14%)+IF(L42&lt;=79.99,4,IF(L42&lt;=99.99,16,IF(L42&lt;=199.99,20,IF(L42&lt;=499.99,26,28)))))-L42*1.3%-L42*6%-(L42-O42)*9.25%-L42*3%-L42*3%-1)</f>
        <v/>
      </c>
      <c r="Q42" s="17">
        <f>IF(AND(K42&lt;&gt;"",H42&gt;0),(H42-K42)/H42,"")</f>
        <v/>
      </c>
      <c r="R42" s="14" t="inlineStr">
        <is>
          <t>478386871025791</t>
        </is>
      </c>
      <c r="S42" s="18" t="n">
        <v>46209.64583333334</v>
      </c>
      <c r="T42" s="18" t="n">
        <v>46326.99930555555</v>
      </c>
      <c r="U42" s="14" t="inlineStr">
        <is>
          <t>101224</t>
        </is>
      </c>
      <c r="V42" t="inlineStr">
        <is>
          <t>214030</t>
        </is>
      </c>
      <c r="W42" t="inlineStr">
        <is>
          <t>venda casada (608 pedidos)</t>
        </is>
      </c>
      <c r="X42" t="n">
        <v>608</v>
      </c>
      <c r="Y42" t="inlineStr">
        <is>
          <t>ok</t>
        </is>
      </c>
    </row>
    <row r="43" ht="15" customFormat="1" customHeight="1" s="14">
      <c r="A43" s="14" t="inlineStr">
        <is>
          <t>Jacartta</t>
        </is>
      </c>
      <c r="B43" s="14" t="inlineStr">
        <is>
          <t>Gelo Artificial Reciclavél 1l</t>
        </is>
      </c>
      <c r="C43" s="14" t="inlineStr">
        <is>
          <t>Sem variação</t>
        </is>
      </c>
      <c r="D43" s="14" t="inlineStr">
        <is>
          <t>0088</t>
        </is>
      </c>
      <c r="E43" s="14" t="inlineStr">
        <is>
          <t>9269606920</t>
        </is>
      </c>
      <c r="F43" s="14" t="inlineStr">
        <is>
          <t>0</t>
        </is>
      </c>
      <c r="G43" s="14" t="inlineStr">
        <is>
          <t>NORMAL</t>
        </is>
      </c>
      <c r="H43" s="15" t="n">
        <v>26</v>
      </c>
      <c r="I43" s="15" t="n">
        <v>9.9</v>
      </c>
      <c r="J43" s="16" t="inlineStr">
        <is>
          <t>SIM</t>
        </is>
      </c>
      <c r="K43" s="15" t="n">
        <v>9.9</v>
      </c>
      <c r="L43" s="35">
        <f>IF(K43&lt;&gt;"",K43,I43)</f>
        <v/>
      </c>
      <c r="M43" s="28" t="n"/>
      <c r="N43" s="28" t="n"/>
      <c r="O43" s="29" t="n">
        <v>7.02</v>
      </c>
      <c r="P43" s="80">
        <f>IF($O43="","",L43-O43-(L43*IF(L43&lt;=79.99,20%,14%)+IF(L43&lt;=79.99,4,IF(L43&lt;=99.99,16,IF(L43&lt;=199.99,20,IF(L43&lt;=499.99,26,28)))))-L43*1.3%-L43*6%-(L43-O43)*9.25%-L43*3%-L43*3%-1)</f>
        <v/>
      </c>
      <c r="Q43" s="17">
        <f>IF(AND(K43&lt;&gt;"",H43&gt;0),(H43-K43)/H43,"")</f>
        <v/>
      </c>
      <c r="R43" s="14" t="inlineStr">
        <is>
          <t>1</t>
        </is>
      </c>
      <c r="S43" s="18" t="n"/>
      <c r="T43" s="18" t="n"/>
      <c r="U43" s="14" t="inlineStr">
        <is>
          <t>100712</t>
        </is>
      </c>
      <c r="W43" t="inlineStr">
        <is>
          <t>custo preexistente (busca por texto) mantido</t>
        </is>
      </c>
      <c r="Y43" t="inlineStr"/>
    </row>
    <row r="44" ht="15" customFormat="1" customHeight="1" s="19">
      <c r="A44" s="19" t="inlineStr">
        <is>
          <t>Jacartta</t>
        </is>
      </c>
      <c r="B44" s="19" t="inlineStr">
        <is>
          <t>Kit Potes de Vidro 640ml/340ml Hermético Marmita Fit com Tampa 4 Travas</t>
        </is>
      </c>
      <c r="C44" s="19" t="inlineStr">
        <is>
          <t>10 UNIDADES,640ML</t>
        </is>
      </c>
      <c r="D44" s="19" t="inlineStr">
        <is>
          <t>KIT10-640ML-SORTIDO</t>
        </is>
      </c>
      <c r="E44" s="19" t="inlineStr">
        <is>
          <t>22299038596</t>
        </is>
      </c>
      <c r="F44" s="19" t="inlineStr">
        <is>
          <t>159549291898</t>
        </is>
      </c>
      <c r="G44" s="19" t="inlineStr">
        <is>
          <t>NORMAL</t>
        </is>
      </c>
      <c r="H44" s="20" t="n">
        <v>199.9</v>
      </c>
      <c r="I44" s="20" t="n">
        <v>117.89</v>
      </c>
      <c r="J44" s="21" t="inlineStr">
        <is>
          <t>SIM</t>
        </is>
      </c>
      <c r="K44" s="20" t="n">
        <v>117.89</v>
      </c>
      <c r="L44" s="35">
        <f>IF(K44&lt;&gt;"",K44,I44)</f>
        <v/>
      </c>
      <c r="M44" s="32" t="n">
        <v>10</v>
      </c>
      <c r="N44" s="30">
        <f>O44/M44</f>
        <v/>
      </c>
      <c r="O44" s="29" t="n">
        <v>67.40000000000001</v>
      </c>
      <c r="P44" s="80">
        <f>IF($O44="","",L44-O44-(L44*IF(L44&lt;=79.99,20%,14%)+IF(L44&lt;=79.99,4,IF(L44&lt;=99.99,16,IF(L44&lt;=199.99,20,IF(L44&lt;=499.99,26,28)))))-L44*1.3%-L44*6%-(L44-O44)*9.25%-L44*3%-L44*3%-1)</f>
        <v/>
      </c>
      <c r="Q44" s="22">
        <f>IF(AND(K44&lt;&gt;"",H44&gt;0),(H44-K44)/H44,"")</f>
        <v/>
      </c>
      <c r="R44" s="19" t="inlineStr">
        <is>
          <t>492047266168992</t>
        </is>
      </c>
      <c r="S44" s="23" t="n">
        <v>46248</v>
      </c>
      <c r="T44" s="23" t="n">
        <v>46249</v>
      </c>
      <c r="U44" s="19" t="inlineStr">
        <is>
          <t>101220</t>
        </is>
      </c>
      <c r="V44" t="inlineStr">
        <is>
          <t>213877</t>
        </is>
      </c>
      <c r="W44" t="inlineStr">
        <is>
          <t>venda casada (47 pedidos) · QTD/custo manuais mantidos</t>
        </is>
      </c>
      <c r="X44" t="n">
        <v>47</v>
      </c>
      <c r="Y44" t="inlineStr">
        <is>
          <t>ok</t>
        </is>
      </c>
    </row>
    <row r="45" ht="15" customFormat="1" customHeight="1" s="14">
      <c r="A45" s="14" t="inlineStr">
        <is>
          <t>Espaço De Bicho</t>
        </is>
      </c>
      <c r="B45" s="14" t="inlineStr">
        <is>
          <t>Laviz MO Pet Suplemento para Cães e Gatos Debilitados 30g</t>
        </is>
      </c>
      <c r="C45" s="14" t="inlineStr">
        <is>
          <t>Sem variação</t>
        </is>
      </c>
      <c r="D45" s="14" t="inlineStr">
        <is>
          <t>LAVIZ-M.O-PET-30G</t>
        </is>
      </c>
      <c r="E45" s="14" t="inlineStr">
        <is>
          <t>20499252415</t>
        </is>
      </c>
      <c r="F45" s="14" t="inlineStr">
        <is>
          <t>0</t>
        </is>
      </c>
      <c r="G45" s="14" t="inlineStr">
        <is>
          <t>NORMAL</t>
        </is>
      </c>
      <c r="H45" s="15" t="n">
        <v>89.90000000000001</v>
      </c>
      <c r="I45" s="15" t="n">
        <v>49.9</v>
      </c>
      <c r="J45" s="16" t="inlineStr">
        <is>
          <t>SIM</t>
        </is>
      </c>
      <c r="K45" s="15" t="n">
        <v>49.9</v>
      </c>
      <c r="L45" s="35">
        <f>IF(K45&lt;&gt;"",K45,I45)</f>
        <v/>
      </c>
      <c r="M45" s="28" t="n"/>
      <c r="N45" s="28" t="n"/>
      <c r="O45" s="29" t="n"/>
      <c r="P45" s="80">
        <f>IF($O45="","",L45-O45-(L45*IF(L45&lt;=79.99,20%,14%)+IF(L45&lt;=79.99,4,IF(L45&lt;=99.99,16,IF(L45&lt;=199.99,20,IF(L45&lt;=499.99,26,28)))))-L45*1.3%-L45*6%-(L45-O45)*9.25%-L45*3%-L45*3%-1)</f>
        <v/>
      </c>
      <c r="Q45" s="17">
        <f>IF(AND(K45&lt;&gt;"",H45&gt;0),(H45-K45)/H45,"")</f>
        <v/>
      </c>
      <c r="R45" s="14" t="inlineStr">
        <is>
          <t>909477973245952</t>
        </is>
      </c>
      <c r="S45" s="18" t="n">
        <v>46144.38263888889</v>
      </c>
      <c r="T45" s="18" t="n">
        <v>46295.4375</v>
      </c>
      <c r="U45" s="14" t="inlineStr">
        <is>
          <t>100944</t>
        </is>
      </c>
      <c r="V45" t="inlineStr">
        <is>
          <t>LAVIZ-M.O-PET-30G</t>
        </is>
      </c>
      <c r="W45" t="inlineStr">
        <is>
          <t>SKU idêntico na Olist · CUSTO ZERADO na Olist (conferido hoje)</t>
        </is>
      </c>
      <c r="Y45" t="inlineStr">
        <is>
          <t>ok</t>
        </is>
      </c>
    </row>
    <row r="46" ht="15" customFormat="1" customHeight="1" s="19">
      <c r="A46" s="19" t="inlineStr">
        <is>
          <t>Espaço De Bicho</t>
        </is>
      </c>
      <c r="B46" s="19" t="inlineStr">
        <is>
          <t>Máquina De Secar Pets Plus Grande Silencioso</t>
        </is>
      </c>
      <c r="C46" s="19" t="inlineStr">
        <is>
          <t>Sem variação</t>
        </is>
      </c>
      <c r="D46" s="19" t="inlineStr">
        <is>
          <t>CAIXA-SEC-PET</t>
        </is>
      </c>
      <c r="E46" s="19" t="inlineStr">
        <is>
          <t>23097772664</t>
        </is>
      </c>
      <c r="F46" s="19" t="inlineStr">
        <is>
          <t>0</t>
        </is>
      </c>
      <c r="G46" s="19" t="inlineStr">
        <is>
          <t>NORMAL</t>
        </is>
      </c>
      <c r="H46" s="20" t="n">
        <v>2500</v>
      </c>
      <c r="I46" s="20" t="n">
        <v>1239.9</v>
      </c>
      <c r="J46" s="21" t="inlineStr">
        <is>
          <t>SIM</t>
        </is>
      </c>
      <c r="K46" s="20" t="n">
        <v>1239.9</v>
      </c>
      <c r="L46" s="35">
        <f>IF(K46&lt;&gt;"",K46,I46)</f>
        <v/>
      </c>
      <c r="M46" s="81" t="n">
        <v>1</v>
      </c>
      <c r="N46" s="82" t="n">
        <v>1003.09</v>
      </c>
      <c r="O46" s="80">
        <f>ROUND(M46*N46,2)</f>
        <v/>
      </c>
      <c r="P46" s="80">
        <f>IF($O46="","",L46-O46-(L46*IF(L46&lt;=79.99,20%,14%)+IF(L46&lt;=79.99,4,IF(L46&lt;=99.99,16,IF(L46&lt;=199.99,20,IF(L46&lt;=499.99,26,28)))))-L46*1.3%-L46*6%-(L46-O46)*9.25%-L46*3%-L46*3%-1)</f>
        <v/>
      </c>
      <c r="Q46" s="22">
        <f>IF(AND(K46&lt;&gt;"",H46&gt;0),(H46-K46)/H46,"")</f>
        <v/>
      </c>
      <c r="R46" s="19" t="inlineStr">
        <is>
          <t>909477973245952</t>
        </is>
      </c>
      <c r="S46" s="23" t="n">
        <v>46144.38263888889</v>
      </c>
      <c r="T46" s="23" t="n">
        <v>46295.4375</v>
      </c>
      <c r="U46" s="19" t="inlineStr">
        <is>
          <t>100929</t>
        </is>
      </c>
      <c r="V46" t="inlineStr">
        <is>
          <t>212900</t>
        </is>
      </c>
      <c r="W46" t="inlineStr">
        <is>
          <t>venda casada (7 pedidos)</t>
        </is>
      </c>
      <c r="X46" t="n">
        <v>7</v>
      </c>
      <c r="Y46" t="inlineStr">
        <is>
          <t>ok</t>
        </is>
      </c>
    </row>
    <row r="47" ht="15" customFormat="1" customHeight="1" s="14">
      <c r="A47" s="19" t="inlineStr">
        <is>
          <t>Espaço De Bicho</t>
        </is>
      </c>
      <c r="B47" s="19" t="inlineStr">
        <is>
          <t>Meloxivet 1mg Pequeno Porte Anti-Inflamatório para Cães e Gatos Blister 10 comprimidos DUPRAT</t>
        </is>
      </c>
      <c r="C47" s="19" t="inlineStr">
        <is>
          <t>1 MG</t>
        </is>
      </c>
      <c r="D47" s="19" t="inlineStr">
        <is>
          <t>MELOXIVET-1MG-10CPS</t>
        </is>
      </c>
      <c r="E47" s="19" t="inlineStr">
        <is>
          <t>23594548218</t>
        </is>
      </c>
      <c r="F47" s="19" t="inlineStr">
        <is>
          <t>219613552027</t>
        </is>
      </c>
      <c r="G47" s="19" t="inlineStr">
        <is>
          <t>NORMAL</t>
        </is>
      </c>
      <c r="H47" s="20" t="n">
        <v>99.90000000000001</v>
      </c>
      <c r="I47" s="20" t="n">
        <v>26.9</v>
      </c>
      <c r="J47" s="21" t="inlineStr">
        <is>
          <t>SIM</t>
        </is>
      </c>
      <c r="K47" s="20" t="n">
        <v>26.9</v>
      </c>
      <c r="L47" s="35">
        <f>IF(K47&lt;&gt;"",K47,I47)</f>
        <v/>
      </c>
      <c r="M47" s="81" t="n">
        <v>1</v>
      </c>
      <c r="N47" s="82" t="n">
        <v>13.15</v>
      </c>
      <c r="O47" s="80">
        <f>ROUND(M47*N47,2)</f>
        <v/>
      </c>
      <c r="P47" s="80">
        <f>IF($O47="","",L47-O47-(L47*IF(L47&lt;=79.99,20%,14%)+IF(L47&lt;=79.99,4,IF(L47&lt;=99.99,16,IF(L47&lt;=199.99,20,IF(L47&lt;=499.99,26,28)))))-L47*1.3%-L47*6%-(L47-O47)*9.25%-L47*3%-L47*3%-1)</f>
        <v/>
      </c>
      <c r="Q47" s="22">
        <f>IF(AND(K47&lt;&gt;"",H47&gt;0),(H47-K47)/H47,"")</f>
        <v/>
      </c>
      <c r="R47" s="19" t="inlineStr">
        <is>
          <t>909477973245952</t>
        </is>
      </c>
      <c r="S47" s="23" t="n">
        <v>46144.38263888889</v>
      </c>
      <c r="T47" s="23" t="n">
        <v>46295.4375</v>
      </c>
      <c r="U47" s="19" t="inlineStr">
        <is>
          <t>100942</t>
        </is>
      </c>
      <c r="V47" t="inlineStr">
        <is>
          <t>213535</t>
        </is>
      </c>
      <c r="W47" t="inlineStr">
        <is>
          <t>venda casada (2 pedidos)</t>
        </is>
      </c>
      <c r="X47" t="n">
        <v>2</v>
      </c>
      <c r="Y47" t="inlineStr">
        <is>
          <t>ok</t>
        </is>
      </c>
    </row>
    <row r="48" ht="15" customFormat="1" customHeight="1" s="19">
      <c r="A48" s="14" t="inlineStr">
        <is>
          <t>Espaço De Bicho</t>
        </is>
      </c>
      <c r="B48" s="14" t="inlineStr">
        <is>
          <t>Meloxivet 1mg Pequeno Porte Anti-Inflamatório para Cães e Gatos Blister 10 comprimidos DUPRAT</t>
        </is>
      </c>
      <c r="C48" s="14" t="inlineStr">
        <is>
          <t>2 MG</t>
        </is>
      </c>
      <c r="D48" s="14" t="inlineStr">
        <is>
          <t>MELOXIVET-2MG-10CPS</t>
        </is>
      </c>
      <c r="E48" s="14" t="inlineStr">
        <is>
          <t>23594548218</t>
        </is>
      </c>
      <c r="F48" s="14" t="inlineStr">
        <is>
          <t>219613552028</t>
        </is>
      </c>
      <c r="G48" s="14" t="inlineStr">
        <is>
          <t>NORMAL</t>
        </is>
      </c>
      <c r="H48" s="15" t="n">
        <v>99.90000000000001</v>
      </c>
      <c r="I48" s="15" t="n">
        <v>32.9</v>
      </c>
      <c r="J48" s="16" t="inlineStr">
        <is>
          <t>SIM</t>
        </is>
      </c>
      <c r="K48" s="15" t="n">
        <v>32.9</v>
      </c>
      <c r="L48" s="35">
        <f>IF(K48&lt;&gt;"",K48,I48)</f>
        <v/>
      </c>
      <c r="M48" s="28" t="n"/>
      <c r="N48" s="28" t="n"/>
      <c r="O48" s="29" t="n"/>
      <c r="P48" s="80">
        <f>IF($O48="","",L48-O48-(L48*IF(L48&lt;=79.99,20%,14%)+IF(L48&lt;=79.99,4,IF(L48&lt;=99.99,16,IF(L48&lt;=199.99,20,IF(L48&lt;=499.99,26,28)))))-L48*1.3%-L48*6%-(L48-O48)*9.25%-L48*3%-L48*3%-1)</f>
        <v/>
      </c>
      <c r="Q48" s="17">
        <f>IF(AND(K48&lt;&gt;"",H48&gt;0),(H48-K48)/H48,"")</f>
        <v/>
      </c>
      <c r="R48" s="14" t="inlineStr">
        <is>
          <t>909477973245952</t>
        </is>
      </c>
      <c r="S48" s="18" t="n">
        <v>46144.38263888889</v>
      </c>
      <c r="T48" s="18" t="n">
        <v>46295.4375</v>
      </c>
      <c r="U48" s="14" t="inlineStr">
        <is>
          <t>100942</t>
        </is>
      </c>
      <c r="V48" t="inlineStr">
        <is>
          <t>MELOXIVET-2MG-10CPS</t>
        </is>
      </c>
      <c r="W48" t="inlineStr">
        <is>
          <t>SKU idêntico na Olist · CUSTO ZERADO na Olist (conferido hoje)</t>
        </is>
      </c>
      <c r="Y48" t="inlineStr">
        <is>
          <t>ok</t>
        </is>
      </c>
    </row>
    <row r="49" ht="15" customFormat="1" customHeight="1" s="14">
      <c r="A49" s="19" t="inlineStr">
        <is>
          <t>Espaço De Bicho</t>
        </is>
      </c>
      <c r="B49" s="19" t="inlineStr">
        <is>
          <t>Potrus 6 Kg - Lavizoo ( Suplmento P/ Crescimento De Potros )</t>
        </is>
      </c>
      <c r="C49" s="19" t="inlineStr">
        <is>
          <t>Sem variação</t>
        </is>
      </c>
      <c r="D49" s="19" t="inlineStr">
        <is>
          <t>POTRUS-6KG</t>
        </is>
      </c>
      <c r="E49" s="19" t="inlineStr">
        <is>
          <t>22592987404</t>
        </is>
      </c>
      <c r="F49" s="19" t="inlineStr">
        <is>
          <t>0</t>
        </is>
      </c>
      <c r="G49" s="19" t="inlineStr">
        <is>
          <t>NORMAL</t>
        </is>
      </c>
      <c r="H49" s="20" t="n">
        <v>999.9</v>
      </c>
      <c r="I49" s="20" t="n">
        <v>904.9</v>
      </c>
      <c r="J49" s="21" t="inlineStr">
        <is>
          <t>SIM</t>
        </is>
      </c>
      <c r="K49" s="20" t="n">
        <v>904.9</v>
      </c>
      <c r="L49" s="35">
        <f>IF(K49&lt;&gt;"",K49,I49)</f>
        <v/>
      </c>
      <c r="M49" s="30" t="n"/>
      <c r="N49" s="30" t="n"/>
      <c r="O49" s="29" t="n"/>
      <c r="P49" s="80">
        <f>IF($O49="","",L49-O49-(L49*IF(L49&lt;=79.99,20%,14%)+IF(L49&lt;=79.99,4,IF(L49&lt;=99.99,16,IF(L49&lt;=199.99,20,IF(L49&lt;=499.99,26,28)))))-L49*1.3%-L49*6%-(L49-O49)*9.25%-L49*3%-L49*3%-1)</f>
        <v/>
      </c>
      <c r="Q49" s="22">
        <f>IF(AND(K49&lt;&gt;"",H49&gt;0),(H49-K49)/H49,"")</f>
        <v/>
      </c>
      <c r="R49" s="19" t="inlineStr">
        <is>
          <t>909477973245952</t>
        </is>
      </c>
      <c r="S49" s="23" t="n">
        <v>46144.38263888889</v>
      </c>
      <c r="T49" s="23" t="n">
        <v>46295.4375</v>
      </c>
      <c r="U49" s="19" t="inlineStr">
        <is>
          <t>100910</t>
        </is>
      </c>
      <c r="V49" t="inlineStr">
        <is>
          <t>POTRUS-6KG</t>
        </is>
      </c>
      <c r="W49" t="inlineStr">
        <is>
          <t>SKU idêntico na Olist · CUSTO ZERADO na Olist (conferido hoje)</t>
        </is>
      </c>
      <c r="Y49" t="inlineStr">
        <is>
          <t>ok</t>
        </is>
      </c>
    </row>
    <row r="50" ht="15" customFormat="1" customHeight="1" s="19">
      <c r="A50" s="19" t="inlineStr">
        <is>
          <t>Jacartta</t>
        </is>
      </c>
      <c r="B50" s="19" t="inlineStr">
        <is>
          <t>Kit 5/ kit 10 Potes de Vidro 640ml Hermético Marmita Fit com Tampa 4 Travas Oliver Home</t>
        </is>
      </c>
      <c r="C50" s="19" t="inlineStr">
        <is>
          <t>10 UNIDADES,640ML</t>
        </is>
      </c>
      <c r="D50" s="19" t="inlineStr">
        <is>
          <t>KIT-10POTES-640ML</t>
        </is>
      </c>
      <c r="E50" s="19" t="inlineStr">
        <is>
          <t>26695370644</t>
        </is>
      </c>
      <c r="F50" s="19" t="inlineStr">
        <is>
          <t>351245360246</t>
        </is>
      </c>
      <c r="G50" s="19" t="inlineStr">
        <is>
          <t>NORMAL</t>
        </is>
      </c>
      <c r="H50" s="20" t="n">
        <v>189.9</v>
      </c>
      <c r="I50" s="20" t="n">
        <v>117.9</v>
      </c>
      <c r="J50" s="21" t="inlineStr">
        <is>
          <t>SIM</t>
        </is>
      </c>
      <c r="K50" s="20" t="n">
        <v>117.9</v>
      </c>
      <c r="L50" s="35">
        <f>IF(K50&lt;&gt;"",K50,I50)</f>
        <v/>
      </c>
      <c r="M50" s="32" t="n">
        <v>10</v>
      </c>
      <c r="N50" s="30">
        <f>O50/M50</f>
        <v/>
      </c>
      <c r="O50" s="29" t="n">
        <v>67.40000000000001</v>
      </c>
      <c r="P50" s="80">
        <f>IF($O50="","",L50-O50-(L50*IF(L50&lt;=79.99,20%,14%)+IF(L50&lt;=79.99,4,IF(L50&lt;=99.99,16,IF(L50&lt;=199.99,20,IF(L50&lt;=499.99,26,28)))))-L50*1.3%-L50*6%-(L50-O50)*9.25%-L50*3%-L50*3%-1)</f>
        <v/>
      </c>
      <c r="Q50" s="22">
        <f>IF(AND(K50&lt;&gt;"",H50&gt;0),(H50-K50)/H50,"")</f>
        <v/>
      </c>
      <c r="R50" s="19" t="inlineStr">
        <is>
          <t>478386871025791</t>
        </is>
      </c>
      <c r="S50" s="23" t="n">
        <v>46209.64583333334</v>
      </c>
      <c r="T50" s="23" t="n">
        <v>46326.99930555555</v>
      </c>
      <c r="U50" s="19" t="inlineStr">
        <is>
          <t>101220</t>
        </is>
      </c>
      <c r="V50" t="inlineStr">
        <is>
          <t>213877</t>
        </is>
      </c>
      <c r="W50" t="inlineStr">
        <is>
          <t>venda casada (1 pedido) · QTD/custo manuais mantidos</t>
        </is>
      </c>
      <c r="X50" t="n">
        <v>1</v>
      </c>
      <c r="Y50" t="inlineStr">
        <is>
          <t>⚠ evidência fraca (1 pedido)</t>
        </is>
      </c>
    </row>
    <row r="51" ht="15" customFormat="1" customHeight="1" s="14">
      <c r="A51" s="14" t="inlineStr">
        <is>
          <t>Espaço De Bicho</t>
        </is>
      </c>
      <c r="B51" s="14" t="inlineStr">
        <is>
          <t>Protetor De Colchão  Lençol G 5 UNI Cadeira de Rodas Pós Operatório Impermeavél</t>
        </is>
      </c>
      <c r="C51" s="14" t="inlineStr">
        <is>
          <t>Sem variação</t>
        </is>
      </c>
      <c r="D51" s="14" t="inlineStr">
        <is>
          <t>1PCT-PROTETOR-COLCHÃO</t>
        </is>
      </c>
      <c r="E51" s="14" t="inlineStr">
        <is>
          <t>23098070610</t>
        </is>
      </c>
      <c r="F51" s="14" t="inlineStr">
        <is>
          <t>0</t>
        </is>
      </c>
      <c r="G51" s="14" t="inlineStr">
        <is>
          <t>NORMAL</t>
        </is>
      </c>
      <c r="H51" s="15" t="n">
        <v>39.9</v>
      </c>
      <c r="I51" s="15" t="n">
        <v>39.9</v>
      </c>
      <c r="J51" s="16" t="inlineStr">
        <is>
          <t>NÃO</t>
        </is>
      </c>
      <c r="K51" s="15" t="n"/>
      <c r="L51" s="35">
        <f>IF(K51&lt;&gt;"",K51,I51)</f>
        <v/>
      </c>
      <c r="M51" s="28" t="n"/>
      <c r="N51" s="28" t="n"/>
      <c r="O51" s="29" t="n"/>
      <c r="P51" s="80">
        <f>IF($O51="","",L51-O51-(L51*IF(L51&lt;=79.99,20%,14%)+IF(L51&lt;=79.99,4,IF(L51&lt;=99.99,16,IF(L51&lt;=199.99,20,IF(L51&lt;=499.99,26,28)))))-L51*1.3%-L51*6%-(L51-O51)*9.25%-L51*3%-L51*3%-1)</f>
        <v/>
      </c>
      <c r="Q51" s="17">
        <f>IF(AND(K51&lt;&gt;"",H51&gt;0),(H51-K51)/H51,"")</f>
        <v/>
      </c>
      <c r="R51" s="14" t="inlineStr"/>
      <c r="S51" s="18" t="n"/>
      <c r="T51" s="18" t="n"/>
      <c r="U51" s="14" t="inlineStr">
        <is>
          <t>101145</t>
        </is>
      </c>
      <c r="V51" t="inlineStr">
        <is>
          <t>1PCT-PROTETOR-COLCHÃO</t>
        </is>
      </c>
      <c r="W51" t="inlineStr">
        <is>
          <t>SKU idêntico na Olist · CUSTO ZERADO na Olist (conferido hoje)</t>
        </is>
      </c>
      <c r="Y51" t="inlineStr">
        <is>
          <t>ok</t>
        </is>
      </c>
    </row>
    <row r="52" ht="15" customFormat="1" customHeight="1" s="19">
      <c r="A52" s="19" t="inlineStr">
        <is>
          <t>Espaço De Bicho</t>
        </is>
      </c>
      <c r="B52" s="19" t="inlineStr">
        <is>
          <t>Regenerador Articular Fortflex C/ 30 Comp. P/ Cães E Gatos</t>
        </is>
      </c>
      <c r="C52" s="19" t="inlineStr">
        <is>
          <t>Sem variação</t>
        </is>
      </c>
      <c r="D52" s="19" t="inlineStr">
        <is>
          <t>FORTFLEX-30G</t>
        </is>
      </c>
      <c r="E52" s="19" t="inlineStr">
        <is>
          <t>21797673900</t>
        </is>
      </c>
      <c r="F52" s="19" t="inlineStr">
        <is>
          <t>0</t>
        </is>
      </c>
      <c r="G52" s="19" t="inlineStr">
        <is>
          <t>NORMAL</t>
        </is>
      </c>
      <c r="H52" s="20" t="n">
        <v>89.90000000000001</v>
      </c>
      <c r="I52" s="20" t="n">
        <v>64.90000000000001</v>
      </c>
      <c r="J52" s="21" t="inlineStr">
        <is>
          <t>SIM</t>
        </is>
      </c>
      <c r="K52" s="20" t="n">
        <v>64.90000000000001</v>
      </c>
      <c r="L52" s="35">
        <f>IF(K52&lt;&gt;"",K52,I52)</f>
        <v/>
      </c>
      <c r="M52" s="81" t="n">
        <v>1</v>
      </c>
      <c r="N52" s="82" t="n">
        <v>29.73</v>
      </c>
      <c r="O52" s="80">
        <f>ROUND(M52*N52,2)</f>
        <v/>
      </c>
      <c r="P52" s="80">
        <f>IF($O52="","",L52-O52-(L52*IF(L52&lt;=79.99,20%,14%)+IF(L52&lt;=79.99,4,IF(L52&lt;=99.99,16,IF(L52&lt;=199.99,20,IF(L52&lt;=499.99,26,28)))))-L52*1.3%-L52*6%-(L52-O52)*9.25%-L52*3%-L52*3%-1)</f>
        <v/>
      </c>
      <c r="Q52" s="22">
        <f>IF(AND(K52&lt;&gt;"",H52&gt;0),(H52-K52)/H52,"")</f>
        <v/>
      </c>
      <c r="R52" s="19" t="inlineStr">
        <is>
          <t>909477973245952</t>
        </is>
      </c>
      <c r="S52" s="23" t="n">
        <v>46144.38263888889</v>
      </c>
      <c r="T52" s="23" t="n">
        <v>46295.4375</v>
      </c>
      <c r="U52" s="19" t="inlineStr">
        <is>
          <t>100944</t>
        </is>
      </c>
      <c r="V52" t="inlineStr">
        <is>
          <t>213629</t>
        </is>
      </c>
      <c r="W52" t="inlineStr">
        <is>
          <t>venda casada (3 pedidos)</t>
        </is>
      </c>
      <c r="X52" t="n">
        <v>3</v>
      </c>
      <c r="Y52" t="inlineStr">
        <is>
          <t>ok</t>
        </is>
      </c>
    </row>
    <row r="53" ht="15" customFormat="1" customHeight="1" s="14">
      <c r="A53" s="14" t="inlineStr">
        <is>
          <t>Espaço De Bicho</t>
        </is>
      </c>
      <c r="B53" s="14" t="inlineStr">
        <is>
          <t>Remédio para carrapato cachorro e anti pulgas Confront Plus</t>
        </is>
      </c>
      <c r="C53" s="14" t="inlineStr">
        <is>
          <t>10 A 20KG</t>
        </is>
      </c>
      <c r="D53" s="14" t="inlineStr">
        <is>
          <t>CONFRONT-PLUS-10A20KG</t>
        </is>
      </c>
      <c r="E53" s="14" t="inlineStr">
        <is>
          <t>22493004901</t>
        </is>
      </c>
      <c r="F53" s="14" t="inlineStr">
        <is>
          <t>169708443633</t>
        </is>
      </c>
      <c r="G53" s="14" t="inlineStr">
        <is>
          <t>NORMAL</t>
        </is>
      </c>
      <c r="H53" s="15" t="n">
        <v>59.9</v>
      </c>
      <c r="I53" s="15" t="n">
        <v>59.9</v>
      </c>
      <c r="J53" s="16" t="inlineStr">
        <is>
          <t>NÃO</t>
        </is>
      </c>
      <c r="K53" s="15" t="n"/>
      <c r="L53" s="35">
        <f>IF(K53&lt;&gt;"",K53,I53)</f>
        <v/>
      </c>
      <c r="M53" s="28" t="n"/>
      <c r="N53" s="28" t="n"/>
      <c r="O53" s="29" t="n"/>
      <c r="P53" s="80">
        <f>IF($O53="","",L53-O53-(L53*IF(L53&lt;=79.99,20%,14%)+IF(L53&lt;=79.99,4,IF(L53&lt;=99.99,16,IF(L53&lt;=199.99,20,IF(L53&lt;=499.99,26,28)))))-L53*1.3%-L53*6%-(L53-O53)*9.25%-L53*3%-L53*3%-1)</f>
        <v/>
      </c>
      <c r="Q53" s="17">
        <f>IF(AND(K53&lt;&gt;"",H53&gt;0),(H53-K53)/H53,"")</f>
        <v/>
      </c>
      <c r="R53" s="14" t="inlineStr"/>
      <c r="S53" s="18" t="n"/>
      <c r="T53" s="18" t="n"/>
      <c r="U53" s="14" t="inlineStr">
        <is>
          <t>100942</t>
        </is>
      </c>
      <c r="V53" t="inlineStr">
        <is>
          <t>CONFRONT-PLUS-10A20KG</t>
        </is>
      </c>
      <c r="W53" t="inlineStr">
        <is>
          <t>SKU idêntico na Olist · CUSTO ZERADO na Olist (conferido hoje)</t>
        </is>
      </c>
      <c r="Y53" t="inlineStr">
        <is>
          <t>ok</t>
        </is>
      </c>
    </row>
    <row r="54" ht="15" customFormat="1" customHeight="1" s="19">
      <c r="A54" s="19" t="inlineStr">
        <is>
          <t>Espaço De Bicho</t>
        </is>
      </c>
      <c r="B54" s="19" t="inlineStr">
        <is>
          <t>Remédio para carrapato cachorro e anti pulgas Confront Plus</t>
        </is>
      </c>
      <c r="C54" s="19" t="inlineStr">
        <is>
          <t>40 A 60KG</t>
        </is>
      </c>
      <c r="D54" s="19" t="inlineStr">
        <is>
          <t>CONFRONT-PLUS-40A60KG</t>
        </is>
      </c>
      <c r="E54" s="19" t="inlineStr">
        <is>
          <t>22493004901</t>
        </is>
      </c>
      <c r="F54" s="19" t="inlineStr">
        <is>
          <t>169708443635</t>
        </is>
      </c>
      <c r="G54" s="19" t="inlineStr">
        <is>
          <t>NORMAL</t>
        </is>
      </c>
      <c r="H54" s="20" t="n">
        <v>59.9</v>
      </c>
      <c r="I54" s="20" t="n">
        <v>59.9</v>
      </c>
      <c r="J54" s="21" t="inlineStr">
        <is>
          <t>NÃO</t>
        </is>
      </c>
      <c r="K54" s="20" t="n"/>
      <c r="L54" s="35">
        <f>IF(K54&lt;&gt;"",K54,I54)</f>
        <v/>
      </c>
      <c r="M54" s="30" t="n"/>
      <c r="N54" s="30" t="n"/>
      <c r="O54" s="31" t="n"/>
      <c r="P54" s="80">
        <f>IF($O54="","",L54-O54-(L54*IF(L54&lt;=79.99,20%,14%)+IF(L54&lt;=79.99,4,IF(L54&lt;=99.99,16,IF(L54&lt;=199.99,20,IF(L54&lt;=499.99,26,28)))))-L54*1.3%-L54*6%-(L54-O54)*9.25%-L54*3%-L54*3%-1)</f>
        <v/>
      </c>
      <c r="Q54" s="22">
        <f>IF(AND(K54&lt;&gt;"",H54&gt;0),(H54-K54)/H54,"")</f>
        <v/>
      </c>
      <c r="R54" s="19" t="inlineStr"/>
      <c r="S54" s="23" t="n"/>
      <c r="T54" s="23" t="n"/>
      <c r="U54" s="19" t="inlineStr">
        <is>
          <t>100942</t>
        </is>
      </c>
      <c r="V54" t="inlineStr">
        <is>
          <t>CONFRONT-PLUS-40A60KG</t>
        </is>
      </c>
      <c r="W54" t="inlineStr">
        <is>
          <t>SKU idêntico na Olist · CUSTO ZERADO na Olist (conferido hoje)</t>
        </is>
      </c>
      <c r="Y54" t="inlineStr">
        <is>
          <t>ok</t>
        </is>
      </c>
    </row>
    <row r="55" ht="15" customFormat="1" customHeight="1" s="14">
      <c r="A55" s="19" t="inlineStr">
        <is>
          <t>Espaço De Bicho</t>
        </is>
      </c>
      <c r="B55" s="19" t="inlineStr">
        <is>
          <t>Sabonete Tiuran Sarnicida e Fungos Para Cães &amp; Gatos 80g</t>
        </is>
      </c>
      <c r="C55" s="19" t="inlineStr">
        <is>
          <t>Sem variação</t>
        </is>
      </c>
      <c r="D55" s="19" t="inlineStr">
        <is>
          <t>SABONETE-TIURAN-80G</t>
        </is>
      </c>
      <c r="E55" s="19" t="inlineStr">
        <is>
          <t>22299144399</t>
        </is>
      </c>
      <c r="F55" s="19" t="inlineStr">
        <is>
          <t>0</t>
        </is>
      </c>
      <c r="G55" s="19" t="inlineStr">
        <is>
          <t>NORMAL</t>
        </is>
      </c>
      <c r="H55" s="20" t="n">
        <v>59.9</v>
      </c>
      <c r="I55" s="20" t="n">
        <v>19.9</v>
      </c>
      <c r="J55" s="21" t="inlineStr">
        <is>
          <t>SIM</t>
        </is>
      </c>
      <c r="K55" s="20" t="n">
        <v>19.9</v>
      </c>
      <c r="L55" s="35">
        <f>IF(K55&lt;&gt;"",K55,I55)</f>
        <v/>
      </c>
      <c r="M55" s="81" t="n">
        <v>1</v>
      </c>
      <c r="N55" s="82" t="n">
        <v>8.4</v>
      </c>
      <c r="O55" s="80">
        <f>ROUND(M55*N55,2)</f>
        <v/>
      </c>
      <c r="P55" s="80">
        <f>IF($O55="","",L55-O55-(L55*IF(L55&lt;=79.99,20%,14%)+IF(L55&lt;=79.99,4,IF(L55&lt;=99.99,16,IF(L55&lt;=199.99,20,IF(L55&lt;=499.99,26,28)))))-L55*1.3%-L55*6%-(L55-O55)*9.25%-L55*3%-L55*3%-1)</f>
        <v/>
      </c>
      <c r="Q55" s="22">
        <f>IF(AND(K55&lt;&gt;"",H55&gt;0),(H55-K55)/H55,"")</f>
        <v/>
      </c>
      <c r="R55" s="19" t="inlineStr">
        <is>
          <t>909477973245952</t>
        </is>
      </c>
      <c r="S55" s="23" t="n">
        <v>46144.38263888889</v>
      </c>
      <c r="T55" s="23" t="n">
        <v>46295.4375</v>
      </c>
      <c r="U55" s="19" t="inlineStr">
        <is>
          <t>100929</t>
        </is>
      </c>
      <c r="V55" t="inlineStr">
        <is>
          <t>213397</t>
        </is>
      </c>
      <c r="W55" t="inlineStr">
        <is>
          <t>venda casada (16 pedidos)</t>
        </is>
      </c>
      <c r="X55" t="n">
        <v>16</v>
      </c>
      <c r="Y55" t="inlineStr">
        <is>
          <t>ok</t>
        </is>
      </c>
    </row>
    <row r="56" ht="15" customFormat="1" customHeight="1" s="19">
      <c r="A56" s="14" t="inlineStr">
        <is>
          <t>Espaço De Bicho</t>
        </is>
      </c>
      <c r="B56" s="14" t="inlineStr">
        <is>
          <t>Solução Otológica Duprat Otospan Cães &amp; Gatos - 10 Ml</t>
        </is>
      </c>
      <c r="C56" s="14" t="inlineStr">
        <is>
          <t>Sem variação</t>
        </is>
      </c>
      <c r="D56" s="14" t="inlineStr">
        <is>
          <t>OTOSPAN-10ML</t>
        </is>
      </c>
      <c r="E56" s="14" t="inlineStr">
        <is>
          <t>23794617455</t>
        </is>
      </c>
      <c r="F56" s="14" t="inlineStr">
        <is>
          <t>0</t>
        </is>
      </c>
      <c r="G56" s="14" t="inlineStr">
        <is>
          <t>NORMAL</t>
        </is>
      </c>
      <c r="H56" s="15" t="n">
        <v>69.90000000000001</v>
      </c>
      <c r="I56" s="15" t="n">
        <v>69.90000000000001</v>
      </c>
      <c r="J56" s="16" t="inlineStr">
        <is>
          <t>NÃO</t>
        </is>
      </c>
      <c r="K56" s="15" t="n"/>
      <c r="L56" s="35">
        <f>IF(K56&lt;&gt;"",K56,I56)</f>
        <v/>
      </c>
      <c r="M56" s="28" t="n"/>
      <c r="N56" s="28" t="n"/>
      <c r="O56" s="29" t="n"/>
      <c r="P56" s="80">
        <f>IF($O56="","",L56-O56-(L56*IF(L56&lt;=79.99,20%,14%)+IF(L56&lt;=79.99,4,IF(L56&lt;=99.99,16,IF(L56&lt;=199.99,20,IF(L56&lt;=499.99,26,28)))))-L56*1.3%-L56*6%-(L56-O56)*9.25%-L56*3%-L56*3%-1)</f>
        <v/>
      </c>
      <c r="Q56" s="17">
        <f>IF(AND(K56&lt;&gt;"",H56&gt;0),(H56-K56)/H56,"")</f>
        <v/>
      </c>
      <c r="R56" s="14" t="inlineStr"/>
      <c r="S56" s="18" t="n"/>
      <c r="T56" s="18" t="n"/>
      <c r="U56" s="14" t="inlineStr">
        <is>
          <t>100942</t>
        </is>
      </c>
      <c r="V56" t="inlineStr">
        <is>
          <t>OTOSPAN-10ML</t>
        </is>
      </c>
      <c r="W56" t="inlineStr">
        <is>
          <t>SKU idêntico na Olist · CUSTO ZERADO na Olist (conferido hoje)</t>
        </is>
      </c>
      <c r="Y56" t="inlineStr">
        <is>
          <t>ok</t>
        </is>
      </c>
    </row>
    <row r="57" ht="15" customFormat="1" customHeight="1" s="14">
      <c r="A57" s="19" t="inlineStr">
        <is>
          <t>Espaço De Bicho</t>
        </is>
      </c>
      <c r="B57" s="19" t="inlineStr">
        <is>
          <t>Gelo Artificial Reciclavél 1l</t>
        </is>
      </c>
      <c r="C57" s="19" t="inlineStr">
        <is>
          <t>Sem variação</t>
        </is>
      </c>
      <c r="D57" s="19" t="inlineStr">
        <is>
          <t>0088</t>
        </is>
      </c>
      <c r="E57" s="19" t="inlineStr">
        <is>
          <t>51564773679</t>
        </is>
      </c>
      <c r="F57" s="19" t="inlineStr">
        <is>
          <t>0</t>
        </is>
      </c>
      <c r="G57" s="19" t="inlineStr">
        <is>
          <t>NORMAL</t>
        </is>
      </c>
      <c r="H57" s="20" t="n">
        <v>26</v>
      </c>
      <c r="I57" s="20" t="n">
        <v>9.9</v>
      </c>
      <c r="J57" s="21" t="inlineStr">
        <is>
          <t>SIM</t>
        </is>
      </c>
      <c r="K57" s="20" t="n">
        <v>9.9</v>
      </c>
      <c r="L57" s="35">
        <f>IF(K57&lt;&gt;"",K57,I57)</f>
        <v/>
      </c>
      <c r="M57" s="30" t="n"/>
      <c r="N57" s="30" t="n"/>
      <c r="O57" s="31" t="n">
        <v>7.02</v>
      </c>
      <c r="P57" s="80">
        <f>IF($O57="","",L57-O57-(L57*IF(L57&lt;=79.99,20%,14%)+IF(L57&lt;=79.99,4,IF(L57&lt;=99.99,16,IF(L57&lt;=199.99,20,IF(L57&lt;=499.99,26,28)))))-L57*1.3%-L57*6%-(L57-O57)*9.25%-L57*3%-L57*3%-1)</f>
        <v/>
      </c>
      <c r="Q57" s="22">
        <f>IF(AND(K57&lt;&gt;"",H57&gt;0),(H57-K57)/H57,"")</f>
        <v/>
      </c>
      <c r="R57" s="19" t="inlineStr">
        <is>
          <t>909477973245952</t>
        </is>
      </c>
      <c r="S57" s="23" t="n">
        <v>46144.38263888889</v>
      </c>
      <c r="T57" s="23" t="n">
        <v>46295.4375</v>
      </c>
      <c r="U57" s="19" t="inlineStr">
        <is>
          <t>100712</t>
        </is>
      </c>
      <c r="W57" t="inlineStr">
        <is>
          <t>custo preexistente (busca por texto) mantido</t>
        </is>
      </c>
      <c r="Y57" t="inlineStr"/>
    </row>
    <row r="58" ht="15" customFormat="1" customHeight="1" s="19">
      <c r="A58" s="19" t="inlineStr">
        <is>
          <t>Espaço De Bicho</t>
        </is>
      </c>
      <c r="B58" s="19" t="inlineStr">
        <is>
          <t>Tapete Higienico 150 unidades Espaço De Bicho  Envio Imediato</t>
        </is>
      </c>
      <c r="C58" s="19" t="inlineStr">
        <is>
          <t>Sem variação</t>
        </is>
      </c>
      <c r="D58" s="19" t="inlineStr">
        <is>
          <t>0839</t>
        </is>
      </c>
      <c r="E58" s="19" t="inlineStr">
        <is>
          <t>21172591510</t>
        </is>
      </c>
      <c r="F58" s="19" t="inlineStr">
        <is>
          <t>0</t>
        </is>
      </c>
      <c r="G58" s="19" t="inlineStr">
        <is>
          <t>NORMAL</t>
        </is>
      </c>
      <c r="H58" s="20" t="n">
        <v>246.9</v>
      </c>
      <c r="I58" s="20" t="n">
        <v>164.9</v>
      </c>
      <c r="J58" s="21" t="inlineStr">
        <is>
          <t>SIM</t>
        </is>
      </c>
      <c r="K58" s="20" t="n">
        <v>164.9</v>
      </c>
      <c r="L58" s="35">
        <f>IF(K58&lt;&gt;"",K58,I58)</f>
        <v/>
      </c>
      <c r="M58" s="81" t="n">
        <v>3</v>
      </c>
      <c r="N58" s="82" t="n">
        <v>33.1</v>
      </c>
      <c r="O58" s="80">
        <f>ROUND(M58*N58,2)</f>
        <v/>
      </c>
      <c r="P58" s="80">
        <f>IF($O58="","",L58-O58-(L58*IF(L58&lt;=79.99,20%,14%)+IF(L58&lt;=79.99,4,IF(L58&lt;=99.99,16,IF(L58&lt;=199.99,20,IF(L58&lt;=499.99,26,28)))))-L58*1.3%-L58*6%-(L58-O58)*9.25%-L58*3%-L58*3%-1)</f>
        <v/>
      </c>
      <c r="Q58" s="22">
        <f>IF(AND(K58&lt;&gt;"",H58&gt;0),(H58-K58)/H58,"")</f>
        <v/>
      </c>
      <c r="R58" s="19" t="inlineStr">
        <is>
          <t>909475783836672</t>
        </is>
      </c>
      <c r="S58" s="23" t="n">
        <v>46144.37916666667</v>
      </c>
      <c r="T58" s="23" t="n">
        <v>46295.4375</v>
      </c>
      <c r="U58" s="19" t="inlineStr">
        <is>
          <t>100926</t>
        </is>
      </c>
      <c r="V58" t="inlineStr">
        <is>
          <t>EDB60X60-50UN</t>
        </is>
      </c>
      <c r="W58" t="inlineStr">
        <is>
          <t>venda casada (219 pedidos) · custo do KIT 212445 (3× EDB60X60-50UN)</t>
        </is>
      </c>
      <c r="X58" t="n">
        <v>219</v>
      </c>
      <c r="Y58" t="inlineStr">
        <is>
          <t>ok</t>
        </is>
      </c>
    </row>
    <row r="59" ht="15" customFormat="1" customHeight="1" s="14">
      <c r="A59" s="19" t="inlineStr">
        <is>
          <t>Espaço De Bicho</t>
        </is>
      </c>
      <c r="B59" s="19" t="inlineStr">
        <is>
          <t>Tapete Higiênico Espaço De Bicho 100 unidades Envio Imediato</t>
        </is>
      </c>
      <c r="C59" s="19" t="inlineStr">
        <is>
          <t>Sem variação</t>
        </is>
      </c>
      <c r="D59" s="19" t="inlineStr">
        <is>
          <t>0838</t>
        </is>
      </c>
      <c r="E59" s="19" t="inlineStr">
        <is>
          <t>21472592049</t>
        </is>
      </c>
      <c r="F59" s="19" t="inlineStr">
        <is>
          <t>0</t>
        </is>
      </c>
      <c r="G59" s="19" t="inlineStr">
        <is>
          <t>NORMAL</t>
        </is>
      </c>
      <c r="H59" s="20" t="n">
        <v>162.9</v>
      </c>
      <c r="I59" s="20" t="n">
        <v>114.9</v>
      </c>
      <c r="J59" s="21" t="inlineStr">
        <is>
          <t>SIM</t>
        </is>
      </c>
      <c r="K59" s="20" t="n">
        <v>114.9</v>
      </c>
      <c r="L59" s="35">
        <f>IF(K59&lt;&gt;"",K59,I59)</f>
        <v/>
      </c>
      <c r="M59" s="81" t="n">
        <v>2</v>
      </c>
      <c r="N59" s="82" t="n">
        <v>33.1</v>
      </c>
      <c r="O59" s="80">
        <f>ROUND(M59*N59,2)</f>
        <v/>
      </c>
      <c r="P59" s="80">
        <f>IF($O59="","",L59-O59-(L59*IF(L59&lt;=79.99,20%,14%)+IF(L59&lt;=79.99,4,IF(L59&lt;=99.99,16,IF(L59&lt;=199.99,20,IF(L59&lt;=499.99,26,28)))))-L59*1.3%-L59*6%-(L59-O59)*9.25%-L59*3%-L59*3%-1)</f>
        <v/>
      </c>
      <c r="Q59" s="22">
        <f>IF(AND(K59&lt;&gt;"",H59&gt;0),(H59-K59)/H59,"")</f>
        <v/>
      </c>
      <c r="R59" s="19" t="inlineStr">
        <is>
          <t>909475783836672</t>
        </is>
      </c>
      <c r="S59" s="23" t="n">
        <v>46144.37916666667</v>
      </c>
      <c r="T59" s="23" t="n">
        <v>46295.4375</v>
      </c>
      <c r="U59" s="19" t="inlineStr">
        <is>
          <t>100926</t>
        </is>
      </c>
      <c r="V59" t="inlineStr">
        <is>
          <t>EDB60X60-50UN</t>
        </is>
      </c>
      <c r="W59" t="inlineStr">
        <is>
          <t>venda casada (642 pedidos) · custo do KIT 212444 (2× EDB60X60-50UN)</t>
        </is>
      </c>
      <c r="X59" t="n">
        <v>642</v>
      </c>
      <c r="Y59" t="inlineStr">
        <is>
          <t>ok</t>
        </is>
      </c>
    </row>
    <row r="60" ht="15" customFormat="1" customHeight="1" s="19">
      <c r="A60" s="14" t="inlineStr">
        <is>
          <t>Espaço De Bicho</t>
        </is>
      </c>
      <c r="B60" s="14" t="inlineStr">
        <is>
          <t>Tapete Higiênico Espaço De Bicho 100 unidades Envio Imediato Promoção</t>
        </is>
      </c>
      <c r="C60" s="14" t="inlineStr">
        <is>
          <t>Sem variação</t>
        </is>
      </c>
      <c r="D60" s="14" t="inlineStr">
        <is>
          <t>Kit 100 Un Espaço</t>
        </is>
      </c>
      <c r="E60" s="14" t="inlineStr">
        <is>
          <t>22292855878</t>
        </is>
      </c>
      <c r="F60" s="14" t="inlineStr">
        <is>
          <t>0</t>
        </is>
      </c>
      <c r="G60" s="14" t="inlineStr">
        <is>
          <t>NORMAL</t>
        </is>
      </c>
      <c r="H60" s="15" t="n">
        <v>179.9</v>
      </c>
      <c r="I60" s="15" t="n">
        <v>129.9</v>
      </c>
      <c r="J60" s="16" t="inlineStr">
        <is>
          <t>SIM</t>
        </is>
      </c>
      <c r="K60" s="15" t="n">
        <v>129.9</v>
      </c>
      <c r="L60" s="35">
        <f>IF(K60&lt;&gt;"",K60,I60)</f>
        <v/>
      </c>
      <c r="M60" s="84" t="n">
        <v>2</v>
      </c>
      <c r="N60" s="85" t="n">
        <v>33.1</v>
      </c>
      <c r="O60" s="80">
        <f>ROUND(M60*N60,2)</f>
        <v/>
      </c>
      <c r="P60" s="80">
        <f>IF($O60="","",L60-O60-(L60*IF(L60&lt;=79.99,20%,14%)+IF(L60&lt;=79.99,4,IF(L60&lt;=99.99,16,IF(L60&lt;=199.99,20,IF(L60&lt;=499.99,26,28)))))-L60*1.3%-L60*6%-(L60-O60)*9.25%-L60*3%-L60*3%-1)</f>
        <v/>
      </c>
      <c r="Q60" s="17">
        <f>IF(AND(K60&lt;&gt;"",H60&gt;0),(H60-K60)/H60,"")</f>
        <v/>
      </c>
      <c r="R60" s="14" t="inlineStr">
        <is>
          <t>909477973245952</t>
        </is>
      </c>
      <c r="S60" s="18" t="n">
        <v>46144.38263888889</v>
      </c>
      <c r="T60" s="18" t="n">
        <v>46295.4375</v>
      </c>
      <c r="U60" s="14" t="inlineStr">
        <is>
          <t>100926</t>
        </is>
      </c>
      <c r="V60" t="inlineStr">
        <is>
          <t>EDB60X60-50UN</t>
        </is>
      </c>
      <c r="W60" t="inlineStr">
        <is>
          <t>venda casada (5 pedidos) · custo do KIT 212444 (2× EDB60X60-50UN)</t>
        </is>
      </c>
      <c r="X60" t="n">
        <v>5</v>
      </c>
      <c r="Y60" t="inlineStr">
        <is>
          <t>ok</t>
        </is>
      </c>
    </row>
    <row r="61" ht="15" customFormat="1" customHeight="1" s="14">
      <c r="A61" s="14" t="inlineStr">
        <is>
          <t>Jacartta</t>
        </is>
      </c>
      <c r="B61" s="14" t="inlineStr">
        <is>
          <t>Escorredor De Louça Suspenso Aço Inoxidável Organizador Louça Preto 65cm</t>
        </is>
      </c>
      <c r="C61" s="14" t="inlineStr">
        <is>
          <t>Modelo 3</t>
        </is>
      </c>
      <c r="D61" s="14" t="inlineStr">
        <is>
          <t>214032</t>
        </is>
      </c>
      <c r="E61" s="14" t="inlineStr">
        <is>
          <t>23294523254</t>
        </is>
      </c>
      <c r="F61" s="14" t="inlineStr">
        <is>
          <t>219613010014</t>
        </is>
      </c>
      <c r="G61" s="14" t="inlineStr">
        <is>
          <t>NORMAL</t>
        </is>
      </c>
      <c r="H61" s="15" t="n">
        <v>199.9</v>
      </c>
      <c r="I61" s="15" t="n">
        <v>79.90000000000001</v>
      </c>
      <c r="J61" s="16" t="inlineStr">
        <is>
          <t>SIM</t>
        </is>
      </c>
      <c r="K61" s="15" t="n">
        <v>79.90000000000001</v>
      </c>
      <c r="L61" s="35">
        <f>IF(K61&lt;&gt;"",K61,I61)</f>
        <v/>
      </c>
      <c r="M61" s="84" t="n">
        <v>1</v>
      </c>
      <c r="N61" s="85" t="n">
        <v>50.11</v>
      </c>
      <c r="O61" s="80">
        <f>ROUND(M61*N61,2)</f>
        <v/>
      </c>
      <c r="P61" s="80">
        <f>IF($O61="","",L61-O61-(L61*IF(L61&lt;=79.99,20%,14%)+IF(L61&lt;=79.99,4,IF(L61&lt;=99.99,16,IF(L61&lt;=199.99,20,IF(L61&lt;=499.99,26,28)))))-L61*1.3%-L61*6%-(L61-O61)*9.25%-L61*3%-L61*3%-1)</f>
        <v/>
      </c>
      <c r="Q61" s="17">
        <f>IF(AND(K61&lt;&gt;"",H61&gt;0),(H61-K61)/H61,"")</f>
        <v/>
      </c>
      <c r="R61" s="14" t="inlineStr">
        <is>
          <t>478386871025791</t>
        </is>
      </c>
      <c r="S61" s="18" t="n">
        <v>46209.64583333334</v>
      </c>
      <c r="T61" s="18" t="n">
        <v>46326.99930555555</v>
      </c>
      <c r="U61" s="14" t="inlineStr">
        <is>
          <t>101224</t>
        </is>
      </c>
      <c r="V61" t="inlineStr">
        <is>
          <t>214032</t>
        </is>
      </c>
      <c r="W61" t="inlineStr">
        <is>
          <t>venda casada (15 pedidos)</t>
        </is>
      </c>
      <c r="X61" t="n">
        <v>15</v>
      </c>
      <c r="Y61" t="inlineStr">
        <is>
          <t>ok</t>
        </is>
      </c>
    </row>
    <row r="62" ht="15" customFormat="1" customHeight="1" s="19">
      <c r="A62" s="19" t="inlineStr">
        <is>
          <t>Espaço De Bicho</t>
        </is>
      </c>
      <c r="B62" s="19" t="inlineStr">
        <is>
          <t>Tapete Higiênico Espaço De Bicho P/ Cães E Gatos 60x60 Com 80 Unidades</t>
        </is>
      </c>
      <c r="C62" s="19" t="inlineStr">
        <is>
          <t>Sem variação</t>
        </is>
      </c>
      <c r="D62" s="19" t="inlineStr">
        <is>
          <t>0835</t>
        </is>
      </c>
      <c r="E62" s="19" t="inlineStr">
        <is>
          <t>21772563384</t>
        </is>
      </c>
      <c r="F62" s="19" t="inlineStr">
        <is>
          <t>0</t>
        </is>
      </c>
      <c r="G62" s="19" t="inlineStr">
        <is>
          <t>NORMAL</t>
        </is>
      </c>
      <c r="H62" s="20" t="n">
        <v>130.9</v>
      </c>
      <c r="I62" s="20" t="n">
        <v>79.90000000000001</v>
      </c>
      <c r="J62" s="21" t="inlineStr">
        <is>
          <t>SIM</t>
        </is>
      </c>
      <c r="K62" s="20" t="n">
        <v>79.90000000000001</v>
      </c>
      <c r="L62" s="35">
        <f>IF(K62&lt;&gt;"",K62,I62)</f>
        <v/>
      </c>
      <c r="M62" s="81" t="n">
        <v>1</v>
      </c>
      <c r="N62" s="82" t="n">
        <v>19.58</v>
      </c>
      <c r="O62" s="80">
        <f>ROUND(M62*N62,2)</f>
        <v/>
      </c>
      <c r="P62" s="80">
        <f>IF($O62="","",L62-O62-(L62*IF(L62&lt;=79.99,20%,14%)+IF(L62&lt;=79.99,4,IF(L62&lt;=99.99,16,IF(L62&lt;=199.99,20,IF(L62&lt;=499.99,26,28)))))-L62*1.3%-L62*6%-(L62-O62)*9.25%-L62*3%-L62*3%-1)</f>
        <v/>
      </c>
      <c r="Q62" s="22">
        <f>IF(AND(K62&lt;&gt;"",H62&gt;0),(H62-K62)/H62,"")</f>
        <v/>
      </c>
      <c r="R62" s="19" t="inlineStr">
        <is>
          <t>909475783836672</t>
        </is>
      </c>
      <c r="S62" s="23" t="n">
        <v>46144.37916666667</v>
      </c>
      <c r="T62" s="23" t="n">
        <v>46295.4375</v>
      </c>
      <c r="U62" s="19" t="inlineStr">
        <is>
          <t>100926</t>
        </is>
      </c>
      <c r="V62" t="inlineStr">
        <is>
          <t>212952</t>
        </is>
      </c>
      <c r="W62" t="inlineStr">
        <is>
          <t>venda casada (413 pedidos) · custo do KIT 213841 (1× 212952)</t>
        </is>
      </c>
      <c r="X62" t="n">
        <v>413</v>
      </c>
      <c r="Y62" t="inlineStr">
        <is>
          <t>ok</t>
        </is>
      </c>
    </row>
    <row r="63" ht="15" customFormat="1" customHeight="1" s="14">
      <c r="A63" s="14" t="inlineStr">
        <is>
          <t>Jacartta</t>
        </is>
      </c>
      <c r="B63" s="14" t="inlineStr">
        <is>
          <t>Cata caca saquinho coletor para Pet Ossinho</t>
        </is>
      </c>
      <c r="C63" s="14" t="inlineStr">
        <is>
          <t>Sem variação</t>
        </is>
      </c>
      <c r="D63" s="14" t="inlineStr">
        <is>
          <t>CATA-CACA</t>
        </is>
      </c>
      <c r="E63" s="14" t="inlineStr">
        <is>
          <t>22598350613</t>
        </is>
      </c>
      <c r="F63" s="14" t="inlineStr">
        <is>
          <t>0</t>
        </is>
      </c>
      <c r="G63" s="14" t="inlineStr">
        <is>
          <t>NORMAL</t>
        </is>
      </c>
      <c r="H63" s="15" t="n">
        <v>29.9</v>
      </c>
      <c r="I63" s="15" t="n">
        <v>29.9</v>
      </c>
      <c r="J63" s="16" t="inlineStr">
        <is>
          <t>NÃO</t>
        </is>
      </c>
      <c r="K63" s="15" t="n"/>
      <c r="L63" s="35">
        <f>IF(K63&lt;&gt;"",K63,I63)</f>
        <v/>
      </c>
      <c r="M63" s="28" t="n"/>
      <c r="N63" s="28" t="n"/>
      <c r="O63" s="29" t="n">
        <v>18.21</v>
      </c>
      <c r="P63" s="80">
        <f>IF($O63="","",L63-O63-(L63*IF(L63&lt;=79.99,20%,14%)+IF(L63&lt;=79.99,4,IF(L63&lt;=99.99,16,IF(L63&lt;=199.99,20,IF(L63&lt;=499.99,26,28)))))-L63*1.3%-L63*6%-(L63-O63)*9.25%-L63*3%-L63*3%-1)</f>
        <v/>
      </c>
      <c r="Q63" s="17">
        <f>IF(AND(K63&lt;&gt;"",H63&gt;0),(H63-K63)/H63,"")</f>
        <v/>
      </c>
      <c r="R63" s="14" t="inlineStr"/>
      <c r="S63" s="18" t="n"/>
      <c r="T63" s="18" t="n"/>
      <c r="U63" s="14" t="inlineStr">
        <is>
          <t>100927</t>
        </is>
      </c>
      <c r="W63" t="inlineStr">
        <is>
          <t>custo preexistente (busca por texto) mantido</t>
        </is>
      </c>
      <c r="Y63" t="inlineStr"/>
    </row>
    <row r="64" ht="15" customFormat="1" customHeight="1" s="19">
      <c r="A64" s="14" t="inlineStr">
        <is>
          <t>Jacartta</t>
        </is>
      </c>
      <c r="B64" s="14" t="inlineStr">
        <is>
          <t>Balança Corporal Transparente Quadrada Digital Até 180kg Com Vidro Temperado Premium - OliverHome</t>
        </is>
      </c>
      <c r="C64" s="14" t="inlineStr">
        <is>
          <t>Balança Bioimpedância</t>
        </is>
      </c>
      <c r="D64" s="14" t="inlineStr">
        <is>
          <t>BALANÇA-BIOIMPEDANCIA</t>
        </is>
      </c>
      <c r="E64" s="14" t="inlineStr">
        <is>
          <t>51464466694</t>
        </is>
      </c>
      <c r="F64" s="14" t="inlineStr">
        <is>
          <t>326244948679</t>
        </is>
      </c>
      <c r="G64" s="14" t="inlineStr">
        <is>
          <t>NORMAL</t>
        </is>
      </c>
      <c r="H64" s="15" t="n">
        <v>84.90000000000001</v>
      </c>
      <c r="I64" s="15" t="n">
        <v>29.9</v>
      </c>
      <c r="J64" s="16" t="inlineStr">
        <is>
          <t>SIM</t>
        </is>
      </c>
      <c r="K64" s="15" t="n">
        <v>29.9</v>
      </c>
      <c r="L64" s="35">
        <f>IF(K64&lt;&gt;"",K64,I64)</f>
        <v/>
      </c>
      <c r="M64" s="33" t="n"/>
      <c r="N64" s="28" t="n">
        <v>17.16</v>
      </c>
      <c r="O64" s="29">
        <f>N64</f>
        <v/>
      </c>
      <c r="P64" s="80">
        <f>IF($O64="","",L64-O64-(L64*IF(L64&lt;=79.99,20%,14%)+IF(L64&lt;=79.99,4,IF(L64&lt;=99.99,16,IF(L64&lt;=199.99,20,IF(L64&lt;=499.99,26,28)))))-L64*1.3%-L64*6%-(L64-O64)*9.25%-L64*3%-L64*3%-1)</f>
        <v/>
      </c>
      <c r="Q64" s="17">
        <f>IF(AND(K64&lt;&gt;"",H64&gt;0),(H64-K64)/H64,"")</f>
        <v/>
      </c>
      <c r="R64" s="14" t="inlineStr">
        <is>
          <t>478386871025791</t>
        </is>
      </c>
      <c r="S64" s="18" t="n">
        <v>46209.64583333334</v>
      </c>
      <c r="T64" s="18" t="n">
        <v>46326.99930555555</v>
      </c>
      <c r="U64" s="14" t="inlineStr">
        <is>
          <t>100122</t>
        </is>
      </c>
      <c r="V64" t="inlineStr">
        <is>
          <t>213282</t>
        </is>
      </c>
      <c r="W64" t="inlineStr">
        <is>
          <t>venda casada (3 pedidos) · QTD/custo manuais mantidos</t>
        </is>
      </c>
      <c r="X64" t="n">
        <v>3</v>
      </c>
      <c r="Y64" t="inlineStr">
        <is>
          <t>ok</t>
        </is>
      </c>
    </row>
    <row r="65" ht="15" customFormat="1" customHeight="1" s="14">
      <c r="A65" s="19" t="inlineStr">
        <is>
          <t>Espaço De Bicho</t>
        </is>
      </c>
      <c r="B65" s="19" t="inlineStr">
        <is>
          <t>Provermin Envelope - Fembendazol - 20 G</t>
        </is>
      </c>
      <c r="C65" s="19" t="inlineStr">
        <is>
          <t>Sem variação</t>
        </is>
      </c>
      <c r="D65" s="19" t="inlineStr">
        <is>
          <t>0896</t>
        </is>
      </c>
      <c r="E65" s="19" t="inlineStr">
        <is>
          <t>23614377779</t>
        </is>
      </c>
      <c r="F65" s="19" t="inlineStr">
        <is>
          <t>0</t>
        </is>
      </c>
      <c r="G65" s="19" t="inlineStr">
        <is>
          <t>NORMAL</t>
        </is>
      </c>
      <c r="H65" s="20" t="n">
        <v>15.8</v>
      </c>
      <c r="I65" s="20" t="n">
        <v>7.99</v>
      </c>
      <c r="J65" s="21" t="inlineStr">
        <is>
          <t>SIM</t>
        </is>
      </c>
      <c r="K65" s="20" t="n">
        <v>7.99</v>
      </c>
      <c r="L65" s="35">
        <f>IF(K65&lt;&gt;"",K65,I65)</f>
        <v/>
      </c>
      <c r="M65" s="81" t="n">
        <v>1</v>
      </c>
      <c r="N65" s="82" t="n">
        <v>3.11</v>
      </c>
      <c r="O65" s="83">
        <f>ROUND(M65*N65,2)</f>
        <v/>
      </c>
      <c r="P65" s="80">
        <f>IF($O65="","",L65-O65-(L65*IF(L65&lt;=79.99,20%,14%)+IF(L65&lt;=79.99,4,IF(L65&lt;=99.99,16,IF(L65&lt;=199.99,20,IF(L65&lt;=499.99,26,28)))))-L65*1.3%-L65*6%-(L65-O65)*9.25%-L65*3%-L65*3%-1)</f>
        <v/>
      </c>
      <c r="Q65" s="22">
        <f>IF(AND(K65&lt;&gt;"",H65&gt;0),(H65-K65)/H65,"")</f>
        <v/>
      </c>
      <c r="R65" s="19" t="inlineStr">
        <is>
          <t>909477973245952</t>
        </is>
      </c>
      <c r="S65" s="23" t="n">
        <v>46144.38263888889</v>
      </c>
      <c r="T65" s="23" t="n">
        <v>46295.4375</v>
      </c>
      <c r="U65" s="19" t="inlineStr">
        <is>
          <t>100944</t>
        </is>
      </c>
      <c r="V65" t="inlineStr">
        <is>
          <t>213139</t>
        </is>
      </c>
      <c r="W65" t="inlineStr">
        <is>
          <t>venda casada (10 pedidos)</t>
        </is>
      </c>
      <c r="X65" t="n">
        <v>10</v>
      </c>
      <c r="Y65" t="inlineStr">
        <is>
          <t>ok</t>
        </is>
      </c>
    </row>
    <row r="66" ht="15" customFormat="1" customHeight="1" s="19">
      <c r="A66" s="19" t="inlineStr">
        <is>
          <t>Espaço De Bicho</t>
        </is>
      </c>
      <c r="B66" s="19" t="inlineStr">
        <is>
          <t>Tapete Higiênico Espaço De Bicho Shopito Oficial 100 Unidades Envio Imediato</t>
        </is>
      </c>
      <c r="C66" s="19" t="inlineStr">
        <is>
          <t>Sem variação</t>
        </is>
      </c>
      <c r="D66" s="19" t="inlineStr">
        <is>
          <t>701</t>
        </is>
      </c>
      <c r="E66" s="19" t="inlineStr">
        <is>
          <t>22392897805</t>
        </is>
      </c>
      <c r="F66" s="19" t="inlineStr">
        <is>
          <t>0</t>
        </is>
      </c>
      <c r="G66" s="19" t="inlineStr">
        <is>
          <t>NORMAL</t>
        </is>
      </c>
      <c r="H66" s="20" t="n">
        <v>189.9</v>
      </c>
      <c r="I66" s="20" t="n">
        <v>118.9</v>
      </c>
      <c r="J66" s="21" t="inlineStr">
        <is>
          <t>SIM</t>
        </is>
      </c>
      <c r="K66" s="20" t="n">
        <v>118.9</v>
      </c>
      <c r="L66" s="35">
        <f>IF(K66&lt;&gt;"",K66,I66)</f>
        <v/>
      </c>
      <c r="M66" s="81" t="n">
        <v>2</v>
      </c>
      <c r="N66" s="82" t="n">
        <v>32.79</v>
      </c>
      <c r="O66" s="80">
        <f>ROUND(M66*N66,2)</f>
        <v/>
      </c>
      <c r="P66" s="80">
        <f>IF($O66="","",L66-O66-(L66*IF(L66&lt;=79.99,20%,14%)+IF(L66&lt;=79.99,4,IF(L66&lt;=99.99,16,IF(L66&lt;=199.99,20,IF(L66&lt;=499.99,26,28)))))-L66*1.3%-L66*6%-(L66-O66)*9.25%-L66*3%-L66*3%-1)</f>
        <v/>
      </c>
      <c r="Q66" s="22">
        <f>IF(AND(K66&lt;&gt;"",H66&gt;0),(H66-K66)/H66,"")</f>
        <v/>
      </c>
      <c r="R66" s="19" t="inlineStr">
        <is>
          <t>909474743648256</t>
        </is>
      </c>
      <c r="S66" s="23" t="n">
        <v>46144.37777777778</v>
      </c>
      <c r="T66" s="23" t="n">
        <v>46295.97916666666</v>
      </c>
      <c r="U66" s="19" t="inlineStr">
        <is>
          <t>100926</t>
        </is>
      </c>
      <c r="V66" t="inlineStr">
        <is>
          <t>212955</t>
        </is>
      </c>
      <c r="W66" t="inlineStr">
        <is>
          <t>venda casada (310 pedidos) · custo do KIT 213814 (2× 212955)</t>
        </is>
      </c>
      <c r="X66" t="n">
        <v>310</v>
      </c>
      <c r="Y66" t="inlineStr">
        <is>
          <t>ok</t>
        </is>
      </c>
    </row>
    <row r="67" ht="15" customFormat="1" customHeight="1" s="14">
      <c r="A67" s="19" t="inlineStr">
        <is>
          <t>Espaço De Bicho</t>
        </is>
      </c>
      <c r="B67" s="19" t="inlineStr">
        <is>
          <t>Tapete Higienico Espaço De Bicho Shopito Oficial 200 Unidades Envio Imediato</t>
        </is>
      </c>
      <c r="C67" s="19" t="inlineStr">
        <is>
          <t>Sem variação</t>
        </is>
      </c>
      <c r="D67" s="19" t="inlineStr">
        <is>
          <t>KIT200-TAPETE-SHOPITOO</t>
        </is>
      </c>
      <c r="E67" s="19" t="inlineStr">
        <is>
          <t>22792893401</t>
        </is>
      </c>
      <c r="F67" s="19" t="inlineStr">
        <is>
          <t>0</t>
        </is>
      </c>
      <c r="G67" s="19" t="inlineStr">
        <is>
          <t>NORMAL</t>
        </is>
      </c>
      <c r="H67" s="20" t="n">
        <v>359.9</v>
      </c>
      <c r="I67" s="20" t="n">
        <v>224.9</v>
      </c>
      <c r="J67" s="21" t="inlineStr">
        <is>
          <t>SIM</t>
        </is>
      </c>
      <c r="K67" s="20" t="n">
        <v>224.9</v>
      </c>
      <c r="L67" s="35">
        <f>IF(K67&lt;&gt;"",K67,I67)</f>
        <v/>
      </c>
      <c r="M67" s="81" t="n">
        <v>4</v>
      </c>
      <c r="N67" s="82" t="n">
        <v>32.79</v>
      </c>
      <c r="O67" s="80">
        <f>ROUND(M67*N67,2)</f>
        <v/>
      </c>
      <c r="P67" s="80">
        <f>IF($O67="","",L67-O67-(L67*IF(L67&lt;=79.99,20%,14%)+IF(L67&lt;=79.99,4,IF(L67&lt;=99.99,16,IF(L67&lt;=199.99,20,IF(L67&lt;=499.99,26,28)))))-L67*1.3%-L67*6%-(L67-O67)*9.25%-L67*3%-L67*3%-1)</f>
        <v/>
      </c>
      <c r="Q67" s="22">
        <f>IF(AND(K67&lt;&gt;"",H67&gt;0),(H67-K67)/H67,"")</f>
        <v/>
      </c>
      <c r="R67" s="19" t="inlineStr">
        <is>
          <t>909474743648256</t>
        </is>
      </c>
      <c r="S67" s="23" t="n">
        <v>46144.37777777778</v>
      </c>
      <c r="T67" s="23" t="n">
        <v>46295.97916666666</v>
      </c>
      <c r="U67" s="19" t="inlineStr">
        <is>
          <t>100926</t>
        </is>
      </c>
      <c r="V67" t="inlineStr">
        <is>
          <t>212955</t>
        </is>
      </c>
      <c r="W67" t="inlineStr">
        <is>
          <t>venda casada (288 pedidos) · custo do KIT 212450 (4× 212955)</t>
        </is>
      </c>
      <c r="X67" t="n">
        <v>288</v>
      </c>
      <c r="Y67" t="inlineStr">
        <is>
          <t>ok</t>
        </is>
      </c>
    </row>
    <row r="68" ht="15" customFormat="1" customHeight="1" s="19">
      <c r="A68" s="14" t="inlineStr">
        <is>
          <t>Espaço De Bicho</t>
        </is>
      </c>
      <c r="B68" s="14" t="inlineStr">
        <is>
          <t>Tapete Higienico Espaço De Bicho Shopito Oficial 50 Unidades Envio Imediato</t>
        </is>
      </c>
      <c r="C68" s="14" t="inlineStr">
        <is>
          <t>Sem variação</t>
        </is>
      </c>
      <c r="D68" s="14" t="inlineStr">
        <is>
          <t>704</t>
        </is>
      </c>
      <c r="E68" s="14" t="inlineStr">
        <is>
          <t>19799215321</t>
        </is>
      </c>
      <c r="F68" s="14" t="inlineStr">
        <is>
          <t>0</t>
        </is>
      </c>
      <c r="G68" s="14" t="inlineStr">
        <is>
          <t>NORMAL</t>
        </is>
      </c>
      <c r="H68" s="15" t="n">
        <v>89.90000000000001</v>
      </c>
      <c r="I68" s="15" t="n">
        <v>61.9</v>
      </c>
      <c r="J68" s="16" t="inlineStr">
        <is>
          <t>SIM</t>
        </is>
      </c>
      <c r="K68" s="15" t="n">
        <v>61.9</v>
      </c>
      <c r="L68" s="35">
        <f>IF(K68&lt;&gt;"",K68,I68)</f>
        <v/>
      </c>
      <c r="M68" s="84" t="n">
        <v>1</v>
      </c>
      <c r="N68" s="85" t="n">
        <v>32.79</v>
      </c>
      <c r="O68" s="80">
        <f>ROUND(M68*N68,2)</f>
        <v/>
      </c>
      <c r="P68" s="80">
        <f>IF($O68="","",L68-O68-(L68*IF(L68&lt;=79.99,20%,14%)+IF(L68&lt;=79.99,4,IF(L68&lt;=99.99,16,IF(L68&lt;=199.99,20,IF(L68&lt;=499.99,26,28)))))-L68*1.3%-L68*6%-(L68-O68)*9.25%-L68*3%-L68*3%-1)</f>
        <v/>
      </c>
      <c r="Q68" s="17">
        <f>IF(AND(K68&lt;&gt;"",H68&gt;0),(H68-K68)/H68,"")</f>
        <v/>
      </c>
      <c r="R68" s="14" t="inlineStr">
        <is>
          <t>909474743648256</t>
        </is>
      </c>
      <c r="S68" s="18" t="n">
        <v>46144.37777777778</v>
      </c>
      <c r="T68" s="18" t="n">
        <v>46295.97916666666</v>
      </c>
      <c r="U68" s="14" t="inlineStr">
        <is>
          <t>100926</t>
        </is>
      </c>
      <c r="V68" t="inlineStr">
        <is>
          <t>212955</t>
        </is>
      </c>
      <c r="W68" t="inlineStr">
        <is>
          <t>venda casada (75 pedidos) · custo do KIT 213813 (1× 212955)</t>
        </is>
      </c>
      <c r="X68" t="n">
        <v>75</v>
      </c>
      <c r="Y68" t="inlineStr">
        <is>
          <t>ok</t>
        </is>
      </c>
    </row>
    <row r="69" ht="15" customFormat="1" customHeight="1" s="14">
      <c r="A69" s="19" t="inlineStr">
        <is>
          <t>Jacartta</t>
        </is>
      </c>
      <c r="B69" s="19" t="inlineStr">
        <is>
          <t>Escorredor De Louça Suspenso Aço Inoxidável Organizador Louça Preto 65cm</t>
        </is>
      </c>
      <c r="C69" s="19" t="inlineStr">
        <is>
          <t>Modelo 2</t>
        </is>
      </c>
      <c r="D69" s="19" t="inlineStr">
        <is>
          <t>214031</t>
        </is>
      </c>
      <c r="E69" s="19" t="inlineStr">
        <is>
          <t>23294523254</t>
        </is>
      </c>
      <c r="F69" s="19" t="inlineStr">
        <is>
          <t>219613010013</t>
        </is>
      </c>
      <c r="G69" s="19" t="inlineStr">
        <is>
          <t>NORMAL</t>
        </is>
      </c>
      <c r="H69" s="20" t="n">
        <v>199.9</v>
      </c>
      <c r="I69" s="20" t="n">
        <v>79.90000000000001</v>
      </c>
      <c r="J69" s="21" t="inlineStr">
        <is>
          <t>SIM</t>
        </is>
      </c>
      <c r="K69" s="20" t="n">
        <v>79.90000000000001</v>
      </c>
      <c r="L69" s="35">
        <f>IF(K69&lt;&gt;"",K69,I69)</f>
        <v/>
      </c>
      <c r="M69" s="81" t="n">
        <v>1</v>
      </c>
      <c r="N69" s="82" t="n">
        <v>48.6</v>
      </c>
      <c r="O69" s="83">
        <f>ROUND(M69*N69,2)</f>
        <v/>
      </c>
      <c r="P69" s="80">
        <f>IF($O69="","",L69-O69-(L69*IF(L69&lt;=79.99,20%,14%)+IF(L69&lt;=79.99,4,IF(L69&lt;=99.99,16,IF(L69&lt;=199.99,20,IF(L69&lt;=499.99,26,28)))))-L69*1.3%-L69*6%-(L69-O69)*9.25%-L69*3%-L69*3%-1)</f>
        <v/>
      </c>
      <c r="Q69" s="22">
        <f>IF(AND(K69&lt;&gt;"",H69&gt;0),(H69-K69)/H69,"")</f>
        <v/>
      </c>
      <c r="R69" s="19" t="inlineStr">
        <is>
          <t>478386871025791</t>
        </is>
      </c>
      <c r="S69" s="23" t="n">
        <v>46209.64583333334</v>
      </c>
      <c r="T69" s="23" t="n">
        <v>46326.99930555555</v>
      </c>
      <c r="U69" s="19" t="inlineStr">
        <is>
          <t>101224</t>
        </is>
      </c>
      <c r="V69" t="inlineStr">
        <is>
          <t>214031</t>
        </is>
      </c>
      <c r="W69" t="inlineStr">
        <is>
          <t>venda casada (50 pedidos)</t>
        </is>
      </c>
      <c r="X69" t="n">
        <v>50</v>
      </c>
      <c r="Y69" t="inlineStr">
        <is>
          <t>ok</t>
        </is>
      </c>
    </row>
    <row r="70" ht="15" customFormat="1" customHeight="1" s="19">
      <c r="A70" s="19" t="inlineStr">
        <is>
          <t>Espaço De Bicho</t>
        </is>
      </c>
      <c r="B70" s="19" t="inlineStr">
        <is>
          <t>Promoção tapetes higiênicos Espaço De Bicho Lavanda 80x60 - com 60 unidades</t>
        </is>
      </c>
      <c r="C70" s="19" t="inlineStr">
        <is>
          <t>Sem variação</t>
        </is>
      </c>
      <c r="D70" s="19" t="inlineStr">
        <is>
          <t>KIT60-EDB-LAVANDA</t>
        </is>
      </c>
      <c r="E70" s="19" t="inlineStr">
        <is>
          <t>23392585948</t>
        </is>
      </c>
      <c r="F70" s="19" t="inlineStr">
        <is>
          <t>0</t>
        </is>
      </c>
      <c r="G70" s="19" t="inlineStr">
        <is>
          <t>NORMAL</t>
        </is>
      </c>
      <c r="H70" s="20" t="n">
        <v>139.9</v>
      </c>
      <c r="I70" s="20" t="n">
        <v>109.9</v>
      </c>
      <c r="J70" s="21" t="inlineStr">
        <is>
          <t>SIM</t>
        </is>
      </c>
      <c r="K70" s="20" t="n">
        <v>109.9</v>
      </c>
      <c r="L70" s="35">
        <f>IF(K70&lt;&gt;"",K70,I70)</f>
        <v/>
      </c>
      <c r="M70" s="81" t="n">
        <v>2</v>
      </c>
      <c r="N70" s="82" t="n">
        <v>30.99</v>
      </c>
      <c r="O70" s="83">
        <f>ROUND(M70*N70,2)</f>
        <v/>
      </c>
      <c r="P70" s="80">
        <f>IF($O70="","",L70-O70-(L70*IF(L70&lt;=79.99,20%,14%)+IF(L70&lt;=79.99,4,IF(L70&lt;=99.99,16,IF(L70&lt;=199.99,20,IF(L70&lt;=499.99,26,28)))))-L70*1.3%-L70*6%-(L70-O70)*9.25%-L70*3%-L70*3%-1)</f>
        <v/>
      </c>
      <c r="Q70" s="22">
        <f>IF(AND(K70&lt;&gt;"",H70&gt;0),(H70-K70)/H70,"")</f>
        <v/>
      </c>
      <c r="R70" s="19" t="inlineStr">
        <is>
          <t>909475783836672</t>
        </is>
      </c>
      <c r="S70" s="23" t="n">
        <v>46144.37916666667</v>
      </c>
      <c r="T70" s="23" t="n">
        <v>46295.4375</v>
      </c>
      <c r="U70" s="19" t="inlineStr">
        <is>
          <t>100926</t>
        </is>
      </c>
      <c r="V70" t="inlineStr">
        <is>
          <t>212965</t>
        </is>
      </c>
      <c r="W70" t="inlineStr">
        <is>
          <t>venda casada (1424 pedidos) · custo do KIT 212460 (2× 212965)</t>
        </is>
      </c>
      <c r="X70" t="n">
        <v>1424</v>
      </c>
      <c r="Y70" t="inlineStr">
        <is>
          <t>ok</t>
        </is>
      </c>
    </row>
    <row r="71" ht="15" customFormat="1" customHeight="1" s="14">
      <c r="A71" s="19" t="inlineStr">
        <is>
          <t>Espaço De Bicho</t>
        </is>
      </c>
      <c r="B71" s="19" t="inlineStr">
        <is>
          <t>Tapete Higiênico Fralda Cachorro Pet Good Pad 60x60 30un</t>
        </is>
      </c>
      <c r="C71" s="19" t="inlineStr">
        <is>
          <t>Sem variação</t>
        </is>
      </c>
      <c r="D71" s="19" t="inlineStr">
        <is>
          <t>0770</t>
        </is>
      </c>
      <c r="E71" s="19" t="inlineStr">
        <is>
          <t>20535109638</t>
        </is>
      </c>
      <c r="F71" s="19" t="inlineStr">
        <is>
          <t>0</t>
        </is>
      </c>
      <c r="G71" s="19" t="inlineStr">
        <is>
          <t>NORMAL</t>
        </is>
      </c>
      <c r="H71" s="20" t="n">
        <v>79.90000000000001</v>
      </c>
      <c r="I71" s="20" t="n">
        <v>41.9</v>
      </c>
      <c r="J71" s="21" t="inlineStr">
        <is>
          <t>SIM</t>
        </is>
      </c>
      <c r="K71" s="20" t="n">
        <v>41.9</v>
      </c>
      <c r="L71" s="35">
        <f>IF(K71&lt;&gt;"",K71,I71)</f>
        <v/>
      </c>
      <c r="M71" s="81" t="n">
        <v>1</v>
      </c>
      <c r="N71" s="82" t="n">
        <v>26.19</v>
      </c>
      <c r="O71" s="80">
        <f>ROUND(M71*N71,2)</f>
        <v/>
      </c>
      <c r="P71" s="80">
        <f>IF($O71="","",L71-O71-(L71*IF(L71&lt;=79.99,20%,14%)+IF(L71&lt;=79.99,4,IF(L71&lt;=99.99,16,IF(L71&lt;=199.99,20,IF(L71&lt;=499.99,26,28)))))-L71*1.3%-L71*6%-(L71-O71)*9.25%-L71*3%-L71*3%-1)</f>
        <v/>
      </c>
      <c r="Q71" s="22">
        <f>IF(AND(K71&lt;&gt;"",H71&gt;0),(H71-K71)/H71,"")</f>
        <v/>
      </c>
      <c r="R71" s="19" t="inlineStr">
        <is>
          <t>909476899504128</t>
        </is>
      </c>
      <c r="S71" s="23" t="n">
        <v>46144.38125</v>
      </c>
      <c r="T71" s="23" t="n">
        <v>46295.4375</v>
      </c>
      <c r="U71" s="19" t="inlineStr">
        <is>
          <t>100926</t>
        </is>
      </c>
      <c r="V71" t="inlineStr">
        <is>
          <t>212959</t>
        </is>
      </c>
      <c r="W71" t="inlineStr">
        <is>
          <t>venda casada (1 pedido) · custo do KIT 213822 (1× 212959)</t>
        </is>
      </c>
      <c r="X71" t="n">
        <v>1</v>
      </c>
      <c r="Y71" t="inlineStr">
        <is>
          <t>⚠ MODELO: anúncio diz 60x60, Olist é 80x60 · evidência fraca (1 pedido)</t>
        </is>
      </c>
    </row>
    <row r="72" ht="15" customFormat="1" customHeight="1" s="19">
      <c r="A72" s="14" t="inlineStr">
        <is>
          <t>Espaço De Bicho</t>
        </is>
      </c>
      <c r="B72" s="14" t="inlineStr">
        <is>
          <t>Tapete Higiênico Good Pad com 30 unidades 80x60</t>
        </is>
      </c>
      <c r="C72" s="14" t="inlineStr">
        <is>
          <t>Sem variação</t>
        </is>
      </c>
      <c r="D72" s="14" t="inlineStr">
        <is>
          <t>0796</t>
        </is>
      </c>
      <c r="E72" s="14" t="inlineStr">
        <is>
          <t>18159169069</t>
        </is>
      </c>
      <c r="F72" s="14" t="inlineStr">
        <is>
          <t>0</t>
        </is>
      </c>
      <c r="G72" s="14" t="inlineStr">
        <is>
          <t>NORMAL</t>
        </is>
      </c>
      <c r="H72" s="15" t="n">
        <v>109.9</v>
      </c>
      <c r="I72" s="15" t="n">
        <v>46.9</v>
      </c>
      <c r="J72" s="16" t="inlineStr">
        <is>
          <t>SIM</t>
        </is>
      </c>
      <c r="K72" s="15" t="n">
        <v>46.9</v>
      </c>
      <c r="L72" s="35">
        <f>IF(K72&lt;&gt;"",K72,I72)</f>
        <v/>
      </c>
      <c r="M72" s="84" t="n">
        <v>1</v>
      </c>
      <c r="N72" s="85" t="n">
        <v>26.19</v>
      </c>
      <c r="O72" s="80">
        <f>ROUND(M72*N72,2)</f>
        <v/>
      </c>
      <c r="P72" s="80">
        <f>IF($O72="","",L72-O72-(L72*IF(L72&lt;=79.99,20%,14%)+IF(L72&lt;=79.99,4,IF(L72&lt;=99.99,16,IF(L72&lt;=199.99,20,IF(L72&lt;=499.99,26,28)))))-L72*1.3%-L72*6%-(L72-O72)*9.25%-L72*3%-L72*3%-1)</f>
        <v/>
      </c>
      <c r="Q72" s="17">
        <f>IF(AND(K72&lt;&gt;"",H72&gt;0),(H72-K72)/H72,"")</f>
        <v/>
      </c>
      <c r="R72" s="14" t="inlineStr">
        <is>
          <t>909476899504128</t>
        </is>
      </c>
      <c r="S72" s="18" t="n">
        <v>46144.38125</v>
      </c>
      <c r="T72" s="18" t="n">
        <v>46295.4375</v>
      </c>
      <c r="U72" s="14" t="inlineStr">
        <is>
          <t>101681</t>
        </is>
      </c>
      <c r="V72" t="inlineStr">
        <is>
          <t>212959</t>
        </is>
      </c>
      <c r="W72" t="inlineStr">
        <is>
          <t>venda casada (18 pedidos) · custo do KIT 213822 (1× 212959)</t>
        </is>
      </c>
      <c r="X72" t="n">
        <v>18</v>
      </c>
      <c r="Y72" t="inlineStr">
        <is>
          <t>ok</t>
        </is>
      </c>
    </row>
    <row r="73" ht="15" customFormat="1" customHeight="1" s="14">
      <c r="A73" s="14" t="inlineStr">
        <is>
          <t>Espaço De Bicho</t>
        </is>
      </c>
      <c r="B73" s="14" t="inlineStr">
        <is>
          <t>Tapete Higienico Good Pad P/ Cães E Gatos 60x60 Com 30</t>
        </is>
      </c>
      <c r="C73" s="14" t="inlineStr">
        <is>
          <t>Sem variação</t>
        </is>
      </c>
      <c r="D73" s="14" t="inlineStr">
        <is>
          <t>0770</t>
        </is>
      </c>
      <c r="E73" s="14" t="inlineStr">
        <is>
          <t>18233619235</t>
        </is>
      </c>
      <c r="F73" s="14" t="inlineStr">
        <is>
          <t>0</t>
        </is>
      </c>
      <c r="G73" s="14" t="inlineStr">
        <is>
          <t>NORMAL</t>
        </is>
      </c>
      <c r="H73" s="15" t="n">
        <v>79.90000000000001</v>
      </c>
      <c r="I73" s="15" t="n">
        <v>41.9</v>
      </c>
      <c r="J73" s="16" t="inlineStr">
        <is>
          <t>SIM</t>
        </is>
      </c>
      <c r="K73" s="15" t="n">
        <v>41.9</v>
      </c>
      <c r="L73" s="35">
        <f>IF(K73&lt;&gt;"",K73,I73)</f>
        <v/>
      </c>
      <c r="M73" s="84" t="n">
        <v>1</v>
      </c>
      <c r="N73" s="85" t="n">
        <v>18.75</v>
      </c>
      <c r="O73" s="80">
        <f>ROUND(M73*N73,2)</f>
        <v/>
      </c>
      <c r="P73" s="80">
        <f>IF($O73="","",L73-O73-(L73*IF(L73&lt;=79.99,20%,14%)+IF(L73&lt;=79.99,4,IF(L73&lt;=99.99,16,IF(L73&lt;=199.99,20,IF(L73&lt;=499.99,26,28)))))-L73*1.3%-L73*6%-(L73-O73)*9.25%-L73*3%-L73*3%-1)</f>
        <v/>
      </c>
      <c r="Q73" s="17">
        <f>IF(AND(K73&lt;&gt;"",H73&gt;0),(H73-K73)/H73,"")</f>
        <v/>
      </c>
      <c r="R73" s="14" t="inlineStr">
        <is>
          <t>909476899504128</t>
        </is>
      </c>
      <c r="S73" s="18" t="n">
        <v>46144.38125</v>
      </c>
      <c r="T73" s="18" t="n">
        <v>46295.4375</v>
      </c>
      <c r="U73" s="14" t="inlineStr">
        <is>
          <t>100924</t>
        </is>
      </c>
      <c r="V73" t="inlineStr">
        <is>
          <t>212960</t>
        </is>
      </c>
      <c r="W73" t="inlineStr">
        <is>
          <t>venda casada (41 pedidos) · custo do KIT 213829 (1× 212960)</t>
        </is>
      </c>
      <c r="X73" t="n">
        <v>41</v>
      </c>
      <c r="Y73" t="inlineStr">
        <is>
          <t>ok</t>
        </is>
      </c>
    </row>
    <row r="74" ht="15" customFormat="1" customHeight="1" s="19">
      <c r="A74" s="19" t="inlineStr">
        <is>
          <t>Espaço De Bicho</t>
        </is>
      </c>
      <c r="B74" s="19" t="inlineStr">
        <is>
          <t>Tapete Higiênico Para Cães Ultra Pads 60x60cm 30 un Carvão Cães e Gatos Petlike Original</t>
        </is>
      </c>
      <c r="C74" s="19" t="inlineStr">
        <is>
          <t>Sem variação</t>
        </is>
      </c>
      <c r="D74" s="19" t="inlineStr">
        <is>
          <t>689</t>
        </is>
      </c>
      <c r="E74" s="19" t="inlineStr">
        <is>
          <t>20535109134</t>
        </is>
      </c>
      <c r="F74" s="19" t="inlineStr">
        <is>
          <t>0</t>
        </is>
      </c>
      <c r="G74" s="19" t="inlineStr">
        <is>
          <t>NORMAL</t>
        </is>
      </c>
      <c r="H74" s="20" t="n">
        <v>145.8</v>
      </c>
      <c r="I74" s="20" t="n">
        <v>54.9</v>
      </c>
      <c r="J74" s="21" t="inlineStr">
        <is>
          <t>SIM</t>
        </is>
      </c>
      <c r="K74" s="20" t="n">
        <v>54.9</v>
      </c>
      <c r="L74" s="35">
        <f>IF(K74&lt;&gt;"",K74,I74)</f>
        <v/>
      </c>
      <c r="M74" s="81" t="n">
        <v>1</v>
      </c>
      <c r="N74" s="82" t="n">
        <v>23.4</v>
      </c>
      <c r="O74" s="80">
        <f>ROUND(M74*N74,2)</f>
        <v/>
      </c>
      <c r="P74" s="80">
        <f>IF($O74="","",L74-O74-(L74*IF(L74&lt;=79.99,20%,14%)+IF(L74&lt;=79.99,4,IF(L74&lt;=99.99,16,IF(L74&lt;=199.99,20,IF(L74&lt;=499.99,26,28)))))-L74*1.3%-L74*6%-(L74-O74)*9.25%-L74*3%-L74*3%-1)</f>
        <v/>
      </c>
      <c r="Q74" s="22">
        <f>IF(AND(K74&lt;&gt;"",H74&gt;0),(H74-K74)/H74,"")</f>
        <v/>
      </c>
      <c r="R74" s="19" t="inlineStr">
        <is>
          <t>909477973245952</t>
        </is>
      </c>
      <c r="S74" s="23" t="n">
        <v>46144.38263888889</v>
      </c>
      <c r="T74" s="23" t="n">
        <v>46295.4375</v>
      </c>
      <c r="U74" s="19" t="inlineStr">
        <is>
          <t>100924</t>
        </is>
      </c>
      <c r="V74" t="inlineStr">
        <is>
          <t>212950</t>
        </is>
      </c>
      <c r="W74" t="inlineStr">
        <is>
          <t>venda casada (16 pedidos) · custo do KIT 213854 (1× 212950)</t>
        </is>
      </c>
      <c r="X74" t="n">
        <v>16</v>
      </c>
      <c r="Y74" t="inlineStr">
        <is>
          <t>ok</t>
        </is>
      </c>
    </row>
    <row r="75" ht="15" customFormat="1" customHeight="1" s="14">
      <c r="A75" s="14" t="inlineStr">
        <is>
          <t>Espaço De Bicho</t>
        </is>
      </c>
      <c r="B75" s="14" t="inlineStr">
        <is>
          <t>Tapete Higienico Pet Good Pads 80x60 com com 60 Unidades</t>
        </is>
      </c>
      <c r="C75" s="14" t="inlineStr">
        <is>
          <t>Sem variação</t>
        </is>
      </c>
      <c r="D75" s="14" t="inlineStr">
        <is>
          <t>0793</t>
        </is>
      </c>
      <c r="E75" s="14" t="inlineStr">
        <is>
          <t>18159160182</t>
        </is>
      </c>
      <c r="F75" s="14" t="inlineStr">
        <is>
          <t>0</t>
        </is>
      </c>
      <c r="G75" s="14" t="inlineStr">
        <is>
          <t>NORMAL</t>
        </is>
      </c>
      <c r="H75" s="15" t="n">
        <v>219.9</v>
      </c>
      <c r="I75" s="15" t="n">
        <v>114.9</v>
      </c>
      <c r="J75" s="16" t="inlineStr">
        <is>
          <t>SIM</t>
        </is>
      </c>
      <c r="K75" s="15" t="n">
        <v>114.9</v>
      </c>
      <c r="L75" s="35">
        <f>IF(K75&lt;&gt;"",K75,I75)</f>
        <v/>
      </c>
      <c r="M75" s="84" t="n">
        <v>2</v>
      </c>
      <c r="N75" s="85" t="n">
        <v>26.19</v>
      </c>
      <c r="O75" s="80">
        <f>ROUND(M75*N75,2)</f>
        <v/>
      </c>
      <c r="P75" s="80">
        <f>IF($O75="","",L75-O75-(L75*IF(L75&lt;=79.99,20%,14%)+IF(L75&lt;=79.99,4,IF(L75&lt;=99.99,16,IF(L75&lt;=199.99,20,IF(L75&lt;=499.99,26,28)))))-L75*1.3%-L75*6%-(L75-O75)*9.25%-L75*3%-L75*3%-1)</f>
        <v/>
      </c>
      <c r="Q75" s="17">
        <f>IF(AND(K75&lt;&gt;"",H75&gt;0),(H75-K75)/H75,"")</f>
        <v/>
      </c>
      <c r="R75" s="14" t="inlineStr">
        <is>
          <t>909476899504128</t>
        </is>
      </c>
      <c r="S75" s="18" t="n">
        <v>46144.38125</v>
      </c>
      <c r="T75" s="18" t="n">
        <v>46295.4375</v>
      </c>
      <c r="U75" s="14" t="inlineStr">
        <is>
          <t>100926</t>
        </is>
      </c>
      <c r="V75" t="inlineStr">
        <is>
          <t>212959</t>
        </is>
      </c>
      <c r="W75" t="inlineStr">
        <is>
          <t>venda casada (1 pedido) · custo do KIT 212457 (2× 212959)</t>
        </is>
      </c>
      <c r="X75" t="n">
        <v>1</v>
      </c>
      <c r="Y75" t="inlineStr">
        <is>
          <t>⚠ evidência fraca (1 pedido)</t>
        </is>
      </c>
    </row>
    <row r="76" ht="15" customFormat="1" customHeight="1" s="19">
      <c r="A76" s="19" t="inlineStr">
        <is>
          <t>Espaço De Bicho</t>
        </is>
      </c>
      <c r="B76" s="19" t="inlineStr">
        <is>
          <t>Tapete Higiênico Pet P/ Cães Ultra Espaço De Bicho Lavanda 80x60 90unid</t>
        </is>
      </c>
      <c r="C76" s="19" t="inlineStr">
        <is>
          <t>Sem variação</t>
        </is>
      </c>
      <c r="D76" s="19" t="inlineStr">
        <is>
          <t>731</t>
        </is>
      </c>
      <c r="E76" s="19" t="inlineStr">
        <is>
          <t>22397358570</t>
        </is>
      </c>
      <c r="F76" s="19" t="inlineStr">
        <is>
          <t>0</t>
        </is>
      </c>
      <c r="G76" s="19" t="inlineStr">
        <is>
          <t>NORMAL</t>
        </is>
      </c>
      <c r="H76" s="20" t="n">
        <v>229.9</v>
      </c>
      <c r="I76" s="20" t="n">
        <v>164.9</v>
      </c>
      <c r="J76" s="21" t="inlineStr">
        <is>
          <t>SIM</t>
        </is>
      </c>
      <c r="K76" s="20" t="n">
        <v>164.9</v>
      </c>
      <c r="L76" s="35">
        <f>IF(K76&lt;&gt;"",K76,I76)</f>
        <v/>
      </c>
      <c r="M76" s="81" t="n">
        <v>3</v>
      </c>
      <c r="N76" s="82" t="n">
        <v>30.99</v>
      </c>
      <c r="O76" s="80">
        <f>ROUND(M76*N76,2)</f>
        <v/>
      </c>
      <c r="P76" s="80">
        <f>IF($O76="","",L76-O76-(L76*IF(L76&lt;=79.99,20%,14%)+IF(L76&lt;=79.99,4,IF(L76&lt;=99.99,16,IF(L76&lt;=199.99,20,IF(L76&lt;=499.99,26,28)))))-L76*1.3%-L76*6%-(L76-O76)*9.25%-L76*3%-L76*3%-1)</f>
        <v/>
      </c>
      <c r="Q76" s="22">
        <f>IF(AND(K76&lt;&gt;"",H76&gt;0),(H76-K76)/H76,"")</f>
        <v/>
      </c>
      <c r="R76" s="19" t="inlineStr">
        <is>
          <t>909475783836672</t>
        </is>
      </c>
      <c r="S76" s="23" t="n">
        <v>46144.37916666667</v>
      </c>
      <c r="T76" s="23" t="n">
        <v>46295.4375</v>
      </c>
      <c r="U76" s="19" t="inlineStr">
        <is>
          <t>100926</t>
        </is>
      </c>
      <c r="V76" t="inlineStr">
        <is>
          <t>212965</t>
        </is>
      </c>
      <c r="W76" t="inlineStr">
        <is>
          <t>venda casada (26 pedidos) · custo do KIT 213801 (3× 212965)</t>
        </is>
      </c>
      <c r="X76" t="n">
        <v>26</v>
      </c>
      <c r="Y76" t="inlineStr">
        <is>
          <t>ok</t>
        </is>
      </c>
    </row>
    <row r="77" ht="15" customFormat="1" customHeight="1" s="14">
      <c r="A77" s="14" t="inlineStr">
        <is>
          <t>Espaço De Bicho</t>
        </is>
      </c>
      <c r="B77" s="14" t="inlineStr">
        <is>
          <t>Tapete Higiênico Pet P/ Cães Ultra Espaço De Bicho Lavanda 80x60 90unid</t>
        </is>
      </c>
      <c r="C77" s="14" t="inlineStr">
        <is>
          <t>Sem variação</t>
        </is>
      </c>
      <c r="D77" s="14" t="inlineStr">
        <is>
          <t>731</t>
        </is>
      </c>
      <c r="E77" s="14" t="inlineStr">
        <is>
          <t>23392585988</t>
        </is>
      </c>
      <c r="F77" s="14" t="inlineStr">
        <is>
          <t>0</t>
        </is>
      </c>
      <c r="G77" s="14" t="inlineStr">
        <is>
          <t>NORMAL</t>
        </is>
      </c>
      <c r="H77" s="15" t="n">
        <v>390</v>
      </c>
      <c r="I77" s="15" t="n">
        <v>179.9</v>
      </c>
      <c r="J77" s="16" t="inlineStr">
        <is>
          <t>SIM</t>
        </is>
      </c>
      <c r="K77" s="15" t="n">
        <v>179.9</v>
      </c>
      <c r="L77" s="35">
        <f>IF(K77&lt;&gt;"",K77,I77)</f>
        <v/>
      </c>
      <c r="M77" s="84" t="n">
        <v>3</v>
      </c>
      <c r="N77" s="85" t="n">
        <v>30.99</v>
      </c>
      <c r="O77" s="80">
        <f>ROUND(M77*N77,2)</f>
        <v/>
      </c>
      <c r="P77" s="80">
        <f>IF($O77="","",L77-O77-(L77*IF(L77&lt;=79.99,20%,14%)+IF(L77&lt;=79.99,4,IF(L77&lt;=99.99,16,IF(L77&lt;=199.99,20,IF(L77&lt;=499.99,26,28)))))-L77*1.3%-L77*6%-(L77-O77)*9.25%-L77*3%-L77*3%-1)</f>
        <v/>
      </c>
      <c r="Q77" s="17">
        <f>IF(AND(K77&lt;&gt;"",H77&gt;0),(H77-K77)/H77,"")</f>
        <v/>
      </c>
      <c r="R77" s="14" t="inlineStr">
        <is>
          <t>909475783836672</t>
        </is>
      </c>
      <c r="S77" s="18" t="n">
        <v>46144.37916666667</v>
      </c>
      <c r="T77" s="18" t="n">
        <v>46295.4375</v>
      </c>
      <c r="U77" s="14" t="inlineStr">
        <is>
          <t>100926</t>
        </is>
      </c>
      <c r="V77" t="inlineStr">
        <is>
          <t>212965</t>
        </is>
      </c>
      <c r="W77" t="inlineStr">
        <is>
          <t>venda casada (2 pedidos) · custo do KIT 213801 (3× 212965)</t>
        </is>
      </c>
      <c r="X77" t="n">
        <v>2</v>
      </c>
      <c r="Y77" t="inlineStr">
        <is>
          <t>ok</t>
        </is>
      </c>
    </row>
    <row r="78" ht="15" customFormat="1" customHeight="1" s="19">
      <c r="A78" s="19" t="inlineStr">
        <is>
          <t>Espaço De Bicho</t>
        </is>
      </c>
      <c r="B78" s="19" t="inlineStr">
        <is>
          <t>Tapete Higiênico Pet P/ Cães Ultra Pads Lavanda 80x60 90unid</t>
        </is>
      </c>
      <c r="C78" s="19" t="inlineStr">
        <is>
          <t>Sem variação</t>
        </is>
      </c>
      <c r="D78" s="19" t="inlineStr">
        <is>
          <t>0790_3</t>
        </is>
      </c>
      <c r="E78" s="19" t="inlineStr">
        <is>
          <t>21872832364</t>
        </is>
      </c>
      <c r="F78" s="19" t="inlineStr">
        <is>
          <t>0</t>
        </is>
      </c>
      <c r="G78" s="19" t="inlineStr">
        <is>
          <t>NORMAL</t>
        </is>
      </c>
      <c r="H78" s="20" t="n">
        <v>349.9</v>
      </c>
      <c r="I78" s="20" t="n">
        <v>189.9</v>
      </c>
      <c r="J78" s="21" t="inlineStr">
        <is>
          <t>SIM</t>
        </is>
      </c>
      <c r="K78" s="20" t="n">
        <v>189.9</v>
      </c>
      <c r="L78" s="35">
        <f>IF(K78&lt;&gt;"",K78,I78)</f>
        <v/>
      </c>
      <c r="M78" s="81" t="n">
        <v>3</v>
      </c>
      <c r="N78" s="82" t="n">
        <v>29.19</v>
      </c>
      <c r="O78" s="80">
        <f>ROUND(M78*N78,2)</f>
        <v/>
      </c>
      <c r="P78" s="80">
        <f>IF($O78="","",L78-O78-(L78*IF(L78&lt;=79.99,20%,14%)+IF(L78&lt;=79.99,4,IF(L78&lt;=99.99,16,IF(L78&lt;=199.99,20,IF(L78&lt;=499.99,26,28)))))-L78*1.3%-L78*6%-(L78-O78)*9.25%-L78*3%-L78*3%-1)</f>
        <v/>
      </c>
      <c r="Q78" s="22">
        <f>IF(AND(K78&lt;&gt;"",H78&gt;0),(H78-K78)/H78,"")</f>
        <v/>
      </c>
      <c r="R78" s="19" t="inlineStr">
        <is>
          <t>909476899504128</t>
        </is>
      </c>
      <c r="S78" s="23" t="n">
        <v>46144.38125</v>
      </c>
      <c r="T78" s="23" t="n">
        <v>46295.4375</v>
      </c>
      <c r="U78" s="19" t="inlineStr">
        <is>
          <t>100926</t>
        </is>
      </c>
      <c r="V78" t="inlineStr">
        <is>
          <t>212967</t>
        </is>
      </c>
      <c r="W78" t="inlineStr">
        <is>
          <t>venda casada (3 pedidos) · custo do KIT 213809 (3× 212967)</t>
        </is>
      </c>
      <c r="X78" t="n">
        <v>3</v>
      </c>
      <c r="Y78" t="inlineStr">
        <is>
          <t>ok</t>
        </is>
      </c>
    </row>
    <row r="79" ht="15" customFormat="1" customHeight="1" s="14">
      <c r="A79" s="14" t="inlineStr">
        <is>
          <t>Jacartta</t>
        </is>
      </c>
      <c r="B79" s="14" t="inlineStr">
        <is>
          <t>Kit Potes de Vidro 640ml/340ml Hermético Marmita Fit com Tampa 4 Travas</t>
        </is>
      </c>
      <c r="C79" s="14" t="inlineStr">
        <is>
          <t>10 UNIDADES,370ML</t>
        </is>
      </c>
      <c r="D79" s="14" t="inlineStr">
        <is>
          <t>KIT10-370ML-SORTIDO</t>
        </is>
      </c>
      <c r="E79" s="14" t="inlineStr">
        <is>
          <t>22299038596</t>
        </is>
      </c>
      <c r="F79" s="14" t="inlineStr">
        <is>
          <t>159549291897</t>
        </is>
      </c>
      <c r="G79" s="14" t="inlineStr">
        <is>
          <t>NORMAL</t>
        </is>
      </c>
      <c r="H79" s="15" t="n">
        <v>199.9</v>
      </c>
      <c r="I79" s="15" t="n">
        <v>77.89</v>
      </c>
      <c r="J79" s="16" t="inlineStr">
        <is>
          <t>SIM</t>
        </is>
      </c>
      <c r="K79" s="15" t="n">
        <v>77.89</v>
      </c>
      <c r="L79" s="35">
        <f>IF(K79&lt;&gt;"",K79,I79)</f>
        <v/>
      </c>
      <c r="M79" s="33" t="n">
        <v>10</v>
      </c>
      <c r="N79" s="28" t="n">
        <v>4.45</v>
      </c>
      <c r="O79" s="29">
        <f>N79*M79</f>
        <v/>
      </c>
      <c r="P79" s="80">
        <f>IF($O79="","",L79-O79-(L79*IF(L79&lt;=79.99,20%,14%)+IF(L79&lt;=79.99,4,IF(L79&lt;=99.99,16,IF(L79&lt;=199.99,20,IF(L79&lt;=499.99,26,28)))))-L79*1.3%-L79*6%-(L79-O79)*9.25%-L79*3%-L79*3%-1)</f>
        <v/>
      </c>
      <c r="Q79" s="17">
        <f>IF(AND(K79&lt;&gt;"",H79&gt;0),(H79-K79)/H79,"")</f>
        <v/>
      </c>
      <c r="R79" s="14" t="inlineStr">
        <is>
          <t>492047266168992</t>
        </is>
      </c>
      <c r="S79" s="18" t="n">
        <v>46248</v>
      </c>
      <c r="T79" s="18" t="n">
        <v>46249</v>
      </c>
      <c r="U79" s="14" t="inlineStr">
        <is>
          <t>101220</t>
        </is>
      </c>
      <c r="V79" t="inlineStr">
        <is>
          <t>213875</t>
        </is>
      </c>
      <c r="W79" t="inlineStr">
        <is>
          <t>venda casada (39 pedidos) · QTD/custo manuais mantidos · ATENÇÃO: Olist hoje diz 3.93</t>
        </is>
      </c>
      <c r="X79" t="n">
        <v>39</v>
      </c>
      <c r="Y79" t="inlineStr">
        <is>
          <t>ok</t>
        </is>
      </c>
    </row>
    <row r="80" ht="15" customFormat="1" customHeight="1" s="19">
      <c r="A80" s="14" t="inlineStr">
        <is>
          <t>Jacartta</t>
        </is>
      </c>
      <c r="B80" s="14" t="inlineStr">
        <is>
          <t>Kit 5/ kit 10 Potes de Vidro 640ml Hermético Marmita Fit com Tampa 4 Travas Oliver Home</t>
        </is>
      </c>
      <c r="C80" s="14" t="inlineStr">
        <is>
          <t>10 UNIDADES,370ML</t>
        </is>
      </c>
      <c r="D80" s="14" t="inlineStr">
        <is>
          <t>KIT-10POTES-370ML</t>
        </is>
      </c>
      <c r="E80" s="14" t="inlineStr">
        <is>
          <t>26695370644</t>
        </is>
      </c>
      <c r="F80" s="14" t="inlineStr">
        <is>
          <t>351245360245</t>
        </is>
      </c>
      <c r="G80" s="14" t="inlineStr">
        <is>
          <t>NORMAL</t>
        </is>
      </c>
      <c r="H80" s="15" t="n">
        <v>159.9</v>
      </c>
      <c r="I80" s="15" t="n">
        <v>77.90000000000001</v>
      </c>
      <c r="J80" s="16" t="inlineStr">
        <is>
          <t>SIM</t>
        </is>
      </c>
      <c r="K80" s="15" t="n">
        <v>77.90000000000001</v>
      </c>
      <c r="L80" s="35">
        <f>IF(K80&lt;&gt;"",K80,I80)</f>
        <v/>
      </c>
      <c r="M80" s="33" t="n">
        <v>10</v>
      </c>
      <c r="N80" s="28" t="n">
        <v>4.45</v>
      </c>
      <c r="O80" s="29">
        <f>N80*M80</f>
        <v/>
      </c>
      <c r="P80" s="80">
        <f>IF($O80="","",L80-O80-(L80*IF(L80&lt;=79.99,20%,14%)+IF(L80&lt;=79.99,4,IF(L80&lt;=99.99,16,IF(L80&lt;=199.99,20,IF(L80&lt;=499.99,26,28)))))-L80*1.3%-L80*6%-(L80-O80)*9.25%-L80*3%-L80*3%-1)</f>
        <v/>
      </c>
      <c r="Q80" s="17">
        <f>IF(AND(K80&lt;&gt;"",H80&gt;0),(H80-K80)/H80,"")</f>
        <v/>
      </c>
      <c r="R80" s="14" t="inlineStr">
        <is>
          <t>478386871025791</t>
        </is>
      </c>
      <c r="S80" s="18" t="n">
        <v>46209.64583333334</v>
      </c>
      <c r="T80" s="18" t="n">
        <v>46326.99930555555</v>
      </c>
      <c r="U80" s="14" t="inlineStr">
        <is>
          <t>101220</t>
        </is>
      </c>
      <c r="V80" t="inlineStr">
        <is>
          <t>213876</t>
        </is>
      </c>
      <c r="W80" t="inlineStr">
        <is>
          <t>SKU do de-para · QTD/custo manuais mantidos · ATENÇÃO: Olist hoje diz 3.93</t>
        </is>
      </c>
      <c r="X80" t="n">
        <v>1349</v>
      </c>
      <c r="Y80" t="inlineStr">
        <is>
          <t>ok</t>
        </is>
      </c>
    </row>
    <row r="81" ht="15" customFormat="1" customHeight="1" s="14">
      <c r="A81" s="14" t="inlineStr">
        <is>
          <t>Espaço De Bicho</t>
        </is>
      </c>
      <c r="B81" s="14" t="inlineStr">
        <is>
          <t>Tapetes Higiênico Para Cachorro 60x60 - Kit 100 Unidades</t>
        </is>
      </c>
      <c r="C81" s="14" t="inlineStr">
        <is>
          <t>Sem variação</t>
        </is>
      </c>
      <c r="D81" s="14" t="inlineStr">
        <is>
          <t>0771-100un</t>
        </is>
      </c>
      <c r="E81" s="14" t="inlineStr">
        <is>
          <t>20233617726</t>
        </is>
      </c>
      <c r="F81" s="14" t="inlineStr">
        <is>
          <t>0</t>
        </is>
      </c>
      <c r="G81" s="14" t="inlineStr">
        <is>
          <t>NORMAL</t>
        </is>
      </c>
      <c r="H81" s="15" t="n">
        <v>259.8</v>
      </c>
      <c r="I81" s="15" t="n">
        <v>117.9</v>
      </c>
      <c r="J81" s="16" t="inlineStr">
        <is>
          <t>SIM</t>
        </is>
      </c>
      <c r="K81" s="15" t="n">
        <v>117.9</v>
      </c>
      <c r="L81" s="35">
        <f>IF(K81&lt;&gt;"",K81,I81)</f>
        <v/>
      </c>
      <c r="M81" s="84" t="n">
        <v>2</v>
      </c>
      <c r="N81" s="85" t="n">
        <v>33.46</v>
      </c>
      <c r="O81" s="80">
        <f>ROUND(M81*N81,2)</f>
        <v/>
      </c>
      <c r="P81" s="80">
        <f>IF($O81="","",L81-O81-(L81*IF(L81&lt;=79.99,20%,14%)+IF(L81&lt;=79.99,4,IF(L81&lt;=99.99,16,IF(L81&lt;=199.99,20,IF(L81&lt;=499.99,26,28)))))-L81*1.3%-L81*6%-(L81-O81)*9.25%-L81*3%-L81*3%-1)</f>
        <v/>
      </c>
      <c r="Q81" s="17">
        <f>IF(AND(K81&lt;&gt;"",H81&gt;0),(H81-K81)/H81,"")</f>
        <v/>
      </c>
      <c r="R81" s="14" t="inlineStr">
        <is>
          <t>909476899504128</t>
        </is>
      </c>
      <c r="S81" s="18" t="n">
        <v>46144.38125</v>
      </c>
      <c r="T81" s="18" t="n">
        <v>46295.4375</v>
      </c>
      <c r="U81" s="14" t="inlineStr">
        <is>
          <t>100926</t>
        </is>
      </c>
      <c r="V81" t="inlineStr">
        <is>
          <t>212961</t>
        </is>
      </c>
      <c r="W81" t="inlineStr">
        <is>
          <t>venda casada (126 pedidos) · custo do KIT 212451 (2× 212961)</t>
        </is>
      </c>
      <c r="X81" t="n">
        <v>126</v>
      </c>
      <c r="Y81" t="inlineStr">
        <is>
          <t>ok</t>
        </is>
      </c>
    </row>
    <row r="82" ht="15" customFormat="1" customHeight="1" s="19">
      <c r="A82" s="19" t="inlineStr">
        <is>
          <t>Espaço De Bicho</t>
        </is>
      </c>
      <c r="B82" s="19" t="inlineStr">
        <is>
          <t>Tiuran 30mL - Sarnicida e Fungicida P/ Cães e Gatos</t>
        </is>
      </c>
      <c r="C82" s="19" t="inlineStr">
        <is>
          <t>Sem variação</t>
        </is>
      </c>
      <c r="D82" s="19" t="inlineStr">
        <is>
          <t>TIURAN-SOLUCAO-30ML</t>
        </is>
      </c>
      <c r="E82" s="19" t="inlineStr">
        <is>
          <t>22294647847</t>
        </is>
      </c>
      <c r="F82" s="19" t="inlineStr">
        <is>
          <t>0</t>
        </is>
      </c>
      <c r="G82" s="19" t="inlineStr">
        <is>
          <t>NORMAL</t>
        </is>
      </c>
      <c r="H82" s="20" t="n">
        <v>69.90000000000001</v>
      </c>
      <c r="I82" s="20" t="n">
        <v>20.31</v>
      </c>
      <c r="J82" s="21" t="inlineStr">
        <is>
          <t>SIM</t>
        </is>
      </c>
      <c r="K82" s="20" t="n">
        <v>20.31</v>
      </c>
      <c r="L82" s="35">
        <f>IF(K82&lt;&gt;"",K82,I82)</f>
        <v/>
      </c>
      <c r="M82" s="30" t="n"/>
      <c r="N82" s="30" t="n"/>
      <c r="O82" s="29" t="n"/>
      <c r="P82" s="80">
        <f>IF($O82="","",L82-O82-(L82*IF(L82&lt;=79.99,20%,14%)+IF(L82&lt;=79.99,4,IF(L82&lt;=99.99,16,IF(L82&lt;=199.99,20,IF(L82&lt;=499.99,26,28)))))-L82*1.3%-L82*6%-(L82-O82)*9.25%-L82*3%-L82*3%-1)</f>
        <v/>
      </c>
      <c r="Q82" s="22">
        <f>IF(AND(K82&lt;&gt;"",H82&gt;0),(H82-K82)/H82,"")</f>
        <v/>
      </c>
      <c r="R82" s="19" t="inlineStr">
        <is>
          <t>909477973245952</t>
        </is>
      </c>
      <c r="S82" s="23" t="n">
        <v>46144.38263888889</v>
      </c>
      <c r="T82" s="23" t="n">
        <v>46295.4375</v>
      </c>
      <c r="U82" s="19" t="inlineStr">
        <is>
          <t>100942</t>
        </is>
      </c>
      <c r="V82" t="inlineStr">
        <is>
          <t>TIURAN-SOLUCAO-30ML</t>
        </is>
      </c>
      <c r="W82" t="inlineStr">
        <is>
          <t>SKU idêntico na Olist · CUSTO ZERADO na Olist (conferido hoje)</t>
        </is>
      </c>
      <c r="Y82" t="inlineStr">
        <is>
          <t>ok</t>
        </is>
      </c>
    </row>
    <row r="83" ht="15" customFormat="1" customHeight="1" s="14">
      <c r="A83" s="14" t="inlineStr">
        <is>
          <t>Espaço De Bicho</t>
        </is>
      </c>
      <c r="B83" s="14" t="inlineStr">
        <is>
          <t>Tiuran Aerossol + Sabonete + Solução 30ml Sarnicida Fungicida Remédio para Sarna de Cachorro e Gato</t>
        </is>
      </c>
      <c r="C83" s="14" t="inlineStr">
        <is>
          <t>Kit 1</t>
        </is>
      </c>
      <c r="D83" s="14" t="inlineStr">
        <is>
          <t>KIT-TIURAN-1AEROSSOL-1SABONETE-1SOLUÇÃO-30ML</t>
        </is>
      </c>
      <c r="E83" s="14" t="inlineStr">
        <is>
          <t>21398316412</t>
        </is>
      </c>
      <c r="F83" s="14" t="inlineStr">
        <is>
          <t>179409556638</t>
        </is>
      </c>
      <c r="G83" s="14" t="inlineStr">
        <is>
          <t>NORMAL</t>
        </is>
      </c>
      <c r="H83" s="15" t="n">
        <v>150.9</v>
      </c>
      <c r="I83" s="15" t="n">
        <v>70.90000000000001</v>
      </c>
      <c r="J83" s="16" t="inlineStr">
        <is>
          <t>SIM</t>
        </is>
      </c>
      <c r="K83" s="15" t="n">
        <v>70.90000000000001</v>
      </c>
      <c r="L83" s="35">
        <f>IF(K83&lt;&gt;"",K83,I83)</f>
        <v/>
      </c>
      <c r="M83" s="28" t="n"/>
      <c r="N83" s="28" t="n"/>
      <c r="O83" s="29" t="n"/>
      <c r="P83" s="80">
        <f>IF($O83="","",L83-O83-(L83*IF(L83&lt;=79.99,20%,14%)+IF(L83&lt;=79.99,4,IF(L83&lt;=99.99,16,IF(L83&lt;=199.99,20,IF(L83&lt;=499.99,26,28)))))-L83*1.3%-L83*6%-(L83-O83)*9.25%-L83*3%-L83*3%-1)</f>
        <v/>
      </c>
      <c r="Q83" s="17">
        <f>IF(AND(K83&lt;&gt;"",H83&gt;0),(H83-K83)/H83,"")</f>
        <v/>
      </c>
      <c r="R83" s="14" t="inlineStr">
        <is>
          <t>909477973245952</t>
        </is>
      </c>
      <c r="S83" s="18" t="n">
        <v>46144.38263888889</v>
      </c>
      <c r="T83" s="18" t="n">
        <v>46295.4375</v>
      </c>
      <c r="U83" s="14" t="inlineStr">
        <is>
          <t>100942</t>
        </is>
      </c>
      <c r="V83" t="inlineStr">
        <is>
          <t>KIT-TIURAN-1AEROSSOL-1SABONETE-1SOLUÇÃO-30ML</t>
        </is>
      </c>
      <c r="W83" t="inlineStr">
        <is>
          <t>SKU idêntico na Olist · CUSTO ZERADO na Olist (conferido hoje)</t>
        </is>
      </c>
      <c r="Y83" t="inlineStr">
        <is>
          <t>ok</t>
        </is>
      </c>
    </row>
    <row r="84" ht="15" customFormat="1" customHeight="1" s="19">
      <c r="A84" s="14" t="inlineStr">
        <is>
          <t>Espaço De Bicho</t>
        </is>
      </c>
      <c r="B84" s="14" t="inlineStr">
        <is>
          <t>Tiuran Aerossol 125ml Contra Sarna Fungo Cães e Gatos Duprat</t>
        </is>
      </c>
      <c r="C84" s="14" t="inlineStr">
        <is>
          <t>Sem variação</t>
        </is>
      </c>
      <c r="D84" s="14" t="inlineStr">
        <is>
          <t>TIURAN-AEROSOL-125ML</t>
        </is>
      </c>
      <c r="E84" s="14" t="inlineStr">
        <is>
          <t>22894623213</t>
        </is>
      </c>
      <c r="F84" s="14" t="inlineStr">
        <is>
          <t>0</t>
        </is>
      </c>
      <c r="G84" s="14" t="inlineStr">
        <is>
          <t>NORMAL</t>
        </is>
      </c>
      <c r="H84" s="15" t="n">
        <v>99.90000000000001</v>
      </c>
      <c r="I84" s="15" t="n">
        <v>40.99</v>
      </c>
      <c r="J84" s="16" t="inlineStr">
        <is>
          <t>SIM</t>
        </is>
      </c>
      <c r="K84" s="15" t="n">
        <v>40.99</v>
      </c>
      <c r="L84" s="35">
        <f>IF(K84&lt;&gt;"",K84,I84)</f>
        <v/>
      </c>
      <c r="M84" s="84" t="n">
        <v>1</v>
      </c>
      <c r="N84" s="85" t="n">
        <v>19.5</v>
      </c>
      <c r="O84" s="80">
        <f>ROUND(M84*N84,2)</f>
        <v/>
      </c>
      <c r="P84" s="80">
        <f>IF($O84="","",L84-O84-(L84*IF(L84&lt;=79.99,20%,14%)+IF(L84&lt;=79.99,4,IF(L84&lt;=99.99,16,IF(L84&lt;=199.99,20,IF(L84&lt;=499.99,26,28)))))-L84*1.3%-L84*6%-(L84-O84)*9.25%-L84*3%-L84*3%-1)</f>
        <v/>
      </c>
      <c r="Q84" s="17">
        <f>IF(AND(K84&lt;&gt;"",H84&gt;0),(H84-K84)/H84,"")</f>
        <v/>
      </c>
      <c r="R84" s="14" t="inlineStr">
        <is>
          <t>909477973245952</t>
        </is>
      </c>
      <c r="S84" s="18" t="n">
        <v>46144.38263888889</v>
      </c>
      <c r="T84" s="18" t="n">
        <v>46295.4375</v>
      </c>
      <c r="U84" s="14" t="inlineStr">
        <is>
          <t>100942</t>
        </is>
      </c>
      <c r="V84" t="inlineStr">
        <is>
          <t>213451</t>
        </is>
      </c>
      <c r="W84" t="inlineStr">
        <is>
          <t>venda casada (1 pedido)</t>
        </is>
      </c>
      <c r="X84" t="n">
        <v>1</v>
      </c>
      <c r="Y84" t="inlineStr">
        <is>
          <t>⚠ evidência fraca (1 pedido)</t>
        </is>
      </c>
    </row>
    <row r="85" ht="15" customFormat="1" customHeight="1" s="14">
      <c r="A85" s="19" t="inlineStr">
        <is>
          <t>Espaço De Bicho</t>
        </is>
      </c>
      <c r="B85" s="19" t="inlineStr">
        <is>
          <t>Tiuran Solucao 100ml - Duprat sarnicida e fungicida</t>
        </is>
      </c>
      <c r="C85" s="19" t="inlineStr">
        <is>
          <t>Sem variação</t>
        </is>
      </c>
      <c r="D85" s="19" t="inlineStr">
        <is>
          <t>TIURAN-SOLUCAO-100 ML</t>
        </is>
      </c>
      <c r="E85" s="19" t="inlineStr">
        <is>
          <t>22994628113</t>
        </is>
      </c>
      <c r="F85" s="19" t="inlineStr">
        <is>
          <t>0</t>
        </is>
      </c>
      <c r="G85" s="19" t="inlineStr">
        <is>
          <t>NORMAL</t>
        </is>
      </c>
      <c r="H85" s="20" t="n">
        <v>79.90000000000001</v>
      </c>
      <c r="I85" s="20" t="n">
        <v>31.08</v>
      </c>
      <c r="J85" s="21" t="inlineStr">
        <is>
          <t>SIM</t>
        </is>
      </c>
      <c r="K85" s="20" t="n">
        <v>31.08</v>
      </c>
      <c r="L85" s="35">
        <f>IF(K85&lt;&gt;"",K85,I85)</f>
        <v/>
      </c>
      <c r="M85" s="81" t="n">
        <v>1</v>
      </c>
      <c r="N85" s="82" t="n">
        <v>13.8</v>
      </c>
      <c r="O85" s="80">
        <f>ROUND(M85*N85,2)</f>
        <v/>
      </c>
      <c r="P85" s="80">
        <f>IF($O85="","",L85-O85-(L85*IF(L85&lt;=79.99,20%,14%)+IF(L85&lt;=79.99,4,IF(L85&lt;=99.99,16,IF(L85&lt;=199.99,20,IF(L85&lt;=499.99,26,28)))))-L85*1.3%-L85*6%-(L85-O85)*9.25%-L85*3%-L85*3%-1)</f>
        <v/>
      </c>
      <c r="Q85" s="22">
        <f>IF(AND(K85&lt;&gt;"",H85&gt;0),(H85-K85)/H85,"")</f>
        <v/>
      </c>
      <c r="R85" s="19" t="inlineStr">
        <is>
          <t>909477973245952</t>
        </is>
      </c>
      <c r="S85" s="23" t="n">
        <v>46144.38263888889</v>
      </c>
      <c r="T85" s="23" t="n">
        <v>46295.4375</v>
      </c>
      <c r="U85" s="19" t="inlineStr">
        <is>
          <t>100942</t>
        </is>
      </c>
      <c r="V85" t="inlineStr">
        <is>
          <t>212969</t>
        </is>
      </c>
      <c r="W85" t="inlineStr">
        <is>
          <t>venda casada (1 pedido)</t>
        </is>
      </c>
      <c r="X85" t="n">
        <v>1</v>
      </c>
      <c r="Y85" t="inlineStr">
        <is>
          <t>⚠ evidência fraca (1 pedido)</t>
        </is>
      </c>
    </row>
    <row r="86" ht="15" customFormat="1" customHeight="1" s="19">
      <c r="A86" s="19" t="inlineStr">
        <is>
          <t>Espaço De Bicho</t>
        </is>
      </c>
      <c r="B86" s="19" t="inlineStr">
        <is>
          <t>Triflex Solução Otológica 100 ml – Limpeza de Ouvidos para Cães e Gatos | Duprat</t>
        </is>
      </c>
      <c r="C86" s="19" t="inlineStr">
        <is>
          <t>Sem variação</t>
        </is>
      </c>
      <c r="D86" s="19" t="inlineStr">
        <is>
          <t>TRIFLEX-100 ML</t>
        </is>
      </c>
      <c r="E86" s="19" t="inlineStr">
        <is>
          <t>23599119510</t>
        </is>
      </c>
      <c r="F86" s="19" t="inlineStr">
        <is>
          <t>0</t>
        </is>
      </c>
      <c r="G86" s="19" t="inlineStr">
        <is>
          <t>NORMAL</t>
        </is>
      </c>
      <c r="H86" s="20" t="n">
        <v>89.90000000000001</v>
      </c>
      <c r="I86" s="20" t="n">
        <v>31.95</v>
      </c>
      <c r="J86" s="21" t="inlineStr">
        <is>
          <t>SIM</t>
        </is>
      </c>
      <c r="K86" s="20" t="n">
        <v>31.95</v>
      </c>
      <c r="L86" s="35">
        <f>IF(K86&lt;&gt;"",K86,I86)</f>
        <v/>
      </c>
      <c r="M86" s="81" t="n">
        <v>1</v>
      </c>
      <c r="N86" s="82" t="n">
        <v>11.8</v>
      </c>
      <c r="O86" s="80">
        <f>ROUND(M86*N86,2)</f>
        <v/>
      </c>
      <c r="P86" s="80">
        <f>IF($O86="","",L86-O86-(L86*IF(L86&lt;=79.99,20%,14%)+IF(L86&lt;=79.99,4,IF(L86&lt;=99.99,16,IF(L86&lt;=199.99,20,IF(L86&lt;=499.99,26,28)))))-L86*1.3%-L86*6%-(L86-O86)*9.25%-L86*3%-L86*3%-1)</f>
        <v/>
      </c>
      <c r="Q86" s="22">
        <f>IF(AND(K86&lt;&gt;"",H86&gt;0),(H86-K86)/H86,"")</f>
        <v/>
      </c>
      <c r="R86" s="19" t="inlineStr">
        <is>
          <t>909477973245952</t>
        </is>
      </c>
      <c r="S86" s="23" t="n">
        <v>46144.38263888889</v>
      </c>
      <c r="T86" s="23" t="n">
        <v>46295.4375</v>
      </c>
      <c r="U86" s="19" t="inlineStr">
        <is>
          <t>100942</t>
        </is>
      </c>
      <c r="V86" t="inlineStr">
        <is>
          <t>213415</t>
        </is>
      </c>
      <c r="W86" t="inlineStr">
        <is>
          <t>venda casada (4 pedidos)</t>
        </is>
      </c>
      <c r="X86" t="n">
        <v>4</v>
      </c>
      <c r="Y86" t="inlineStr">
        <is>
          <t>ok</t>
        </is>
      </c>
    </row>
    <row r="87" ht="15" customFormat="1" customHeight="1" s="14">
      <c r="A87" s="19" t="inlineStr">
        <is>
          <t>Espaço De Bicho</t>
        </is>
      </c>
      <c r="B87" s="19" t="inlineStr">
        <is>
          <t>Vermifugo Pulga Carrapato Sarna verme Ivercanis 12mg Até 60kg (1/2 para ate 30 kilos)</t>
        </is>
      </c>
      <c r="C87" s="19" t="inlineStr">
        <is>
          <t>Sem variação</t>
        </is>
      </c>
      <c r="D87" s="19" t="inlineStr">
        <is>
          <t>IVERCANIS-12MG</t>
        </is>
      </c>
      <c r="E87" s="19" t="inlineStr">
        <is>
          <t>54864931430</t>
        </is>
      </c>
      <c r="F87" s="19" t="inlineStr">
        <is>
          <t>0</t>
        </is>
      </c>
      <c r="G87" s="19" t="inlineStr">
        <is>
          <t>NORMAL</t>
        </is>
      </c>
      <c r="H87" s="20" t="n">
        <v>59.9</v>
      </c>
      <c r="I87" s="20" t="n">
        <v>59.9</v>
      </c>
      <c r="J87" s="21" t="inlineStr">
        <is>
          <t>NÃO</t>
        </is>
      </c>
      <c r="K87" s="20" t="n"/>
      <c r="L87" s="35">
        <f>IF(K87&lt;&gt;"",K87,I87)</f>
        <v/>
      </c>
      <c r="M87" s="30" t="n"/>
      <c r="N87" s="30" t="n"/>
      <c r="O87" s="31" t="n"/>
      <c r="P87" s="80">
        <f>IF($O87="","",L87-O87-(L87*IF(L87&lt;=79.99,20%,14%)+IF(L87&lt;=79.99,4,IF(L87&lt;=99.99,16,IF(L87&lt;=199.99,20,IF(L87&lt;=499.99,26,28)))))-L87*1.3%-L87*6%-(L87-O87)*9.25%-L87*3%-L87*3%-1)</f>
        <v/>
      </c>
      <c r="Q87" s="22">
        <f>IF(AND(K87&lt;&gt;"",H87&gt;0),(H87-K87)/H87,"")</f>
        <v/>
      </c>
      <c r="R87" s="19" t="inlineStr"/>
      <c r="S87" s="23" t="n"/>
      <c r="T87" s="23" t="n"/>
      <c r="U87" s="19" t="inlineStr">
        <is>
          <t>100942</t>
        </is>
      </c>
      <c r="V87" t="inlineStr">
        <is>
          <t>IVERCANIS-12MG</t>
        </is>
      </c>
      <c r="W87" t="inlineStr">
        <is>
          <t>SKU idêntico na Olist · CUSTO ZERADO na Olist (conferido hoje)</t>
        </is>
      </c>
      <c r="Y87" t="inlineStr">
        <is>
          <t>ok</t>
        </is>
      </c>
    </row>
    <row r="88" ht="15" customFormat="1" customHeight="1" s="19">
      <c r="A88" s="14" t="inlineStr">
        <is>
          <t>Espaço De Bicho</t>
        </is>
      </c>
      <c r="B88" s="14" t="inlineStr">
        <is>
          <t>Vetoryl 10mg 30 Cápsulas Dechra Trilostano Cães</t>
        </is>
      </c>
      <c r="C88" s="14" t="inlineStr">
        <is>
          <t>30 Capsulas</t>
        </is>
      </c>
      <c r="D88" s="14" t="inlineStr">
        <is>
          <t>0076</t>
        </is>
      </c>
      <c r="E88" s="14" t="inlineStr">
        <is>
          <t>21027927360</t>
        </is>
      </c>
      <c r="F88" s="14" t="inlineStr">
        <is>
          <t>199617148563</t>
        </is>
      </c>
      <c r="G88" s="14" t="inlineStr">
        <is>
          <t>NORMAL</t>
        </is>
      </c>
      <c r="H88" s="15" t="n">
        <v>499.9</v>
      </c>
      <c r="I88" s="15" t="n">
        <v>349.9</v>
      </c>
      <c r="J88" s="16" t="inlineStr">
        <is>
          <t>SIM</t>
        </is>
      </c>
      <c r="K88" s="15" t="n">
        <v>349.9</v>
      </c>
      <c r="L88" s="35">
        <f>IF(K88&lt;&gt;"",K88,I88)</f>
        <v/>
      </c>
      <c r="M88" s="84" t="n">
        <v>1</v>
      </c>
      <c r="N88" s="85" t="n">
        <v>197.58</v>
      </c>
      <c r="O88" s="80">
        <f>ROUND(M88*N88,2)</f>
        <v/>
      </c>
      <c r="P88" s="80">
        <f>IF($O88="","",L88-O88-(L88*IF(L88&lt;=79.99,20%,14%)+IF(L88&lt;=79.99,4,IF(L88&lt;=99.99,16,IF(L88&lt;=199.99,20,IF(L88&lt;=499.99,26,28)))))-L88*1.3%-L88*6%-(L88-O88)*9.25%-L88*3%-L88*3%-1)</f>
        <v/>
      </c>
      <c r="Q88" s="17">
        <f>IF(AND(K88&lt;&gt;"",H88&gt;0),(H88-K88)/H88,"")</f>
        <v/>
      </c>
      <c r="R88" s="14" t="inlineStr">
        <is>
          <t>909477973245952</t>
        </is>
      </c>
      <c r="S88" s="18" t="n">
        <v>46144.38263888889</v>
      </c>
      <c r="T88" s="18" t="n">
        <v>46295.4375</v>
      </c>
      <c r="U88" s="14" t="inlineStr">
        <is>
          <t>100008</t>
        </is>
      </c>
      <c r="V88" t="inlineStr">
        <is>
          <t>214928</t>
        </is>
      </c>
      <c r="W88" t="inlineStr">
        <is>
          <t>venda casada (5 pedidos) · custo do KIT 214934 (1× 214928)</t>
        </is>
      </c>
      <c r="X88" t="n">
        <v>5</v>
      </c>
      <c r="Y88" t="inlineStr">
        <is>
          <t>ok</t>
        </is>
      </c>
    </row>
    <row r="89" ht="15" customFormat="1" customHeight="1" s="14">
      <c r="A89" s="14" t="inlineStr">
        <is>
          <t>Jacartta</t>
        </is>
      </c>
      <c r="B89" s="14" t="inlineStr">
        <is>
          <t>2x Tapete Higiênico Fralda Pet Good Pad 60x60 60un</t>
        </is>
      </c>
      <c r="C89" s="14" t="inlineStr">
        <is>
          <t>Sem variação</t>
        </is>
      </c>
      <c r="D89" s="14" t="inlineStr">
        <is>
          <t>0770</t>
        </is>
      </c>
      <c r="E89" s="14" t="inlineStr">
        <is>
          <t>20339081685</t>
        </is>
      </c>
      <c r="F89" s="14" t="inlineStr">
        <is>
          <t>0</t>
        </is>
      </c>
      <c r="G89" s="14" t="inlineStr">
        <is>
          <t>NORMAL</t>
        </is>
      </c>
      <c r="H89" s="15" t="n">
        <v>299.8</v>
      </c>
      <c r="I89" s="15" t="n">
        <v>78.90000000000001</v>
      </c>
      <c r="J89" s="16" t="inlineStr">
        <is>
          <t>SIM</t>
        </is>
      </c>
      <c r="K89" s="15" t="n">
        <v>78.90000000000001</v>
      </c>
      <c r="L89" s="35">
        <f>IF(K89&lt;&gt;"",K89,I89)</f>
        <v/>
      </c>
      <c r="M89" s="84" t="n">
        <v>2</v>
      </c>
      <c r="N89" s="85" t="n">
        <v>18.75</v>
      </c>
      <c r="O89" s="80">
        <f>ROUND(M89*N89,2)</f>
        <v/>
      </c>
      <c r="P89" s="80">
        <f>IF($O89="","",L89-O89-(L89*IF(L89&lt;=79.99,20%,14%)+IF(L89&lt;=79.99,4,IF(L89&lt;=99.99,16,IF(L89&lt;=199.99,20,IF(L89&lt;=499.99,26,28)))))-L89*1.3%-L89*6%-(L89-O89)*9.25%-L89*3%-L89*3%-1)</f>
        <v/>
      </c>
      <c r="Q89" s="17">
        <f>IF(AND(K89&lt;&gt;"",H89&gt;0),(H89-K89)/H89,"")</f>
        <v/>
      </c>
      <c r="R89" s="14" t="inlineStr">
        <is>
          <t>909481504866304</t>
        </is>
      </c>
      <c r="S89" s="18" t="n">
        <v>46144.3875</v>
      </c>
      <c r="T89" s="18" t="n">
        <v>46295.4375</v>
      </c>
      <c r="U89" s="14" t="inlineStr">
        <is>
          <t>100926</t>
        </is>
      </c>
      <c r="V89" t="inlineStr">
        <is>
          <t>212960</t>
        </is>
      </c>
      <c r="W89" t="inlineStr">
        <is>
          <t>venda casada (1 pedido) · custo do KIT 213831 (2× 212960)</t>
        </is>
      </c>
      <c r="X89" t="n">
        <v>1</v>
      </c>
      <c r="Y89" t="inlineStr">
        <is>
          <t>⚠ evidência fraca (1 pedido)</t>
        </is>
      </c>
    </row>
    <row r="90" ht="15" customFormat="1" customHeight="1" s="19">
      <c r="A90" s="14" t="inlineStr">
        <is>
          <t>Jacartta</t>
        </is>
      </c>
      <c r="B90" s="14" t="inlineStr">
        <is>
          <t>3 Rolos Removedor De Pelos Pet de Gato e Cachorro Removedor de pelos</t>
        </is>
      </c>
      <c r="C90" s="14" t="inlineStr">
        <is>
          <t>2 Unidades</t>
        </is>
      </c>
      <c r="D90" s="14" t="inlineStr">
        <is>
          <t>854</t>
        </is>
      </c>
      <c r="E90" s="14" t="inlineStr">
        <is>
          <t>23494514165</t>
        </is>
      </c>
      <c r="F90" s="14" t="inlineStr">
        <is>
          <t>189180496161</t>
        </is>
      </c>
      <c r="G90" s="14" t="inlineStr">
        <is>
          <t>NORMAL</t>
        </is>
      </c>
      <c r="H90" s="15" t="n">
        <v>89.90000000000001</v>
      </c>
      <c r="I90" s="15" t="n">
        <v>37.9</v>
      </c>
      <c r="J90" s="16" t="inlineStr">
        <is>
          <t>SIM</t>
        </is>
      </c>
      <c r="K90" s="15" t="n">
        <v>37.9</v>
      </c>
      <c r="L90" s="35">
        <f>IF(K90&lt;&gt;"",K90,I90)</f>
        <v/>
      </c>
      <c r="M90" s="28" t="n"/>
      <c r="N90" s="28" t="n"/>
      <c r="O90" s="29" t="n"/>
      <c r="P90" s="80">
        <f>IF($O90="","",L90-O90-(L90*IF(L90&lt;=79.99,20%,14%)+IF(L90&lt;=79.99,4,IF(L90&lt;=99.99,16,IF(L90&lt;=199.99,20,IF(L90&lt;=499.99,26,28)))))-L90*1.3%-L90*6%-(L90-O90)*9.25%-L90*3%-L90*3%-1)</f>
        <v/>
      </c>
      <c r="Q90" s="17">
        <f>IF(AND(K90&lt;&gt;"",H90&gt;0),(H90-K90)/H90,"")</f>
        <v/>
      </c>
      <c r="R90" s="14" t="inlineStr">
        <is>
          <t>478386871025791</t>
        </is>
      </c>
      <c r="S90" s="18" t="n">
        <v>46209.64583333334</v>
      </c>
      <c r="T90" s="18" t="n">
        <v>46326.99930555555</v>
      </c>
      <c r="U90" s="14" t="inlineStr">
        <is>
          <t>100419</t>
        </is>
      </c>
      <c r="W90" t="inlineStr">
        <is>
          <t>sem correspondência</t>
        </is>
      </c>
      <c r="Y90" t="inlineStr"/>
    </row>
    <row r="91" ht="15" customFormat="1" customHeight="1" s="14">
      <c r="A91" s="14" t="inlineStr">
        <is>
          <t>Jacartta</t>
        </is>
      </c>
      <c r="B91" s="14" t="inlineStr">
        <is>
          <t>Antitóxico Duprat Oral 20ML Cães Gatos</t>
        </is>
      </c>
      <c r="C91" s="14" t="inlineStr">
        <is>
          <t>Sem variação</t>
        </is>
      </c>
      <c r="D91" s="14" t="inlineStr">
        <is>
          <t>ANTITOXICO-DUPRAT-ORAL-20 ML</t>
        </is>
      </c>
      <c r="E91" s="14" t="inlineStr">
        <is>
          <t>22794532158</t>
        </is>
      </c>
      <c r="F91" s="14" t="inlineStr">
        <is>
          <t>0</t>
        </is>
      </c>
      <c r="G91" s="14" t="inlineStr">
        <is>
          <t>NORMAL</t>
        </is>
      </c>
      <c r="H91" s="15" t="n">
        <v>59.9</v>
      </c>
      <c r="I91" s="15" t="n">
        <v>18.83</v>
      </c>
      <c r="J91" s="16" t="inlineStr">
        <is>
          <t>SIM</t>
        </is>
      </c>
      <c r="K91" s="15" t="n">
        <v>18.83</v>
      </c>
      <c r="L91" s="35">
        <f>IF(K91&lt;&gt;"",K91,I91)</f>
        <v/>
      </c>
      <c r="M91" s="28" t="n"/>
      <c r="N91" s="28" t="n"/>
      <c r="O91" s="29" t="n"/>
      <c r="P91" s="80">
        <f>IF($O91="","",L91-O91-(L91*IF(L91&lt;=79.99,20%,14%)+IF(L91&lt;=79.99,4,IF(L91&lt;=99.99,16,IF(L91&lt;=199.99,20,IF(L91&lt;=499.99,26,28)))))-L91*1.3%-L91*6%-(L91-O91)*9.25%-L91*3%-L91*3%-1)</f>
        <v/>
      </c>
      <c r="Q91" s="17">
        <f>IF(AND(K91&lt;&gt;"",H91&gt;0),(H91-K91)/H91,"")</f>
        <v/>
      </c>
      <c r="R91" s="14" t="inlineStr">
        <is>
          <t>909481504866304</t>
        </is>
      </c>
      <c r="S91" s="18" t="n">
        <v>46144.3875</v>
      </c>
      <c r="T91" s="18" t="n">
        <v>46295.4375</v>
      </c>
      <c r="U91" s="14" t="inlineStr">
        <is>
          <t>100942</t>
        </is>
      </c>
      <c r="V91" t="inlineStr">
        <is>
          <t>ANTITOXICO-DUPRAT-ORAL-20 ML</t>
        </is>
      </c>
      <c r="W91" t="inlineStr">
        <is>
          <t>SKU idêntico na Olist · CUSTO ZERADO na Olist (conferido hoje)</t>
        </is>
      </c>
      <c r="Y91" t="inlineStr">
        <is>
          <t>ok</t>
        </is>
      </c>
    </row>
    <row r="92" ht="15" customFormat="1" customHeight="1" s="19">
      <c r="A92" s="14" t="inlineStr">
        <is>
          <t>Jacartta</t>
        </is>
      </c>
      <c r="B92" s="14" t="inlineStr">
        <is>
          <t>Kit Potes de Vidro 370ml Hermético Marmita Fit com Tampa 4 Travas</t>
        </is>
      </c>
      <c r="C92" s="14" t="inlineStr">
        <is>
          <t>10 Potes,Azul</t>
        </is>
      </c>
      <c r="D92" s="14" t="inlineStr">
        <is>
          <t>KIT10-370ML-AZUL</t>
        </is>
      </c>
      <c r="E92" s="14" t="inlineStr">
        <is>
          <t>23994504847</t>
        </is>
      </c>
      <c r="F92" s="14" t="inlineStr">
        <is>
          <t>209180481802</t>
        </is>
      </c>
      <c r="G92" s="14" t="inlineStr">
        <is>
          <t>NORMAL</t>
        </is>
      </c>
      <c r="H92" s="15" t="n">
        <v>159.9</v>
      </c>
      <c r="I92" s="15" t="n">
        <v>77.90000000000001</v>
      </c>
      <c r="J92" s="16" t="inlineStr">
        <is>
          <t>SIM</t>
        </is>
      </c>
      <c r="K92" s="15" t="n">
        <v>77.90000000000001</v>
      </c>
      <c r="L92" s="35">
        <f>IF(K92&lt;&gt;"",K92,I92)</f>
        <v/>
      </c>
      <c r="M92" s="33" t="n">
        <v>10</v>
      </c>
      <c r="N92" s="28" t="n">
        <v>4.45</v>
      </c>
      <c r="O92" s="29">
        <f>N92*M92</f>
        <v/>
      </c>
      <c r="P92" s="80">
        <f>IF($O92="","",L92-O92-(L92*IF(L92&lt;=79.99,20%,14%)+IF(L92&lt;=79.99,4,IF(L92&lt;=99.99,16,IF(L92&lt;=199.99,20,IF(L92&lt;=499.99,26,28)))))-L92*1.3%-L92*6%-(L92-O92)*9.25%-L92*3%-L92*3%-1)</f>
        <v/>
      </c>
      <c r="Q92" s="17">
        <f>IF(AND(K92&lt;&gt;"",H92&gt;0),(H92-K92)/H92,"")</f>
        <v/>
      </c>
      <c r="R92" s="14" t="inlineStr">
        <is>
          <t>478386871025791</t>
        </is>
      </c>
      <c r="S92" s="18" t="n">
        <v>46209.64583333334</v>
      </c>
      <c r="T92" s="18" t="n">
        <v>46326.99930555555</v>
      </c>
      <c r="U92" s="14" t="inlineStr">
        <is>
          <t>101220</t>
        </is>
      </c>
      <c r="V92" t="inlineStr">
        <is>
          <t>213876</t>
        </is>
      </c>
      <c r="W92" t="inlineStr">
        <is>
          <t>venda casada (271 pedidos) · QTD/custo manuais mantidos · ATENÇÃO: Olist hoje diz 3.93</t>
        </is>
      </c>
      <c r="X92" t="n">
        <v>271</v>
      </c>
      <c r="Y92" t="inlineStr">
        <is>
          <t>ok</t>
        </is>
      </c>
    </row>
    <row r="93" ht="15" customFormat="1" customHeight="1" s="14">
      <c r="A93" s="19" t="inlineStr">
        <is>
          <t>Jacartta</t>
        </is>
      </c>
      <c r="B93" s="19" t="inlineStr">
        <is>
          <t>Assento Sanitário Almofadado Modelo Plus Slim Oval - OLIVER HOME</t>
        </is>
      </c>
      <c r="C93" s="19" t="inlineStr">
        <is>
          <t>Preto</t>
        </is>
      </c>
      <c r="D93" s="19" t="inlineStr">
        <is>
          <t>2496</t>
        </is>
      </c>
      <c r="E93" s="19" t="inlineStr">
        <is>
          <t>20098318443</t>
        </is>
      </c>
      <c r="F93" s="19" t="inlineStr">
        <is>
          <t>199183060499</t>
        </is>
      </c>
      <c r="G93" s="19" t="inlineStr">
        <is>
          <t>NORMAL</t>
        </is>
      </c>
      <c r="H93" s="20" t="n">
        <v>69.90000000000001</v>
      </c>
      <c r="I93" s="20" t="n">
        <v>44.89</v>
      </c>
      <c r="J93" s="21" t="inlineStr">
        <is>
          <t>SIM</t>
        </is>
      </c>
      <c r="K93" s="20" t="n">
        <v>44.89</v>
      </c>
      <c r="L93" s="35">
        <f>IF(K93&lt;&gt;"",K93,I93)</f>
        <v/>
      </c>
      <c r="M93" s="81" t="n">
        <v>1</v>
      </c>
      <c r="N93" s="82" t="n">
        <v>15.26</v>
      </c>
      <c r="O93" s="80">
        <f>ROUND(M93*N93,2)</f>
        <v/>
      </c>
      <c r="P93" s="80">
        <f>IF($O93="","",L93-O93-(L93*IF(L93&lt;=79.99,20%,14%)+IF(L93&lt;=79.99,4,IF(L93&lt;=99.99,16,IF(L93&lt;=199.99,20,IF(L93&lt;=499.99,26,28)))))-L93*1.3%-L93*6%-(L93-O93)*9.25%-L93*3%-L93*3%-1)</f>
        <v/>
      </c>
      <c r="Q93" s="22">
        <f>IF(AND(K93&lt;&gt;"",H93&gt;0),(H93-K93)/H93,"")</f>
        <v/>
      </c>
      <c r="R93" s="19" t="inlineStr">
        <is>
          <t>492047266168992</t>
        </is>
      </c>
      <c r="S93" s="23" t="n">
        <v>46248</v>
      </c>
      <c r="T93" s="23" t="n">
        <v>46249</v>
      </c>
      <c r="U93" s="19" t="inlineStr">
        <is>
          <t>101131</t>
        </is>
      </c>
      <c r="V93" t="inlineStr">
        <is>
          <t>213990</t>
        </is>
      </c>
      <c r="W93" t="inlineStr">
        <is>
          <t>venda casada (22 pedidos)</t>
        </is>
      </c>
      <c r="X93" t="n">
        <v>22</v>
      </c>
      <c r="Y93" t="inlineStr">
        <is>
          <t>ok</t>
        </is>
      </c>
    </row>
    <row r="94" ht="15" customFormat="1" customHeight="1" s="19">
      <c r="A94" s="19" t="inlineStr">
        <is>
          <t>Jacartta</t>
        </is>
      </c>
      <c r="B94" s="19" t="inlineStr">
        <is>
          <t>Kit Potes de Vidro 370ml Hermético Marmita Fit com Tampa 4 Travas</t>
        </is>
      </c>
      <c r="C94" s="19" t="inlineStr">
        <is>
          <t>10 Potes,Branco</t>
        </is>
      </c>
      <c r="D94" s="19" t="inlineStr">
        <is>
          <t>KIT10-370ML-BRANCO</t>
        </is>
      </c>
      <c r="E94" s="19" t="inlineStr">
        <is>
          <t>23994504847</t>
        </is>
      </c>
      <c r="F94" s="19" t="inlineStr">
        <is>
          <t>209180481801</t>
        </is>
      </c>
      <c r="G94" s="19" t="inlineStr">
        <is>
          <t>NORMAL</t>
        </is>
      </c>
      <c r="H94" s="20" t="n">
        <v>159.9</v>
      </c>
      <c r="I94" s="20" t="n">
        <v>77.90000000000001</v>
      </c>
      <c r="J94" s="21" t="inlineStr">
        <is>
          <t>SIM</t>
        </is>
      </c>
      <c r="K94" s="20" t="n">
        <v>77.90000000000001</v>
      </c>
      <c r="L94" s="35">
        <f>IF(K94&lt;&gt;"",K94,I94)</f>
        <v/>
      </c>
      <c r="M94" s="33" t="n">
        <v>10</v>
      </c>
      <c r="N94" s="28" t="n">
        <v>4.45</v>
      </c>
      <c r="O94" s="29">
        <f>N94*M94</f>
        <v/>
      </c>
      <c r="P94" s="80">
        <f>IF($O94="","",L94-O94-(L94*IF(L94&lt;=79.99,20%,14%)+IF(L94&lt;=79.99,4,IF(L94&lt;=99.99,16,IF(L94&lt;=199.99,20,IF(L94&lt;=499.99,26,28)))))-L94*1.3%-L94*6%-(L94-O94)*9.25%-L94*3%-L94*3%-1)</f>
        <v/>
      </c>
      <c r="Q94" s="22">
        <f>IF(AND(K94&lt;&gt;"",H94&gt;0),(H94-K94)/H94,"")</f>
        <v/>
      </c>
      <c r="R94" s="19" t="inlineStr">
        <is>
          <t>478386871025791</t>
        </is>
      </c>
      <c r="S94" s="23" t="n">
        <v>46209.64583333334</v>
      </c>
      <c r="T94" s="23" t="n">
        <v>46326.99930555555</v>
      </c>
      <c r="U94" s="19" t="inlineStr">
        <is>
          <t>101220</t>
        </is>
      </c>
      <c r="V94" t="inlineStr">
        <is>
          <t>213875</t>
        </is>
      </c>
      <c r="W94" t="inlineStr">
        <is>
          <t>venda casada (783 pedidos) · QTD/custo manuais mantidos · ATENÇÃO: Olist hoje diz 3.93</t>
        </is>
      </c>
      <c r="X94" t="n">
        <v>783</v>
      </c>
      <c r="Y94" t="inlineStr">
        <is>
          <t>ok</t>
        </is>
      </c>
    </row>
    <row r="95" ht="15" customFormat="1" customHeight="1" s="14">
      <c r="A95" s="14" t="inlineStr">
        <is>
          <t>Jacartta</t>
        </is>
      </c>
      <c r="B95" s="14" t="inlineStr">
        <is>
          <t>Balanca De Cozinha Digital Alta Precisao 10kg Com Pilhas Inclusas AA OliverHome</t>
        </is>
      </c>
      <c r="C95" s="14" t="inlineStr">
        <is>
          <t>Sem variação</t>
        </is>
      </c>
      <c r="D95" s="14" t="inlineStr">
        <is>
          <t>BALANÇA-COZ</t>
        </is>
      </c>
      <c r="E95" s="14" t="inlineStr">
        <is>
          <t>22399029506</t>
        </is>
      </c>
      <c r="F95" s="14" t="inlineStr">
        <is>
          <t>0</t>
        </is>
      </c>
      <c r="G95" s="14" t="inlineStr">
        <is>
          <t>NORMAL</t>
        </is>
      </c>
      <c r="H95" s="15" t="n">
        <v>39.9</v>
      </c>
      <c r="I95" s="15" t="n">
        <v>19.9</v>
      </c>
      <c r="J95" s="16" t="inlineStr">
        <is>
          <t>SIM</t>
        </is>
      </c>
      <c r="K95" s="15" t="n">
        <v>19.9</v>
      </c>
      <c r="L95" s="35">
        <f>IF(K95&lt;&gt;"",K95,I95)</f>
        <v/>
      </c>
      <c r="M95" s="84" t="n">
        <v>1</v>
      </c>
      <c r="N95" s="85" t="n">
        <v>6.26</v>
      </c>
      <c r="O95" s="80">
        <f>ROUND(M95*N95,2)</f>
        <v/>
      </c>
      <c r="P95" s="80">
        <f>IF($O95="","",L95-O95-(L95*IF(L95&lt;=79.99,20%,14%)+IF(L95&lt;=79.99,4,IF(L95&lt;=99.99,16,IF(L95&lt;=199.99,20,IF(L95&lt;=499.99,26,28)))))-L95*1.3%-L95*6%-(L95-O95)*9.25%-L95*3%-L95*3%-1)</f>
        <v/>
      </c>
      <c r="Q95" s="17">
        <f>IF(AND(K95&lt;&gt;"",H95&gt;0),(H95-K95)/H95,"")</f>
        <v/>
      </c>
      <c r="R95" s="14" t="inlineStr">
        <is>
          <t>478386871025791</t>
        </is>
      </c>
      <c r="S95" s="18" t="n">
        <v>46209.64583333334</v>
      </c>
      <c r="T95" s="18" t="n">
        <v>46326.99930555555</v>
      </c>
      <c r="U95" s="14" t="inlineStr">
        <is>
          <t>101234</t>
        </is>
      </c>
      <c r="V95" t="inlineStr">
        <is>
          <t>213242</t>
        </is>
      </c>
      <c r="W95" t="inlineStr">
        <is>
          <t>venda casada (9 pedidos) · custo do KIT 213991 (1× 213242)</t>
        </is>
      </c>
      <c r="X95" t="n">
        <v>9</v>
      </c>
      <c r="Y95" t="inlineStr">
        <is>
          <t>ok</t>
        </is>
      </c>
    </row>
    <row r="96" ht="15" customFormat="1" customHeight="1" s="19">
      <c r="A96" s="19" t="inlineStr">
        <is>
          <t>Jacartta</t>
        </is>
      </c>
      <c r="B96" s="19" t="inlineStr">
        <is>
          <t>Balança Digital Medidora Corporal Bioimpedância até 180kg OliverHome</t>
        </is>
      </c>
      <c r="C96" s="19" t="inlineStr">
        <is>
          <t>Balança Bioimpedância</t>
        </is>
      </c>
      <c r="D96" s="19" t="inlineStr">
        <is>
          <t>BALANÇA-BIOIMPEDANCIA</t>
        </is>
      </c>
      <c r="E96" s="19" t="inlineStr">
        <is>
          <t>23798986920</t>
        </is>
      </c>
      <c r="F96" s="19" t="inlineStr">
        <is>
          <t>228792593644</t>
        </is>
      </c>
      <c r="G96" s="19" t="inlineStr">
        <is>
          <t>NORMAL</t>
        </is>
      </c>
      <c r="H96" s="20" t="n">
        <v>69.90000000000001</v>
      </c>
      <c r="I96" s="20" t="n">
        <v>29.9</v>
      </c>
      <c r="J96" s="21" t="inlineStr">
        <is>
          <t>SIM</t>
        </is>
      </c>
      <c r="K96" s="20" t="n">
        <v>29.9</v>
      </c>
      <c r="L96" s="35">
        <f>IF(K96&lt;&gt;"",K96,I96)</f>
        <v/>
      </c>
      <c r="M96" s="81" t="n">
        <v>1</v>
      </c>
      <c r="N96" s="82" t="n">
        <v>17.16</v>
      </c>
      <c r="O96" s="80">
        <f>ROUND(M96*N96,2)</f>
        <v/>
      </c>
      <c r="P96" s="80">
        <f>IF($O96="","",L96-O96-(L96*IF(L96&lt;=79.99,20%,14%)+IF(L96&lt;=79.99,4,IF(L96&lt;=99.99,16,IF(L96&lt;=199.99,20,IF(L96&lt;=499.99,26,28)))))-L96*1.3%-L96*6%-(L96-O96)*9.25%-L96*3%-L96*3%-1)</f>
        <v/>
      </c>
      <c r="Q96" s="22">
        <f>IF(AND(K96&lt;&gt;"",H96&gt;0),(H96-K96)/H96,"")</f>
        <v/>
      </c>
      <c r="R96" s="19" t="inlineStr">
        <is>
          <t>478386871025791</t>
        </is>
      </c>
      <c r="S96" s="23" t="n">
        <v>46209.64583333334</v>
      </c>
      <c r="T96" s="23" t="n">
        <v>46326.99930555555</v>
      </c>
      <c r="U96" s="19" t="inlineStr">
        <is>
          <t>100122</t>
        </is>
      </c>
      <c r="V96" t="inlineStr">
        <is>
          <t>213282</t>
        </is>
      </c>
      <c r="W96" t="inlineStr">
        <is>
          <t>venda casada (6900 pedidos) · custo do KIT 213992 (1× 213282)</t>
        </is>
      </c>
      <c r="X96" t="n">
        <v>6900</v>
      </c>
      <c r="Y96" t="inlineStr">
        <is>
          <t>ok</t>
        </is>
      </c>
    </row>
    <row r="97" ht="15" customFormat="1" customHeight="1" s="14">
      <c r="A97" s="14" t="inlineStr">
        <is>
          <t>Jacartta</t>
        </is>
      </c>
      <c r="B97" s="14" t="inlineStr">
        <is>
          <t>Balança Digital Medidora Corporal Bioimpedância até 180kg OliverHome</t>
        </is>
      </c>
      <c r="C97" s="14" t="inlineStr">
        <is>
          <t>Balança de Cozinha</t>
        </is>
      </c>
      <c r="D97" s="14" t="inlineStr">
        <is>
          <t>BALANÇA-COZINHA</t>
        </is>
      </c>
      <c r="E97" s="14" t="inlineStr">
        <is>
          <t>23798986920</t>
        </is>
      </c>
      <c r="F97" s="14" t="inlineStr">
        <is>
          <t>228792593645</t>
        </is>
      </c>
      <c r="G97" s="14" t="inlineStr">
        <is>
          <t>NORMAL</t>
        </is>
      </c>
      <c r="H97" s="15" t="n">
        <v>49.9</v>
      </c>
      <c r="I97" s="15" t="n">
        <v>23.9</v>
      </c>
      <c r="J97" s="16" t="inlineStr">
        <is>
          <t>SIM</t>
        </is>
      </c>
      <c r="K97" s="15" t="n">
        <v>23.9</v>
      </c>
      <c r="L97" s="35">
        <f>IF(K97&lt;&gt;"",K97,I97)</f>
        <v/>
      </c>
      <c r="M97" s="84" t="n">
        <v>1</v>
      </c>
      <c r="N97" s="85" t="n">
        <v>6.26</v>
      </c>
      <c r="O97" s="80">
        <f>ROUND(M97*N97,2)</f>
        <v/>
      </c>
      <c r="P97" s="80">
        <f>IF($O97="","",L97-O97-(L97*IF(L97&lt;=79.99,20%,14%)+IF(L97&lt;=79.99,4,IF(L97&lt;=99.99,16,IF(L97&lt;=199.99,20,IF(L97&lt;=499.99,26,28)))))-L97*1.3%-L97*6%-(L97-O97)*9.25%-L97*3%-L97*3%-1)</f>
        <v/>
      </c>
      <c r="Q97" s="17">
        <f>IF(AND(K97&lt;&gt;"",H97&gt;0),(H97-K97)/H97,"")</f>
        <v/>
      </c>
      <c r="R97" s="14" t="inlineStr">
        <is>
          <t>478386871025791</t>
        </is>
      </c>
      <c r="S97" s="18" t="n">
        <v>46209.64583333334</v>
      </c>
      <c r="T97" s="18" t="n">
        <v>46326.99930555555</v>
      </c>
      <c r="U97" s="14" t="inlineStr">
        <is>
          <t>100122</t>
        </is>
      </c>
      <c r="V97" t="inlineStr">
        <is>
          <t>213242</t>
        </is>
      </c>
      <c r="W97" t="inlineStr">
        <is>
          <t>venda casada (110 pedidos) · custo do KIT 213991 (1× 213242)</t>
        </is>
      </c>
      <c r="X97" t="n">
        <v>110</v>
      </c>
      <c r="Y97" t="inlineStr">
        <is>
          <t>ok</t>
        </is>
      </c>
    </row>
    <row r="98" ht="15" customFormat="1" customHeight="1" s="19">
      <c r="A98" s="19" t="inlineStr">
        <is>
          <t>Jacartta</t>
        </is>
      </c>
      <c r="B98" s="19" t="inlineStr">
        <is>
          <t>Bebedouro Beija Flor Luxo com chapéu e poleiro - Jelplast Sortido</t>
        </is>
      </c>
      <c r="C98" s="19" t="inlineStr">
        <is>
          <t>Sem variação</t>
        </is>
      </c>
      <c r="D98" s="19" t="inlineStr">
        <is>
          <t>BEBEDOURO-BEIJAFLOR</t>
        </is>
      </c>
      <c r="E98" s="19" t="inlineStr">
        <is>
          <t>23597344048</t>
        </is>
      </c>
      <c r="F98" s="19" t="inlineStr">
        <is>
          <t>0</t>
        </is>
      </c>
      <c r="G98" s="19" t="inlineStr">
        <is>
          <t>NORMAL</t>
        </is>
      </c>
      <c r="H98" s="20" t="n">
        <v>29.9</v>
      </c>
      <c r="I98" s="20" t="n">
        <v>13.9</v>
      </c>
      <c r="J98" s="21" t="inlineStr">
        <is>
          <t>SIM</t>
        </is>
      </c>
      <c r="K98" s="20" t="n">
        <v>13.9</v>
      </c>
      <c r="L98" s="35">
        <f>IF(K98&lt;&gt;"",K98,I98)</f>
        <v/>
      </c>
      <c r="M98" s="81" t="n">
        <v>1</v>
      </c>
      <c r="N98" s="82" t="n">
        <v>3.35</v>
      </c>
      <c r="O98" s="80">
        <f>ROUND(M98*N98,2)</f>
        <v/>
      </c>
      <c r="P98" s="80">
        <f>IF($O98="","",L98-O98-(L98*IF(L98&lt;=79.99,20%,14%)+IF(L98&lt;=79.99,4,IF(L98&lt;=99.99,16,IF(L98&lt;=199.99,20,IF(L98&lt;=499.99,26,28)))))-L98*1.3%-L98*6%-(L98-O98)*9.25%-L98*3%-L98*3%-1)</f>
        <v/>
      </c>
      <c r="Q98" s="22">
        <f>IF(AND(K98&lt;&gt;"",H98&gt;0),(H98-K98)/H98,"")</f>
        <v/>
      </c>
      <c r="R98" s="19" t="inlineStr">
        <is>
          <t>909481504866304</t>
        </is>
      </c>
      <c r="S98" s="23" t="n">
        <v>46144.3875</v>
      </c>
      <c r="T98" s="23" t="n">
        <v>46295.4375</v>
      </c>
      <c r="U98" s="19" t="inlineStr">
        <is>
          <t>100916</t>
        </is>
      </c>
      <c r="V98" t="inlineStr">
        <is>
          <t>212811</t>
        </is>
      </c>
      <c r="W98" t="inlineStr">
        <is>
          <t>venda casada (5 pedidos)</t>
        </is>
      </c>
      <c r="X98" t="n">
        <v>5</v>
      </c>
      <c r="Y98" t="inlineStr">
        <is>
          <t>ok</t>
        </is>
      </c>
    </row>
    <row r="99" ht="15" customFormat="1" customHeight="1" s="14">
      <c r="A99" s="14" t="inlineStr">
        <is>
          <t>Jacartta</t>
        </is>
      </c>
      <c r="B99" s="14" t="inlineStr">
        <is>
          <t>Bolinha Com Guizo Brinquedo Para Gato Colorido</t>
        </is>
      </c>
      <c r="C99" s="14" t="inlineStr">
        <is>
          <t>Sem variação</t>
        </is>
      </c>
      <c r="D99" s="14" t="inlineStr">
        <is>
          <t>BOLA-GUIZO-CAT</t>
        </is>
      </c>
      <c r="E99" s="14" t="inlineStr">
        <is>
          <t>22993543151</t>
        </is>
      </c>
      <c r="F99" s="14" t="inlineStr">
        <is>
          <t>0</t>
        </is>
      </c>
      <c r="G99" s="14" t="inlineStr">
        <is>
          <t>NORMAL</t>
        </is>
      </c>
      <c r="H99" s="15" t="n">
        <v>19.9</v>
      </c>
      <c r="I99" s="15" t="n">
        <v>9.9</v>
      </c>
      <c r="J99" s="16" t="inlineStr">
        <is>
          <t>SIM</t>
        </is>
      </c>
      <c r="K99" s="15" t="n">
        <v>9.9</v>
      </c>
      <c r="L99" s="35">
        <f>IF(K99&lt;&gt;"",K99,I99)</f>
        <v/>
      </c>
      <c r="M99" s="84" t="n">
        <v>1</v>
      </c>
      <c r="N99" s="85" t="n">
        <v>0.2</v>
      </c>
      <c r="O99" s="80">
        <f>ROUND(M99*N99,2)</f>
        <v/>
      </c>
      <c r="P99" s="80">
        <f>IF($O99="","",L99-O99-(L99*IF(L99&lt;=79.99,20%,14%)+IF(L99&lt;=79.99,4,IF(L99&lt;=99.99,16,IF(L99&lt;=199.99,20,IF(L99&lt;=499.99,26,28)))))-L99*1.3%-L99*6%-(L99-O99)*9.25%-L99*3%-L99*3%-1)</f>
        <v/>
      </c>
      <c r="Q99" s="17">
        <f>IF(AND(K99&lt;&gt;"",H99&gt;0),(H99-K99)/H99,"")</f>
        <v/>
      </c>
      <c r="R99" s="14" t="inlineStr">
        <is>
          <t>909481504866304</t>
        </is>
      </c>
      <c r="S99" s="18" t="n">
        <v>46144.3875</v>
      </c>
      <c r="T99" s="18" t="n">
        <v>46295.4375</v>
      </c>
      <c r="U99" s="14" t="inlineStr">
        <is>
          <t>101926</t>
        </is>
      </c>
      <c r="V99" t="inlineStr">
        <is>
          <t>212992</t>
        </is>
      </c>
      <c r="W99" t="inlineStr">
        <is>
          <t>venda casada (2 pedidos)</t>
        </is>
      </c>
      <c r="X99" t="n">
        <v>2</v>
      </c>
      <c r="Y99" t="inlineStr">
        <is>
          <t>ok</t>
        </is>
      </c>
    </row>
    <row r="100" ht="15" customFormat="1" customHeight="1" s="19">
      <c r="A100" s="19" t="inlineStr">
        <is>
          <t>Jacartta</t>
        </is>
      </c>
      <c r="B100" s="19" t="inlineStr">
        <is>
          <t>Bomba Submersa Bivolt Silenciosa - 220 L Ideal para Aquários, Fontes e Bebedouros Pet</t>
        </is>
      </c>
      <c r="C100" s="19" t="inlineStr">
        <is>
          <t>110V</t>
        </is>
      </c>
      <c r="D100" s="19" t="inlineStr">
        <is>
          <t>BOMBA-200L-110V</t>
        </is>
      </c>
      <c r="E100" s="19" t="inlineStr">
        <is>
          <t>23199011835</t>
        </is>
      </c>
      <c r="F100" s="19" t="inlineStr">
        <is>
          <t>169409852308</t>
        </is>
      </c>
      <c r="G100" s="19" t="inlineStr">
        <is>
          <t>NORMAL</t>
        </is>
      </c>
      <c r="H100" s="20" t="n">
        <v>49.9</v>
      </c>
      <c r="I100" s="20" t="n">
        <v>49.9</v>
      </c>
      <c r="J100" s="21" t="inlineStr">
        <is>
          <t>NÃO</t>
        </is>
      </c>
      <c r="K100" s="20" t="n"/>
      <c r="L100" s="35">
        <f>IF(K100&lt;&gt;"",K100,I100)</f>
        <v/>
      </c>
      <c r="M100" s="81" t="n">
        <v>1</v>
      </c>
      <c r="N100" s="82" t="n">
        <v>8.26</v>
      </c>
      <c r="O100" s="83">
        <f>ROUND(M100*N100,2)</f>
        <v/>
      </c>
      <c r="P100" s="80">
        <f>IF($O100="","",L100-O100-(L100*IF(L100&lt;=79.99,20%,14%)+IF(L100&lt;=79.99,4,IF(L100&lt;=99.99,16,IF(L100&lt;=199.99,20,IF(L100&lt;=499.99,26,28)))))-L100*1.3%-L100*6%-(L100-O100)*9.25%-L100*3%-L100*3%-1)</f>
        <v/>
      </c>
      <c r="Q100" s="22">
        <f>IF(AND(K100&lt;&gt;"",H100&gt;0),(H100-K100)/H100,"")</f>
        <v/>
      </c>
      <c r="R100" s="19" t="inlineStr"/>
      <c r="S100" s="23" t="n"/>
      <c r="T100" s="23" t="n"/>
      <c r="U100" s="19" t="inlineStr">
        <is>
          <t>100921</t>
        </is>
      </c>
      <c r="V100" t="inlineStr">
        <is>
          <t>214109</t>
        </is>
      </c>
      <c r="W100" t="inlineStr">
        <is>
          <t>venda casada (238 pedidos)</t>
        </is>
      </c>
      <c r="X100" t="n">
        <v>238</v>
      </c>
      <c r="Y100" t="inlineStr">
        <is>
          <t>ok</t>
        </is>
      </c>
    </row>
    <row r="101" ht="15" customFormat="1" customHeight="1" s="14">
      <c r="A101" s="14" t="inlineStr">
        <is>
          <t>Jacartta</t>
        </is>
      </c>
      <c r="B101" s="14" t="inlineStr">
        <is>
          <t>Bomba Submersa Bivolt Silenciosa - 220 L Ideal para Aquários, Fontes e Bebedouros Pet</t>
        </is>
      </c>
      <c r="C101" s="14" t="inlineStr">
        <is>
          <t>220V</t>
        </is>
      </c>
      <c r="D101" s="14" t="inlineStr">
        <is>
          <t>BOMBA-200L-220V</t>
        </is>
      </c>
      <c r="E101" s="14" t="inlineStr">
        <is>
          <t>23199011835</t>
        </is>
      </c>
      <c r="F101" s="14" t="inlineStr">
        <is>
          <t>169409852309</t>
        </is>
      </c>
      <c r="G101" s="14" t="inlineStr">
        <is>
          <t>NORMAL</t>
        </is>
      </c>
      <c r="H101" s="15" t="n">
        <v>49.9</v>
      </c>
      <c r="I101" s="15" t="n">
        <v>21.49</v>
      </c>
      <c r="J101" s="16" t="inlineStr">
        <is>
          <t>SIM</t>
        </is>
      </c>
      <c r="K101" s="15" t="n">
        <v>21.49</v>
      </c>
      <c r="L101" s="35">
        <f>IF(K101&lt;&gt;"",K101,I101)</f>
        <v/>
      </c>
      <c r="M101" s="84" t="n">
        <v>1</v>
      </c>
      <c r="N101" s="85" t="n">
        <v>8.26</v>
      </c>
      <c r="O101" s="80">
        <f>ROUND(M101*N101,2)</f>
        <v/>
      </c>
      <c r="P101" s="80">
        <f>IF($O101="","",L101-O101-(L101*IF(L101&lt;=79.99,20%,14%)+IF(L101&lt;=79.99,4,IF(L101&lt;=99.99,16,IF(L101&lt;=199.99,20,IF(L101&lt;=499.99,26,28)))))-L101*1.3%-L101*6%-(L101-O101)*9.25%-L101*3%-L101*3%-1)</f>
        <v/>
      </c>
      <c r="Q101" s="17">
        <f>IF(AND(K101&lt;&gt;"",H101&gt;0),(H101-K101)/H101,"")</f>
        <v/>
      </c>
      <c r="R101" s="14" t="inlineStr">
        <is>
          <t>492047266168992</t>
        </is>
      </c>
      <c r="S101" s="18" t="n">
        <v>46248</v>
      </c>
      <c r="T101" s="18" t="n">
        <v>46249</v>
      </c>
      <c r="U101" s="14" t="inlineStr">
        <is>
          <t>100921</t>
        </is>
      </c>
      <c r="V101" t="inlineStr">
        <is>
          <t>214112</t>
        </is>
      </c>
      <c r="W101" t="inlineStr">
        <is>
          <t>venda casada (198 pedidos)</t>
        </is>
      </c>
      <c r="X101" t="n">
        <v>198</v>
      </c>
      <c r="Y101" t="inlineStr">
        <is>
          <t>ok</t>
        </is>
      </c>
    </row>
    <row r="102" ht="15" customFormat="1" customHeight="1" s="19">
      <c r="A102" s="19" t="inlineStr">
        <is>
          <t>Jacartta</t>
        </is>
      </c>
      <c r="B102" s="19" t="inlineStr">
        <is>
          <t>Brinquedo Interativo P/ Gatos Varinha Arranhador Pena Ratinho</t>
        </is>
      </c>
      <c r="C102" s="19" t="inlineStr">
        <is>
          <t>PENA</t>
        </is>
      </c>
      <c r="D102" s="19" t="inlineStr">
        <is>
          <t>BRINQUEDO-PENA</t>
        </is>
      </c>
      <c r="E102" s="19" t="inlineStr">
        <is>
          <t>23397764365</t>
        </is>
      </c>
      <c r="F102" s="19" t="inlineStr">
        <is>
          <t>189166347890</t>
        </is>
      </c>
      <c r="G102" s="19" t="inlineStr">
        <is>
          <t>NORMAL</t>
        </is>
      </c>
      <c r="H102" s="20" t="n">
        <v>59.9</v>
      </c>
      <c r="I102" s="20" t="n">
        <v>19.9</v>
      </c>
      <c r="J102" s="21" t="inlineStr">
        <is>
          <t>SIM</t>
        </is>
      </c>
      <c r="K102" s="20" t="n">
        <v>19.9</v>
      </c>
      <c r="L102" s="35">
        <f>IF(K102&lt;&gt;"",K102,I102)</f>
        <v/>
      </c>
      <c r="M102" s="81" t="n">
        <v>1</v>
      </c>
      <c r="N102" s="82" t="n">
        <v>12.2</v>
      </c>
      <c r="O102" s="80">
        <f>ROUND(M102*N102,2)</f>
        <v/>
      </c>
      <c r="P102" s="80">
        <f>IF($O102="","",L102-O102-(L102*IF(L102&lt;=79.99,20%,14%)+IF(L102&lt;=79.99,4,IF(L102&lt;=99.99,16,IF(L102&lt;=199.99,20,IF(L102&lt;=499.99,26,28)))))-L102*1.3%-L102*6%-(L102-O102)*9.25%-L102*3%-L102*3%-1)</f>
        <v/>
      </c>
      <c r="Q102" s="22">
        <f>IF(AND(K102&lt;&gt;"",H102&gt;0),(H102-K102)/H102,"")</f>
        <v/>
      </c>
      <c r="R102" s="19" t="inlineStr">
        <is>
          <t>909481504866304</t>
        </is>
      </c>
      <c r="S102" s="23" t="n">
        <v>46144.3875</v>
      </c>
      <c r="T102" s="23" t="n">
        <v>46295.4375</v>
      </c>
      <c r="U102" s="19" t="inlineStr">
        <is>
          <t>101685</t>
        </is>
      </c>
      <c r="V102" t="inlineStr">
        <is>
          <t>213556</t>
        </is>
      </c>
      <c r="W102" t="inlineStr">
        <is>
          <t>SKU do de-para</t>
        </is>
      </c>
      <c r="X102" t="n">
        <v>3</v>
      </c>
      <c r="Y102" t="inlineStr">
        <is>
          <t>ok</t>
        </is>
      </c>
    </row>
    <row r="103" ht="15" customFormat="1" customHeight="1" s="14">
      <c r="A103" s="19" t="inlineStr">
        <is>
          <t>Jacartta</t>
        </is>
      </c>
      <c r="B103" s="19" t="inlineStr">
        <is>
          <t>Brinquedo Interativo P/ Gatos Varinha Arranhador Pena Ratinho</t>
        </is>
      </c>
      <c r="C103" s="19" t="inlineStr">
        <is>
          <t>RATO</t>
        </is>
      </c>
      <c r="D103" s="19" t="inlineStr">
        <is>
          <t>BRINQUEDO-RATO</t>
        </is>
      </c>
      <c r="E103" s="19" t="inlineStr">
        <is>
          <t>23397764365</t>
        </is>
      </c>
      <c r="F103" s="19" t="inlineStr">
        <is>
          <t>189166347889</t>
        </is>
      </c>
      <c r="G103" s="19" t="inlineStr">
        <is>
          <t>NORMAL</t>
        </is>
      </c>
      <c r="H103" s="20" t="n">
        <v>59.9</v>
      </c>
      <c r="I103" s="20" t="n">
        <v>19.9</v>
      </c>
      <c r="J103" s="21" t="inlineStr">
        <is>
          <t>SIM</t>
        </is>
      </c>
      <c r="K103" s="20" t="n">
        <v>19.9</v>
      </c>
      <c r="L103" s="35">
        <f>IF(K103&lt;&gt;"",K103,I103)</f>
        <v/>
      </c>
      <c r="M103" s="81" t="n">
        <v>1</v>
      </c>
      <c r="N103" s="82" t="n">
        <v>12.2</v>
      </c>
      <c r="O103" s="80">
        <f>ROUND(M103*N103,2)</f>
        <v/>
      </c>
      <c r="P103" s="80">
        <f>IF($O103="","",L103-O103-(L103*IF(L103&lt;=79.99,20%,14%)+IF(L103&lt;=79.99,4,IF(L103&lt;=99.99,16,IF(L103&lt;=199.99,20,IF(L103&lt;=499.99,26,28)))))-L103*1.3%-L103*6%-(L103-O103)*9.25%-L103*3%-L103*3%-1)</f>
        <v/>
      </c>
      <c r="Q103" s="22">
        <f>IF(AND(K103&lt;&gt;"",H103&gt;0),(H103-K103)/H103,"")</f>
        <v/>
      </c>
      <c r="R103" s="19" t="inlineStr">
        <is>
          <t>909481504866304</t>
        </is>
      </c>
      <c r="S103" s="23" t="n">
        <v>46144.3875</v>
      </c>
      <c r="T103" s="23" t="n">
        <v>46295.4375</v>
      </c>
      <c r="U103" s="19" t="inlineStr">
        <is>
          <t>101685</t>
        </is>
      </c>
      <c r="V103" t="inlineStr">
        <is>
          <t>213555</t>
        </is>
      </c>
      <c r="W103" t="inlineStr">
        <is>
          <t>SKU do de-para</t>
        </is>
      </c>
      <c r="X103" t="n">
        <v>7</v>
      </c>
      <c r="Y103" t="inlineStr">
        <is>
          <t>ok</t>
        </is>
      </c>
    </row>
    <row r="104" ht="15" customFormat="1" customHeight="1" s="19">
      <c r="A104" s="19" t="inlineStr">
        <is>
          <t>Jacartta</t>
        </is>
      </c>
      <c r="B104" s="19" t="inlineStr">
        <is>
          <t>Brinquedo Interativo Para Gatos Varinha Pássaro Com Ventosa Fixa</t>
        </is>
      </c>
      <c r="C104" s="19" t="inlineStr">
        <is>
          <t>PRETO</t>
        </is>
      </c>
      <c r="D104" s="19" t="inlineStr">
        <is>
          <t>BRINQUEDO-VARA-CAT-PRETO</t>
        </is>
      </c>
      <c r="E104" s="19" t="inlineStr">
        <is>
          <t>19997807513</t>
        </is>
      </c>
      <c r="F104" s="19" t="inlineStr">
        <is>
          <t>219598954062</t>
        </is>
      </c>
      <c r="G104" s="19" t="inlineStr">
        <is>
          <t>NORMAL</t>
        </is>
      </c>
      <c r="H104" s="20" t="n">
        <v>39.9</v>
      </c>
      <c r="I104" s="20" t="n">
        <v>24.9</v>
      </c>
      <c r="J104" s="21" t="inlineStr">
        <is>
          <t>SIM</t>
        </is>
      </c>
      <c r="K104" s="20" t="n">
        <v>24.9</v>
      </c>
      <c r="L104" s="35">
        <f>IF(K104&lt;&gt;"",K104,I104)</f>
        <v/>
      </c>
      <c r="M104" s="81" t="n">
        <v>1</v>
      </c>
      <c r="N104" s="82" t="n">
        <v>4.33</v>
      </c>
      <c r="O104" s="80">
        <f>ROUND(M104*N104,2)</f>
        <v/>
      </c>
      <c r="P104" s="80">
        <f>IF($O104="","",L104-O104-(L104*IF(L104&lt;=79.99,20%,14%)+IF(L104&lt;=79.99,4,IF(L104&lt;=99.99,16,IF(L104&lt;=199.99,20,IF(L104&lt;=499.99,26,28)))))-L104*1.3%-L104*6%-(L104-O104)*9.25%-L104*3%-L104*3%-1)</f>
        <v/>
      </c>
      <c r="Q104" s="22">
        <f>IF(AND(K104&lt;&gt;"",H104&gt;0),(H104-K104)/H104,"")</f>
        <v/>
      </c>
      <c r="R104" s="19" t="inlineStr">
        <is>
          <t>909481504866304</t>
        </is>
      </c>
      <c r="S104" s="23" t="n">
        <v>46144.3875</v>
      </c>
      <c r="T104" s="23" t="n">
        <v>46295.4375</v>
      </c>
      <c r="U104" s="19" t="inlineStr">
        <is>
          <t>101925</t>
        </is>
      </c>
      <c r="V104" t="inlineStr">
        <is>
          <t>213527</t>
        </is>
      </c>
      <c r="W104" t="inlineStr">
        <is>
          <t>SKU do de-para</t>
        </is>
      </c>
      <c r="X104" t="n">
        <v>13</v>
      </c>
      <c r="Y104" t="inlineStr">
        <is>
          <t>ok</t>
        </is>
      </c>
    </row>
    <row r="105" ht="15" customFormat="1" customHeight="1" s="14">
      <c r="A105" s="14" t="inlineStr">
        <is>
          <t>Jacartta</t>
        </is>
      </c>
      <c r="B105" s="14" t="inlineStr">
        <is>
          <t>Brinquedo Interativo Para Gatos Varinha Pássaro Com Ventosa Fixa</t>
        </is>
      </c>
      <c r="C105" s="14" t="inlineStr">
        <is>
          <t>ROSA</t>
        </is>
      </c>
      <c r="D105" s="14" t="inlineStr">
        <is>
          <t>BRINQUEDO-VARA-CAT-ROSA</t>
        </is>
      </c>
      <c r="E105" s="14" t="inlineStr">
        <is>
          <t>19997807513</t>
        </is>
      </c>
      <c r="F105" s="14" t="inlineStr">
        <is>
          <t>219598954061</t>
        </is>
      </c>
      <c r="G105" s="14" t="inlineStr">
        <is>
          <t>NORMAL</t>
        </is>
      </c>
      <c r="H105" s="15" t="n">
        <v>39.9</v>
      </c>
      <c r="I105" s="15" t="n">
        <v>19.9</v>
      </c>
      <c r="J105" s="16" t="inlineStr">
        <is>
          <t>SIM</t>
        </is>
      </c>
      <c r="K105" s="15" t="n">
        <v>19.9</v>
      </c>
      <c r="L105" s="35">
        <f>IF(K105&lt;&gt;"",K105,I105)</f>
        <v/>
      </c>
      <c r="M105" s="84" t="n">
        <v>1</v>
      </c>
      <c r="N105" s="85" t="n">
        <v>4.33</v>
      </c>
      <c r="O105" s="80">
        <f>ROUND(M105*N105,2)</f>
        <v/>
      </c>
      <c r="P105" s="80">
        <f>IF($O105="","",L105-O105-(L105*IF(L105&lt;=79.99,20%,14%)+IF(L105&lt;=79.99,4,IF(L105&lt;=99.99,16,IF(L105&lt;=199.99,20,IF(L105&lt;=499.99,26,28)))))-L105*1.3%-L105*6%-(L105-O105)*9.25%-L105*3%-L105*3%-1)</f>
        <v/>
      </c>
      <c r="Q105" s="17">
        <f>IF(AND(K105&lt;&gt;"",H105&gt;0),(H105-K105)/H105,"")</f>
        <v/>
      </c>
      <c r="R105" s="14" t="inlineStr">
        <is>
          <t>909481504866304</t>
        </is>
      </c>
      <c r="S105" s="18" t="n">
        <v>46144.3875</v>
      </c>
      <c r="T105" s="18" t="n">
        <v>46295.4375</v>
      </c>
      <c r="U105" s="14" t="inlineStr">
        <is>
          <t>101925</t>
        </is>
      </c>
      <c r="V105" t="inlineStr">
        <is>
          <t>213528</t>
        </is>
      </c>
      <c r="W105" t="inlineStr">
        <is>
          <t>venda casada (1 pedido)</t>
        </is>
      </c>
      <c r="X105" t="n">
        <v>1</v>
      </c>
      <c r="Y105" t="inlineStr">
        <is>
          <t>⚠ evidência fraca (1 pedido)</t>
        </is>
      </c>
    </row>
    <row r="106" ht="15" customFormat="1" customHeight="1" s="19">
      <c r="A106" s="19" t="inlineStr">
        <is>
          <t>Jacartta</t>
        </is>
      </c>
      <c r="B106" s="19" t="inlineStr">
        <is>
          <t>Brinquedo Interativo Simulador de Pássaro- Varinha para provocar e estimular gato</t>
        </is>
      </c>
      <c r="C106" s="19" t="inlineStr">
        <is>
          <t>Sem variação</t>
        </is>
      </c>
      <c r="D106" s="19" t="inlineStr">
        <is>
          <t>BRINQUEDO-VARA-CAT</t>
        </is>
      </c>
      <c r="E106" s="19" t="inlineStr">
        <is>
          <t>20699202923</t>
        </is>
      </c>
      <c r="F106" s="19" t="inlineStr">
        <is>
          <t>0</t>
        </is>
      </c>
      <c r="G106" s="19" t="inlineStr">
        <is>
          <t>NORMAL</t>
        </is>
      </c>
      <c r="H106" s="20" t="n">
        <v>29.9</v>
      </c>
      <c r="I106" s="20" t="n">
        <v>25.9</v>
      </c>
      <c r="J106" s="21" t="inlineStr">
        <is>
          <t>SIM</t>
        </is>
      </c>
      <c r="K106" s="20" t="n">
        <v>25.9</v>
      </c>
      <c r="L106" s="35">
        <f>IF(K106&lt;&gt;"",K106,I106)</f>
        <v/>
      </c>
      <c r="M106" s="30" t="n"/>
      <c r="N106" s="30" t="n"/>
      <c r="O106" s="29" t="n"/>
      <c r="P106" s="80">
        <f>IF($O106="","",L106-O106-(L106*IF(L106&lt;=79.99,20%,14%)+IF(L106&lt;=79.99,4,IF(L106&lt;=99.99,16,IF(L106&lt;=199.99,20,IF(L106&lt;=499.99,26,28)))))-L106*1.3%-L106*6%-(L106-O106)*9.25%-L106*3%-L106*3%-1)</f>
        <v/>
      </c>
      <c r="Q106" s="22">
        <f>IF(AND(K106&lt;&gt;"",H106&gt;0),(H106-K106)/H106,"")</f>
        <v/>
      </c>
      <c r="R106" s="19" t="inlineStr">
        <is>
          <t>478386871025791</t>
        </is>
      </c>
      <c r="S106" s="23" t="n">
        <v>46209.64583333334</v>
      </c>
      <c r="T106" s="23" t="n">
        <v>46326.99930555555</v>
      </c>
      <c r="U106" s="19" t="inlineStr">
        <is>
          <t>101925</t>
        </is>
      </c>
      <c r="W106" t="inlineStr">
        <is>
          <t>sem correspondência</t>
        </is>
      </c>
      <c r="Y106" t="inlineStr"/>
    </row>
    <row r="107" ht="15" customFormat="1" customHeight="1" s="14">
      <c r="A107" s="19" t="inlineStr">
        <is>
          <t>Jacartta</t>
        </is>
      </c>
      <c r="B107" s="19" t="inlineStr">
        <is>
          <t>Brinquedo Mordedor Osso Bamboo Sabor Bacon Limpeza Dentes Tartaro Truqys</t>
        </is>
      </c>
      <c r="C107" s="19" t="inlineStr">
        <is>
          <t>Osso Pequeno</t>
        </is>
      </c>
      <c r="D107" s="19" t="inlineStr">
        <is>
          <t>0332</t>
        </is>
      </c>
      <c r="E107" s="19" t="inlineStr">
        <is>
          <t>19098604153</t>
        </is>
      </c>
      <c r="F107" s="19" t="inlineStr">
        <is>
          <t>109712306405</t>
        </is>
      </c>
      <c r="G107" s="19" t="inlineStr">
        <is>
          <t>NORMAL</t>
        </is>
      </c>
      <c r="H107" s="20" t="n">
        <v>41.9</v>
      </c>
      <c r="I107" s="20" t="n">
        <v>19.9</v>
      </c>
      <c r="J107" s="21" t="inlineStr">
        <is>
          <t>SIM</t>
        </is>
      </c>
      <c r="K107" s="20" t="n">
        <v>19.9</v>
      </c>
      <c r="L107" s="35">
        <f>IF(K107&lt;&gt;"",K107,I107)</f>
        <v/>
      </c>
      <c r="M107" s="81" t="n">
        <v>1</v>
      </c>
      <c r="N107" s="82" t="n">
        <v>9.93</v>
      </c>
      <c r="O107" s="80">
        <f>ROUND(M107*N107,2)</f>
        <v/>
      </c>
      <c r="P107" s="80">
        <f>IF($O107="","",L107-O107-(L107*IF(L107&lt;=79.99,20%,14%)+IF(L107&lt;=79.99,4,IF(L107&lt;=99.99,16,IF(L107&lt;=199.99,20,IF(L107&lt;=499.99,26,28)))))-L107*1.3%-L107*6%-(L107-O107)*9.25%-L107*3%-L107*3%-1)</f>
        <v/>
      </c>
      <c r="Q107" s="22">
        <f>IF(AND(K107&lt;&gt;"",H107&gt;0),(H107-K107)/H107,"")</f>
        <v/>
      </c>
      <c r="R107" s="19" t="inlineStr">
        <is>
          <t>909481504866304</t>
        </is>
      </c>
      <c r="S107" s="23" t="n">
        <v>46144.3875</v>
      </c>
      <c r="T107" s="23" t="n">
        <v>46295.4375</v>
      </c>
      <c r="U107" s="19" t="inlineStr">
        <is>
          <t>101926</t>
        </is>
      </c>
      <c r="V107" t="inlineStr">
        <is>
          <t>215138</t>
        </is>
      </c>
      <c r="W107" t="inlineStr">
        <is>
          <t>venda casada (1 pedido)</t>
        </is>
      </c>
      <c r="X107" t="n">
        <v>1</v>
      </c>
      <c r="Y107" t="inlineStr">
        <is>
          <t>⚠ evidência fraca (1 pedido)</t>
        </is>
      </c>
    </row>
    <row r="108" ht="15" customFormat="1" customHeight="1" s="19">
      <c r="A108" s="19" t="inlineStr">
        <is>
          <t>Jacartta</t>
        </is>
      </c>
      <c r="B108" s="19" t="inlineStr">
        <is>
          <t>Cascata 120 Led Natal Estrela Decoração 8 Funções 110V/220V 3 Metros</t>
        </is>
      </c>
      <c r="C108" s="19" t="inlineStr">
        <is>
          <t>Branco Frio,220V</t>
        </is>
      </c>
      <c r="D108" s="19" t="inlineStr">
        <is>
          <t>CASCATA-120LED-220V-BRANCO-FRIO</t>
        </is>
      </c>
      <c r="E108" s="19" t="inlineStr">
        <is>
          <t>46764615712</t>
        </is>
      </c>
      <c r="F108" s="19" t="inlineStr">
        <is>
          <t>118794264442</t>
        </is>
      </c>
      <c r="G108" s="19" t="inlineStr">
        <is>
          <t>NORMAL</t>
        </is>
      </c>
      <c r="H108" s="20" t="n">
        <v>109.9</v>
      </c>
      <c r="I108" s="20" t="n">
        <v>58.9</v>
      </c>
      <c r="J108" s="21" t="inlineStr">
        <is>
          <t>SIM</t>
        </is>
      </c>
      <c r="K108" s="20" t="n">
        <v>58.9</v>
      </c>
      <c r="L108" s="35">
        <f>IF(K108&lt;&gt;"",K108,I108)</f>
        <v/>
      </c>
      <c r="M108" s="30" t="n"/>
      <c r="N108" s="30" t="n"/>
      <c r="O108" s="29" t="n"/>
      <c r="P108" s="80">
        <f>IF($O108="","",L108-O108-(L108*IF(L108&lt;=79.99,20%,14%)+IF(L108&lt;=79.99,4,IF(L108&lt;=99.99,16,IF(L108&lt;=199.99,20,IF(L108&lt;=499.99,26,28)))))-L108*1.3%-L108*6%-(L108-O108)*9.25%-L108*3%-L108*3%-1)</f>
        <v/>
      </c>
      <c r="Q108" s="22">
        <f>IF(AND(K108&lt;&gt;"",H108&gt;0),(H108-K108)/H108,"")</f>
        <v/>
      </c>
      <c r="R108" s="19" t="inlineStr">
        <is>
          <t>478386871025791</t>
        </is>
      </c>
      <c r="S108" s="23" t="n">
        <v>46209.64583333334</v>
      </c>
      <c r="T108" s="23" t="n">
        <v>46326.99930555555</v>
      </c>
      <c r="U108" s="19" t="inlineStr">
        <is>
          <t>100719</t>
        </is>
      </c>
      <c r="V108" t="inlineStr">
        <is>
          <t>CASCATA-120LED-220V-BRANCO-FRIO</t>
        </is>
      </c>
      <c r="W108" t="inlineStr">
        <is>
          <t>SKU idêntico na Olist · CUSTO ZERADO na Olist (conferido hoje)</t>
        </is>
      </c>
      <c r="Y108" t="inlineStr">
        <is>
          <t>ok</t>
        </is>
      </c>
    </row>
    <row r="109" ht="15" customFormat="1" customHeight="1" s="14">
      <c r="A109" s="14" t="inlineStr">
        <is>
          <t>Jacartta</t>
        </is>
      </c>
      <c r="B109" s="14" t="inlineStr">
        <is>
          <t>Cascata 120 Led Natal Estrela Decoração 8 Funções 110V/220V 3 Metros</t>
        </is>
      </c>
      <c r="C109" s="14" t="inlineStr">
        <is>
          <t>Branco Quente (amarelo),110V</t>
        </is>
      </c>
      <c r="D109" s="14" t="inlineStr">
        <is>
          <t>CASCATA-120LED-110V-BRANCO-QUENTE</t>
        </is>
      </c>
      <c r="E109" s="14" t="inlineStr">
        <is>
          <t>46764615712</t>
        </is>
      </c>
      <c r="F109" s="14" t="inlineStr">
        <is>
          <t>109613891084</t>
        </is>
      </c>
      <c r="G109" s="14" t="inlineStr">
        <is>
          <t>NORMAL</t>
        </is>
      </c>
      <c r="H109" s="15" t="n">
        <v>109.9</v>
      </c>
      <c r="I109" s="15" t="n">
        <v>109.9</v>
      </c>
      <c r="J109" s="16" t="inlineStr">
        <is>
          <t>NÃO</t>
        </is>
      </c>
      <c r="K109" s="15" t="n"/>
      <c r="L109" s="35">
        <f>IF(K109&lt;&gt;"",K109,I109)</f>
        <v/>
      </c>
      <c r="M109" s="28" t="n"/>
      <c r="N109" s="28" t="n"/>
      <c r="O109" s="29" t="n"/>
      <c r="P109" s="80">
        <f>IF($O109="","",L109-O109-(L109*IF(L109&lt;=79.99,20%,14%)+IF(L109&lt;=79.99,4,IF(L109&lt;=99.99,16,IF(L109&lt;=199.99,20,IF(L109&lt;=499.99,26,28)))))-L109*1.3%-L109*6%-(L109-O109)*9.25%-L109*3%-L109*3%-1)</f>
        <v/>
      </c>
      <c r="Q109" s="17">
        <f>IF(AND(K109&lt;&gt;"",H109&gt;0),(H109-K109)/H109,"")</f>
        <v/>
      </c>
      <c r="R109" s="14" t="inlineStr"/>
      <c r="S109" s="18" t="n"/>
      <c r="T109" s="18" t="n"/>
      <c r="U109" s="14" t="inlineStr">
        <is>
          <t>100719</t>
        </is>
      </c>
      <c r="V109" t="inlineStr">
        <is>
          <t>CASCATA-120LED-110V-BRANCO-QUENTE</t>
        </is>
      </c>
      <c r="W109" t="inlineStr">
        <is>
          <t>SKU idêntico na Olist · CUSTO ZERADO na Olist (conferido hoje)</t>
        </is>
      </c>
      <c r="Y109" t="inlineStr">
        <is>
          <t>ok</t>
        </is>
      </c>
    </row>
    <row r="110" ht="15" customFormat="1" customHeight="1" s="19">
      <c r="A110" s="19" t="inlineStr">
        <is>
          <t>Jacartta</t>
        </is>
      </c>
      <c r="B110" s="19" t="inlineStr">
        <is>
          <t>Cascata 120 Led Natal Estrela Decoração 8 Funções 110V/220V 3 Metros</t>
        </is>
      </c>
      <c r="C110" s="19" t="inlineStr">
        <is>
          <t>Branco Quente (amarelo),220V</t>
        </is>
      </c>
      <c r="D110" s="19" t="inlineStr">
        <is>
          <t>CASCATA-120LED-220V-BRANCO-QUENTE</t>
        </is>
      </c>
      <c r="E110" s="19" t="inlineStr">
        <is>
          <t>46764615712</t>
        </is>
      </c>
      <c r="F110" s="19" t="inlineStr">
        <is>
          <t>118794264440</t>
        </is>
      </c>
      <c r="G110" s="19" t="inlineStr">
        <is>
          <t>NORMAL</t>
        </is>
      </c>
      <c r="H110" s="20" t="n">
        <v>109.9</v>
      </c>
      <c r="I110" s="20" t="n">
        <v>109.9</v>
      </c>
      <c r="J110" s="21" t="inlineStr">
        <is>
          <t>NÃO</t>
        </is>
      </c>
      <c r="K110" s="20" t="n"/>
      <c r="L110" s="35">
        <f>IF(K110&lt;&gt;"",K110,I110)</f>
        <v/>
      </c>
      <c r="M110" s="30" t="n"/>
      <c r="N110" s="30" t="n"/>
      <c r="O110" s="31" t="n"/>
      <c r="P110" s="80">
        <f>IF($O110="","",L110-O110-(L110*IF(L110&lt;=79.99,20%,14%)+IF(L110&lt;=79.99,4,IF(L110&lt;=99.99,16,IF(L110&lt;=199.99,20,IF(L110&lt;=499.99,26,28)))))-L110*1.3%-L110*6%-(L110-O110)*9.25%-L110*3%-L110*3%-1)</f>
        <v/>
      </c>
      <c r="Q110" s="22">
        <f>IF(AND(K110&lt;&gt;"",H110&gt;0),(H110-K110)/H110,"")</f>
        <v/>
      </c>
      <c r="R110" s="19" t="inlineStr"/>
      <c r="S110" s="23" t="n"/>
      <c r="T110" s="23" t="n"/>
      <c r="U110" s="19" t="inlineStr">
        <is>
          <t>100719</t>
        </is>
      </c>
      <c r="V110" t="inlineStr">
        <is>
          <t>CASCATA-120LED-220V-BRANCO-QUENTE</t>
        </is>
      </c>
      <c r="W110" t="inlineStr">
        <is>
          <t>SKU idêntico na Olist · CUSTO ZERADO na Olist (conferido hoje)</t>
        </is>
      </c>
      <c r="Y110" t="inlineStr">
        <is>
          <t>ok</t>
        </is>
      </c>
    </row>
    <row r="111" ht="15" customFormat="1" customHeight="1" s="14">
      <c r="A111" s="19" t="inlineStr">
        <is>
          <t>Jacartta</t>
        </is>
      </c>
      <c r="B111" s="19" t="inlineStr">
        <is>
          <t>Duotrill 150mg 10 Comprimidos Para Cães E Gatos - Duprat</t>
        </is>
      </c>
      <c r="C111" s="19" t="inlineStr">
        <is>
          <t>Sem variação</t>
        </is>
      </c>
      <c r="D111" s="19" t="inlineStr">
        <is>
          <t>DUOTRILL-150MG-10COMP</t>
        </is>
      </c>
      <c r="E111" s="19" t="inlineStr">
        <is>
          <t>22194574250</t>
        </is>
      </c>
      <c r="F111" s="19" t="inlineStr">
        <is>
          <t>0</t>
        </is>
      </c>
      <c r="G111" s="19" t="inlineStr">
        <is>
          <t>NORMAL</t>
        </is>
      </c>
      <c r="H111" s="20" t="n">
        <v>99.90000000000001</v>
      </c>
      <c r="I111" s="20" t="n">
        <v>56.9</v>
      </c>
      <c r="J111" s="21" t="inlineStr">
        <is>
          <t>SIM</t>
        </is>
      </c>
      <c r="K111" s="20" t="n">
        <v>56.9</v>
      </c>
      <c r="L111" s="35">
        <f>IF(K111&lt;&gt;"",K111,I111)</f>
        <v/>
      </c>
      <c r="M111" s="30" t="n"/>
      <c r="N111" s="30" t="n"/>
      <c r="O111" s="29" t="n"/>
      <c r="P111" s="80">
        <f>IF($O111="","",L111-O111-(L111*IF(L111&lt;=79.99,20%,14%)+IF(L111&lt;=79.99,4,IF(L111&lt;=99.99,16,IF(L111&lt;=199.99,20,IF(L111&lt;=499.99,26,28)))))-L111*1.3%-L111*6%-(L111-O111)*9.25%-L111*3%-L111*3%-1)</f>
        <v/>
      </c>
      <c r="Q111" s="22">
        <f>IF(AND(K111&lt;&gt;"",H111&gt;0),(H111-K111)/H111,"")</f>
        <v/>
      </c>
      <c r="R111" s="19" t="inlineStr">
        <is>
          <t>909481504866304</t>
        </is>
      </c>
      <c r="S111" s="23" t="n">
        <v>46144.3875</v>
      </c>
      <c r="T111" s="23" t="n">
        <v>46295.4375</v>
      </c>
      <c r="U111" s="19" t="inlineStr">
        <is>
          <t>100944</t>
        </is>
      </c>
      <c r="V111" t="inlineStr">
        <is>
          <t>DUOTRILL-150MG-10COMP</t>
        </is>
      </c>
      <c r="W111" t="inlineStr">
        <is>
          <t>SKU idêntico na Olist · CUSTO ZERADO na Olist (conferido hoje)</t>
        </is>
      </c>
      <c r="Y111" t="inlineStr">
        <is>
          <t>ok</t>
        </is>
      </c>
    </row>
    <row r="112" ht="15" customFormat="1" customHeight="1" s="19">
      <c r="A112" s="14" t="inlineStr">
        <is>
          <t>Jacartta</t>
        </is>
      </c>
      <c r="B112" s="14" t="inlineStr">
        <is>
          <t>Duotrill 50 MG Duprat Blister C/ 10 Comprimidos Cães e Gatos</t>
        </is>
      </c>
      <c r="C112" s="14" t="inlineStr">
        <is>
          <t>Sem variação</t>
        </is>
      </c>
      <c r="D112" s="14" t="inlineStr">
        <is>
          <t>DUOTRILL-50MG-10-COMP</t>
        </is>
      </c>
      <c r="E112" s="14" t="inlineStr">
        <is>
          <t>23893864649</t>
        </is>
      </c>
      <c r="F112" s="14" t="inlineStr">
        <is>
          <t>0</t>
        </is>
      </c>
      <c r="G112" s="14" t="inlineStr">
        <is>
          <t>NORMAL</t>
        </is>
      </c>
      <c r="H112" s="15" t="n">
        <v>59.9</v>
      </c>
      <c r="I112" s="15" t="n">
        <v>17.99</v>
      </c>
      <c r="J112" s="16" t="inlineStr">
        <is>
          <t>SIM</t>
        </is>
      </c>
      <c r="K112" s="15" t="n">
        <v>17.99</v>
      </c>
      <c r="L112" s="35">
        <f>IF(K112&lt;&gt;"",K112,I112)</f>
        <v/>
      </c>
      <c r="M112" s="84" t="n">
        <v>1</v>
      </c>
      <c r="N112" s="85" t="n">
        <v>8</v>
      </c>
      <c r="O112" s="80">
        <f>ROUND(M112*N112,2)</f>
        <v/>
      </c>
      <c r="P112" s="80">
        <f>IF($O112="","",L112-O112-(L112*IF(L112&lt;=79.99,20%,14%)+IF(L112&lt;=79.99,4,IF(L112&lt;=99.99,16,IF(L112&lt;=199.99,20,IF(L112&lt;=499.99,26,28)))))-L112*1.3%-L112*6%-(L112-O112)*9.25%-L112*3%-L112*3%-1)</f>
        <v/>
      </c>
      <c r="Q112" s="17">
        <f>IF(AND(K112&lt;&gt;"",H112&gt;0),(H112-K112)/H112,"")</f>
        <v/>
      </c>
      <c r="R112" s="14" t="inlineStr">
        <is>
          <t>909481504866304</t>
        </is>
      </c>
      <c r="S112" s="18" t="n">
        <v>46144.3875</v>
      </c>
      <c r="T112" s="18" t="n">
        <v>46295.4375</v>
      </c>
      <c r="U112" s="14" t="inlineStr">
        <is>
          <t>100942</t>
        </is>
      </c>
      <c r="V112" t="inlineStr">
        <is>
          <t>213398</t>
        </is>
      </c>
      <c r="W112" t="inlineStr">
        <is>
          <t>venda casada (3 pedidos)</t>
        </is>
      </c>
      <c r="X112" t="n">
        <v>3</v>
      </c>
      <c r="Y112" t="inlineStr">
        <is>
          <t>ok</t>
        </is>
      </c>
    </row>
    <row r="113" ht="15" customFormat="1" customHeight="1" s="14">
      <c r="A113" s="14" t="inlineStr">
        <is>
          <t>Jacartta</t>
        </is>
      </c>
      <c r="B113" s="14" t="inlineStr">
        <is>
          <t>Duprantel Vermífugo Cães e Gatos- 4 Comprimidos - Duprat</t>
        </is>
      </c>
      <c r="C113" s="14" t="inlineStr">
        <is>
          <t>Sem variação</t>
        </is>
      </c>
      <c r="D113" s="14" t="inlineStr">
        <is>
          <t>DUPRANTEL-660MG-4COMPS</t>
        </is>
      </c>
      <c r="E113" s="14" t="inlineStr">
        <is>
          <t>22094579560</t>
        </is>
      </c>
      <c r="F113" s="14" t="inlineStr">
        <is>
          <t>0</t>
        </is>
      </c>
      <c r="G113" s="14" t="inlineStr">
        <is>
          <t>NORMAL</t>
        </is>
      </c>
      <c r="H113" s="15" t="n">
        <v>59.9</v>
      </c>
      <c r="I113" s="15" t="n">
        <v>14.9</v>
      </c>
      <c r="J113" s="16" t="inlineStr">
        <is>
          <t>SIM</t>
        </is>
      </c>
      <c r="K113" s="15" t="n">
        <v>14.9</v>
      </c>
      <c r="L113" s="35">
        <f>IF(K113&lt;&gt;"",K113,I113)</f>
        <v/>
      </c>
      <c r="M113" s="84" t="n">
        <v>2</v>
      </c>
      <c r="N113" s="85" t="n">
        <v>1.89</v>
      </c>
      <c r="O113" s="80">
        <f>ROUND(M113*N113,2)</f>
        <v/>
      </c>
      <c r="P113" s="80">
        <f>IF($O113="","",L113-O113-(L113*IF(L113&lt;=79.99,20%,14%)+IF(L113&lt;=79.99,4,IF(L113&lt;=99.99,16,IF(L113&lt;=199.99,20,IF(L113&lt;=499.99,26,28)))))-L113*1.3%-L113*6%-(L113-O113)*9.25%-L113*3%-L113*3%-1)</f>
        <v/>
      </c>
      <c r="Q113" s="17">
        <f>IF(AND(K113&lt;&gt;"",H113&gt;0),(H113-K113)/H113,"")</f>
        <v/>
      </c>
      <c r="R113" s="14" t="inlineStr">
        <is>
          <t>909481504866304</t>
        </is>
      </c>
      <c r="S113" s="18" t="n">
        <v>46144.3875</v>
      </c>
      <c r="T113" s="18" t="n">
        <v>46295.4375</v>
      </c>
      <c r="U113" s="14" t="inlineStr">
        <is>
          <t>100942</t>
        </is>
      </c>
      <c r="V113" t="inlineStr">
        <is>
          <t>214902</t>
        </is>
      </c>
      <c r="W113" t="inlineStr">
        <is>
          <t>venda casada (1 pedido) · custo do KIT 214915 (2× 214902)</t>
        </is>
      </c>
      <c r="X113" t="n">
        <v>1</v>
      </c>
      <c r="Y113" t="inlineStr">
        <is>
          <t>⚠ evidência fraca (1 pedido)</t>
        </is>
      </c>
    </row>
    <row r="114" ht="15" customFormat="1" customHeight="1" s="19">
      <c r="A114" s="19" t="inlineStr">
        <is>
          <t>Jacartta</t>
        </is>
      </c>
      <c r="B114" s="19" t="inlineStr">
        <is>
          <t>Duprazol Soluçao Oral 30 ML Anti-Helmíntico Cães e Gatos</t>
        </is>
      </c>
      <c r="C114" s="19" t="inlineStr">
        <is>
          <t>Sem variação</t>
        </is>
      </c>
      <c r="D114" s="19" t="inlineStr">
        <is>
          <t>DUPRAZOL-ORAL-30 ML</t>
        </is>
      </c>
      <c r="E114" s="19" t="inlineStr">
        <is>
          <t>23394546581</t>
        </is>
      </c>
      <c r="F114" s="19" t="inlineStr">
        <is>
          <t>0</t>
        </is>
      </c>
      <c r="G114" s="19" t="inlineStr">
        <is>
          <t>NORMAL</t>
        </is>
      </c>
      <c r="H114" s="20" t="n">
        <v>59.9</v>
      </c>
      <c r="I114" s="20" t="n">
        <v>17.9</v>
      </c>
      <c r="J114" s="21" t="inlineStr">
        <is>
          <t>SIM</t>
        </is>
      </c>
      <c r="K114" s="20" t="n">
        <v>17.9</v>
      </c>
      <c r="L114" s="35">
        <f>IF(K114&lt;&gt;"",K114,I114)</f>
        <v/>
      </c>
      <c r="M114" s="81" t="n">
        <v>1</v>
      </c>
      <c r="N114" s="82" t="n">
        <v>9.4</v>
      </c>
      <c r="O114" s="80">
        <f>ROUND(M114*N114,2)</f>
        <v/>
      </c>
      <c r="P114" s="80">
        <f>IF($O114="","",L114-O114-(L114*IF(L114&lt;=79.99,20%,14%)+IF(L114&lt;=79.99,4,IF(L114&lt;=99.99,16,IF(L114&lt;=199.99,20,IF(L114&lt;=499.99,26,28)))))-L114*1.3%-L114*6%-(L114-O114)*9.25%-L114*3%-L114*3%-1)</f>
        <v/>
      </c>
      <c r="Q114" s="22">
        <f>IF(AND(K114&lt;&gt;"",H114&gt;0),(H114-K114)/H114,"")</f>
        <v/>
      </c>
      <c r="R114" s="19" t="inlineStr">
        <is>
          <t>909481504866304</t>
        </is>
      </c>
      <c r="S114" s="23" t="n">
        <v>46144.3875</v>
      </c>
      <c r="T114" s="23" t="n">
        <v>46295.4375</v>
      </c>
      <c r="U114" s="19" t="inlineStr">
        <is>
          <t>100942</t>
        </is>
      </c>
      <c r="V114" t="inlineStr">
        <is>
          <t>213480</t>
        </is>
      </c>
      <c r="W114" t="inlineStr">
        <is>
          <t>venda casada (4 pedidos)</t>
        </is>
      </c>
      <c r="X114" t="n">
        <v>4</v>
      </c>
      <c r="Y114" t="inlineStr">
        <is>
          <t>ok</t>
        </is>
      </c>
    </row>
    <row r="115" ht="15" customFormat="1" customHeight="1" s="14">
      <c r="A115" s="19" t="inlineStr">
        <is>
          <t>Jacartta</t>
        </is>
      </c>
      <c r="B115" s="19" t="inlineStr">
        <is>
          <t>Gaiola Hamster Roedores Completa 3 Andares Com Tubos E Rodinha</t>
        </is>
      </c>
      <c r="C115" s="19" t="inlineStr">
        <is>
          <t>AZUL</t>
        </is>
      </c>
      <c r="D115" s="19" t="inlineStr">
        <is>
          <t>GAIOLA-HAMSTER-PEQ-AZ</t>
        </is>
      </c>
      <c r="E115" s="19" t="inlineStr">
        <is>
          <t>23593594289</t>
        </is>
      </c>
      <c r="F115" s="19" t="inlineStr">
        <is>
          <t>149781218187</t>
        </is>
      </c>
      <c r="G115" s="19" t="inlineStr">
        <is>
          <t>NORMAL</t>
        </is>
      </c>
      <c r="H115" s="20" t="n">
        <v>199.9</v>
      </c>
      <c r="I115" s="20" t="n">
        <v>129.9</v>
      </c>
      <c r="J115" s="21" t="inlineStr">
        <is>
          <t>SIM</t>
        </is>
      </c>
      <c r="K115" s="20" t="n">
        <v>129.9</v>
      </c>
      <c r="L115" s="35">
        <f>IF(K115&lt;&gt;"",K115,I115)</f>
        <v/>
      </c>
      <c r="M115" s="30" t="n"/>
      <c r="N115" s="30" t="n"/>
      <c r="O115" s="29" t="n"/>
      <c r="P115" s="80">
        <f>IF($O115="","",L115-O115-(L115*IF(L115&lt;=79.99,20%,14%)+IF(L115&lt;=79.99,4,IF(L115&lt;=99.99,16,IF(L115&lt;=199.99,20,IF(L115&lt;=499.99,26,28)))))-L115*1.3%-L115*6%-(L115-O115)*9.25%-L115*3%-L115*3%-1)</f>
        <v/>
      </c>
      <c r="Q115" s="22">
        <f>IF(AND(K115&lt;&gt;"",H115&gt;0),(H115-K115)/H115,"")</f>
        <v/>
      </c>
      <c r="R115" s="19" t="inlineStr">
        <is>
          <t>492047266168992</t>
        </is>
      </c>
      <c r="S115" s="23" t="n">
        <v>46248</v>
      </c>
      <c r="T115" s="23" t="n">
        <v>46249</v>
      </c>
      <c r="U115" s="19" t="inlineStr">
        <is>
          <t>101684</t>
        </is>
      </c>
      <c r="V115" t="inlineStr">
        <is>
          <t>GAIOLA-HAMSTER-PEQ-AZ</t>
        </is>
      </c>
      <c r="W115" t="inlineStr">
        <is>
          <t>SKU idêntico na Olist · CUSTO ZERADO na Olist (conferido hoje)</t>
        </is>
      </c>
      <c r="Y115" t="inlineStr">
        <is>
          <t>ok</t>
        </is>
      </c>
    </row>
    <row r="116" ht="15" customFormat="1" customHeight="1" s="19">
      <c r="A116" s="19" t="inlineStr">
        <is>
          <t>Jacartta</t>
        </is>
      </c>
      <c r="B116" s="19" t="inlineStr">
        <is>
          <t>Glicosol Pet 50ml - Lavizoo Suplemento Cães E Gatos</t>
        </is>
      </c>
      <c r="C116" s="19" t="inlineStr">
        <is>
          <t>Sem variação</t>
        </is>
      </c>
      <c r="D116" s="19" t="inlineStr">
        <is>
          <t>GLICOSOL-50ML</t>
        </is>
      </c>
      <c r="E116" s="19" t="inlineStr">
        <is>
          <t>22892988062</t>
        </is>
      </c>
      <c r="F116" s="19" t="inlineStr">
        <is>
          <t>0</t>
        </is>
      </c>
      <c r="G116" s="19" t="inlineStr">
        <is>
          <t>NORMAL</t>
        </is>
      </c>
      <c r="H116" s="20" t="n">
        <v>59.9</v>
      </c>
      <c r="I116" s="20" t="n">
        <v>24.9</v>
      </c>
      <c r="J116" s="21" t="inlineStr">
        <is>
          <t>SIM</t>
        </is>
      </c>
      <c r="K116" s="20" t="n">
        <v>24.9</v>
      </c>
      <c r="L116" s="35">
        <f>IF(K116&lt;&gt;"",K116,I116)</f>
        <v/>
      </c>
      <c r="M116" s="30" t="n"/>
      <c r="N116" s="30" t="n"/>
      <c r="O116" s="29" t="n"/>
      <c r="P116" s="80">
        <f>IF($O116="","",L116-O116-(L116*IF(L116&lt;=79.99,20%,14%)+IF(L116&lt;=79.99,4,IF(L116&lt;=99.99,16,IF(L116&lt;=199.99,20,IF(L116&lt;=499.99,26,28)))))-L116*1.3%-L116*6%-(L116-O116)*9.25%-L116*3%-L116*3%-1)</f>
        <v/>
      </c>
      <c r="Q116" s="22">
        <f>IF(AND(K116&lt;&gt;"",H116&gt;0),(H116-K116)/H116,"")</f>
        <v/>
      </c>
      <c r="R116" s="19" t="inlineStr">
        <is>
          <t>909481504866304</t>
        </is>
      </c>
      <c r="S116" s="23" t="n">
        <v>46144.3875</v>
      </c>
      <c r="T116" s="23" t="n">
        <v>46295.4375</v>
      </c>
      <c r="U116" s="19" t="inlineStr">
        <is>
          <t>100944</t>
        </is>
      </c>
      <c r="V116" t="inlineStr">
        <is>
          <t>GLICOSOL-50ML</t>
        </is>
      </c>
      <c r="W116" t="inlineStr">
        <is>
          <t>SKU idêntico na Olist · CUSTO ZERADO na Olist (conferido hoje)</t>
        </is>
      </c>
      <c r="Y116" t="inlineStr">
        <is>
          <t>ok</t>
        </is>
      </c>
    </row>
    <row r="117" ht="15" customFormat="1" customHeight="1" s="14">
      <c r="A117" s="14" t="inlineStr">
        <is>
          <t>Jacartta</t>
        </is>
      </c>
      <c r="B117" s="14" t="inlineStr">
        <is>
          <t>Granulado De Madeira Higiênico para Gatos Absorve 5x Mais</t>
        </is>
      </c>
      <c r="C117" s="14" t="inlineStr">
        <is>
          <t>10kg</t>
        </is>
      </c>
      <c r="D117" s="14" t="inlineStr">
        <is>
          <t>GRANULADO-GATO-10KG</t>
        </is>
      </c>
      <c r="E117" s="14" t="inlineStr">
        <is>
          <t>23398049242</t>
        </is>
      </c>
      <c r="F117" s="14" t="inlineStr">
        <is>
          <t>228797560395</t>
        </is>
      </c>
      <c r="G117" s="14" t="inlineStr">
        <is>
          <t>NORMAL</t>
        </is>
      </c>
      <c r="H117" s="15" t="n">
        <v>68.90000000000001</v>
      </c>
      <c r="I117" s="15" t="n">
        <v>42.89</v>
      </c>
      <c r="J117" s="16" t="inlineStr">
        <is>
          <t>SIM</t>
        </is>
      </c>
      <c r="K117" s="15" t="n">
        <v>42.89</v>
      </c>
      <c r="L117" s="35">
        <f>IF(K117&lt;&gt;"",K117,I117)</f>
        <v/>
      </c>
      <c r="M117" s="84" t="n">
        <v>1</v>
      </c>
      <c r="N117" s="85" t="n">
        <v>14.54</v>
      </c>
      <c r="O117" s="80">
        <f>ROUND(M117*N117,2)</f>
        <v/>
      </c>
      <c r="P117" s="80">
        <f>IF($O117="","",L117-O117-(L117*IF(L117&lt;=79.99,20%,14%)+IF(L117&lt;=79.99,4,IF(L117&lt;=99.99,16,IF(L117&lt;=199.99,20,IF(L117&lt;=499.99,26,28)))))-L117*1.3%-L117*6%-(L117-O117)*9.25%-L117*3%-L117*3%-1)</f>
        <v/>
      </c>
      <c r="Q117" s="17">
        <f>IF(AND(K117&lt;&gt;"",H117&gt;0),(H117-K117)/H117,"")</f>
        <v/>
      </c>
      <c r="R117" s="14" t="inlineStr">
        <is>
          <t>492047266168992</t>
        </is>
      </c>
      <c r="S117" s="18" t="n">
        <v>46248</v>
      </c>
      <c r="T117" s="18" t="n">
        <v>46249</v>
      </c>
      <c r="U117" s="14" t="inlineStr">
        <is>
          <t>100923</t>
        </is>
      </c>
      <c r="V117" t="inlineStr">
        <is>
          <t>213515</t>
        </is>
      </c>
      <c r="W117" t="inlineStr">
        <is>
          <t>venda casada (34 pedidos)</t>
        </is>
      </c>
      <c r="X117" t="n">
        <v>34</v>
      </c>
      <c r="Y117" t="inlineStr">
        <is>
          <t>ok</t>
        </is>
      </c>
    </row>
    <row r="118" ht="15" customFormat="1" customHeight="1" s="19">
      <c r="A118" s="19" t="inlineStr">
        <is>
          <t>Jacartta</t>
        </is>
      </c>
      <c r="B118" s="19" t="inlineStr">
        <is>
          <t>Granulado De Madeira Higiênico para Gatos Absorve 5x Mais</t>
        </is>
      </c>
      <c r="C118" s="19" t="inlineStr">
        <is>
          <t>20kg</t>
        </is>
      </c>
      <c r="D118" s="19" t="inlineStr">
        <is>
          <t>GRANULADO-GATO-20KG</t>
        </is>
      </c>
      <c r="E118" s="19" t="inlineStr">
        <is>
          <t>23398049242</t>
        </is>
      </c>
      <c r="F118" s="19" t="inlineStr">
        <is>
          <t>228797560392</t>
        </is>
      </c>
      <c r="G118" s="19" t="inlineStr">
        <is>
          <t>NORMAL</t>
        </is>
      </c>
      <c r="H118" s="20" t="n">
        <v>99.90000000000001</v>
      </c>
      <c r="I118" s="20" t="n">
        <v>79.89</v>
      </c>
      <c r="J118" s="21" t="inlineStr">
        <is>
          <t>SIM</t>
        </is>
      </c>
      <c r="K118" s="20" t="n">
        <v>79.89</v>
      </c>
      <c r="L118" s="35">
        <f>IF(K118&lt;&gt;"",K118,I118)</f>
        <v/>
      </c>
      <c r="M118" s="81" t="n">
        <v>1</v>
      </c>
      <c r="N118" s="82" t="n">
        <v>27.45</v>
      </c>
      <c r="O118" s="80">
        <f>ROUND(M118*N118,2)</f>
        <v/>
      </c>
      <c r="P118" s="80">
        <f>IF($O118="","",L118-O118-(L118*IF(L118&lt;=79.99,20%,14%)+IF(L118&lt;=79.99,4,IF(L118&lt;=99.99,16,IF(L118&lt;=199.99,20,IF(L118&lt;=499.99,26,28)))))-L118*1.3%-L118*6%-(L118-O118)*9.25%-L118*3%-L118*3%-1)</f>
        <v/>
      </c>
      <c r="Q118" s="22">
        <f>IF(AND(K118&lt;&gt;"",H118&gt;0),(H118-K118)/H118,"")</f>
        <v/>
      </c>
      <c r="R118" s="19" t="inlineStr">
        <is>
          <t>492047266168992</t>
        </is>
      </c>
      <c r="S118" s="23" t="n">
        <v>46248</v>
      </c>
      <c r="T118" s="23" t="n">
        <v>46249</v>
      </c>
      <c r="U118" s="19" t="inlineStr">
        <is>
          <t>100923</t>
        </is>
      </c>
      <c r="V118" t="inlineStr">
        <is>
          <t>213516</t>
        </is>
      </c>
      <c r="W118" t="inlineStr">
        <is>
          <t>venda casada (36 pedidos)</t>
        </is>
      </c>
      <c r="X118" t="n">
        <v>36</v>
      </c>
      <c r="Y118" t="inlineStr">
        <is>
          <t>ok</t>
        </is>
      </c>
    </row>
    <row r="119" ht="15" customFormat="1" customHeight="1" s="14">
      <c r="A119" s="14" t="inlineStr">
        <is>
          <t>Jacartta</t>
        </is>
      </c>
      <c r="B119" s="14" t="inlineStr">
        <is>
          <t>Granulado De Madeira Higiênico para Gatos Absorve 5x Mais</t>
        </is>
      </c>
      <c r="C119" s="14" t="inlineStr">
        <is>
          <t>2kg</t>
        </is>
      </c>
      <c r="D119" s="14" t="inlineStr">
        <is>
          <t>GRANULADO-GATO-2KG</t>
        </is>
      </c>
      <c r="E119" s="14" t="inlineStr">
        <is>
          <t>23398049242</t>
        </is>
      </c>
      <c r="F119" s="14" t="inlineStr">
        <is>
          <t>228797560393</t>
        </is>
      </c>
      <c r="G119" s="14" t="inlineStr">
        <is>
          <t>NORMAL</t>
        </is>
      </c>
      <c r="H119" s="15" t="n">
        <v>39.9</v>
      </c>
      <c r="I119" s="15" t="n">
        <v>14.9</v>
      </c>
      <c r="J119" s="16" t="inlineStr">
        <is>
          <t>SIM</t>
        </is>
      </c>
      <c r="K119" s="15" t="n">
        <v>14.9</v>
      </c>
      <c r="L119" s="35">
        <f>IF(K119&lt;&gt;"",K119,I119)</f>
        <v/>
      </c>
      <c r="M119" s="84" t="n">
        <v>1</v>
      </c>
      <c r="N119" s="85" t="n">
        <v>2.35</v>
      </c>
      <c r="O119" s="80">
        <f>ROUND(M119*N119,2)</f>
        <v/>
      </c>
      <c r="P119" s="80">
        <f>IF($O119="","",L119-O119-(L119*IF(L119&lt;=79.99,20%,14%)+IF(L119&lt;=79.99,4,IF(L119&lt;=99.99,16,IF(L119&lt;=199.99,20,IF(L119&lt;=499.99,26,28)))))-L119*1.3%-L119*6%-(L119-O119)*9.25%-L119*3%-L119*3%-1)</f>
        <v/>
      </c>
      <c r="Q119" s="17">
        <f>IF(AND(K119&lt;&gt;"",H119&gt;0),(H119-K119)/H119,"")</f>
        <v/>
      </c>
      <c r="R119" s="14" t="inlineStr">
        <is>
          <t>492047266168992</t>
        </is>
      </c>
      <c r="S119" s="18" t="n">
        <v>46248</v>
      </c>
      <c r="T119" s="18" t="n">
        <v>46249</v>
      </c>
      <c r="U119" s="14" t="inlineStr">
        <is>
          <t>100923</t>
        </is>
      </c>
      <c r="V119" t="inlineStr">
        <is>
          <t>213513</t>
        </is>
      </c>
      <c r="W119" t="inlineStr">
        <is>
          <t>venda casada (9 pedidos)</t>
        </is>
      </c>
      <c r="X119" t="n">
        <v>9</v>
      </c>
      <c r="Y119" t="inlineStr">
        <is>
          <t>ok</t>
        </is>
      </c>
    </row>
    <row r="120" ht="15" customFormat="1" customHeight="1" s="19">
      <c r="A120" s="19" t="inlineStr">
        <is>
          <t>Jacartta</t>
        </is>
      </c>
      <c r="B120" s="19" t="inlineStr">
        <is>
          <t>Granulado De Madeira Higiênico para Gatos Absorve 5x Mais</t>
        </is>
      </c>
      <c r="C120" s="19" t="inlineStr">
        <is>
          <t>4kg</t>
        </is>
      </c>
      <c r="D120" s="19" t="inlineStr">
        <is>
          <t>GRANULADO-GATO-4KG</t>
        </is>
      </c>
      <c r="E120" s="19" t="inlineStr">
        <is>
          <t>23398049242</t>
        </is>
      </c>
      <c r="F120" s="19" t="inlineStr">
        <is>
          <t>228797560394</t>
        </is>
      </c>
      <c r="G120" s="19" t="inlineStr">
        <is>
          <t>NORMAL</t>
        </is>
      </c>
      <c r="H120" s="20" t="n">
        <v>29.9</v>
      </c>
      <c r="I120" s="20" t="n">
        <v>29.59</v>
      </c>
      <c r="J120" s="21" t="inlineStr">
        <is>
          <t>SIM</t>
        </is>
      </c>
      <c r="K120" s="20" t="n">
        <v>29.59</v>
      </c>
      <c r="L120" s="35">
        <f>IF(K120&lt;&gt;"",K120,I120)</f>
        <v/>
      </c>
      <c r="M120" s="81" t="n">
        <v>1</v>
      </c>
      <c r="N120" s="82" t="n">
        <v>2.35</v>
      </c>
      <c r="O120" s="80">
        <f>ROUND(M120*N120,2)</f>
        <v/>
      </c>
      <c r="P120" s="80">
        <f>IF($O120="","",L120-O120-(L120*IF(L120&lt;=79.99,20%,14%)+IF(L120&lt;=79.99,4,IF(L120&lt;=99.99,16,IF(L120&lt;=199.99,20,IF(L120&lt;=499.99,26,28)))))-L120*1.3%-L120*6%-(L120-O120)*9.25%-L120*3%-L120*3%-1)</f>
        <v/>
      </c>
      <c r="Q120" s="22">
        <f>IF(AND(K120&lt;&gt;"",H120&gt;0),(H120-K120)/H120,"")</f>
        <v/>
      </c>
      <c r="R120" s="19" t="inlineStr">
        <is>
          <t>492047266168992</t>
        </is>
      </c>
      <c r="S120" s="23" t="n">
        <v>46248</v>
      </c>
      <c r="T120" s="23" t="n">
        <v>46249</v>
      </c>
      <c r="U120" s="19" t="inlineStr">
        <is>
          <t>100923</t>
        </is>
      </c>
      <c r="V120" t="inlineStr">
        <is>
          <t>213514</t>
        </is>
      </c>
      <c r="W120" t="inlineStr">
        <is>
          <t>venda casada (4 pedidos)</t>
        </is>
      </c>
      <c r="X120" t="n">
        <v>4</v>
      </c>
      <c r="Y120" t="inlineStr">
        <is>
          <t>ok</t>
        </is>
      </c>
    </row>
    <row r="121" ht="15" customFormat="1" customHeight="1" s="14">
      <c r="A121" s="14" t="inlineStr">
        <is>
          <t>Jacartta</t>
        </is>
      </c>
      <c r="B121" s="14" t="inlineStr">
        <is>
          <t>Invicto 11,4 kg 11,4 mg 6 comprimidos Dechra - Antipulgas para Cães</t>
        </is>
      </c>
      <c r="C121" s="14" t="inlineStr">
        <is>
          <t>Sem variação</t>
        </is>
      </c>
      <c r="D121" s="14" t="inlineStr">
        <is>
          <t>0023</t>
        </is>
      </c>
      <c r="E121" s="14" t="inlineStr">
        <is>
          <t>20454871414</t>
        </is>
      </c>
      <c r="F121" s="14" t="inlineStr">
        <is>
          <t>0</t>
        </is>
      </c>
      <c r="G121" s="14" t="inlineStr">
        <is>
          <t>NORMAL</t>
        </is>
      </c>
      <c r="H121" s="15" t="n">
        <v>199.9</v>
      </c>
      <c r="I121" s="15" t="n">
        <v>59.9</v>
      </c>
      <c r="J121" s="16" t="inlineStr">
        <is>
          <t>SIM</t>
        </is>
      </c>
      <c r="K121" s="15" t="n">
        <v>59.9</v>
      </c>
      <c r="L121" s="35">
        <f>IF(K121&lt;&gt;"",K121,I121)</f>
        <v/>
      </c>
      <c r="M121" s="28" t="n"/>
      <c r="N121" s="28" t="n"/>
      <c r="O121" s="29" t="n"/>
      <c r="P121" s="80">
        <f>IF($O121="","",L121-O121-(L121*IF(L121&lt;=79.99,20%,14%)+IF(L121&lt;=79.99,4,IF(L121&lt;=99.99,16,IF(L121&lt;=199.99,20,IF(L121&lt;=499.99,26,28)))))-L121*1.3%-L121*6%-(L121-O121)*9.25%-L121*3%-L121*3%-1)</f>
        <v/>
      </c>
      <c r="Q121" s="17">
        <f>IF(AND(K121&lt;&gt;"",H121&gt;0),(H121-K121)/H121,"")</f>
        <v/>
      </c>
      <c r="R121" s="14" t="inlineStr">
        <is>
          <t>909481504866304</t>
        </is>
      </c>
      <c r="S121" s="18" t="n">
        <v>46144.3875</v>
      </c>
      <c r="T121" s="18" t="n">
        <v>46295.4375</v>
      </c>
      <c r="U121" s="14" t="inlineStr">
        <is>
          <t>100942</t>
        </is>
      </c>
      <c r="V121" t="inlineStr">
        <is>
          <t>0023</t>
        </is>
      </c>
      <c r="W121" t="inlineStr">
        <is>
          <t>SKU idêntico na Olist · CUSTO ZERADO na Olist (conferido hoje)</t>
        </is>
      </c>
      <c r="Y121" t="inlineStr">
        <is>
          <t>ok</t>
        </is>
      </c>
    </row>
    <row r="122" ht="15" customFormat="1" customHeight="1" s="19">
      <c r="A122" s="19" t="inlineStr">
        <is>
          <t>Jacartta</t>
        </is>
      </c>
      <c r="B122" s="19" t="inlineStr">
        <is>
          <t>Invicto 57mg Antipulgas P/cães E Gatos De 11,4kg A 57kg - 1 Comprimido</t>
        </is>
      </c>
      <c r="C122" s="19" t="inlineStr">
        <is>
          <t>Sem variação</t>
        </is>
      </c>
      <c r="D122" s="19" t="inlineStr">
        <is>
          <t>010</t>
        </is>
      </c>
      <c r="E122" s="19" t="inlineStr">
        <is>
          <t>23396431589</t>
        </is>
      </c>
      <c r="F122" s="19" t="inlineStr">
        <is>
          <t>0</t>
        </is>
      </c>
      <c r="G122" s="19" t="inlineStr">
        <is>
          <t>NORMAL</t>
        </is>
      </c>
      <c r="H122" s="20" t="n">
        <v>59.8</v>
      </c>
      <c r="I122" s="20" t="n">
        <v>16.9</v>
      </c>
      <c r="J122" s="21" t="inlineStr">
        <is>
          <t>SIM</t>
        </is>
      </c>
      <c r="K122" s="20" t="n">
        <v>16.9</v>
      </c>
      <c r="L122" s="35">
        <f>IF(K122&lt;&gt;"",K122,I122)</f>
        <v/>
      </c>
      <c r="M122" s="81" t="n">
        <v>1</v>
      </c>
      <c r="N122" s="82" t="n">
        <v>6.52</v>
      </c>
      <c r="O122" s="80">
        <f>ROUND(M122*N122,2)</f>
        <v/>
      </c>
      <c r="P122" s="80">
        <f>IF($O122="","",L122-O122-(L122*IF(L122&lt;=79.99,20%,14%)+IF(L122&lt;=79.99,4,IF(L122&lt;=99.99,16,IF(L122&lt;=199.99,20,IF(L122&lt;=499.99,26,28)))))-L122*1.3%-L122*6%-(L122-O122)*9.25%-L122*3%-L122*3%-1)</f>
        <v/>
      </c>
      <c r="Q122" s="22">
        <f>IF(AND(K122&lt;&gt;"",H122&gt;0),(H122-K122)/H122,"")</f>
        <v/>
      </c>
      <c r="R122" s="19" t="inlineStr">
        <is>
          <t>909481504866304</t>
        </is>
      </c>
      <c r="S122" s="23" t="n">
        <v>46144.3875</v>
      </c>
      <c r="T122" s="23" t="n">
        <v>46295.4375</v>
      </c>
      <c r="U122" s="19" t="inlineStr">
        <is>
          <t>100942</t>
        </is>
      </c>
      <c r="V122" t="inlineStr">
        <is>
          <t>213547</t>
        </is>
      </c>
      <c r="W122" t="inlineStr">
        <is>
          <t>SKU do de-para · custo do KIT 213690 (1× 213547)</t>
        </is>
      </c>
      <c r="X122" t="n">
        <v>2</v>
      </c>
      <c r="Y122" t="inlineStr">
        <is>
          <t>ok</t>
        </is>
      </c>
    </row>
    <row r="123" ht="15" customFormat="1" customHeight="1" s="14">
      <c r="A123" s="14" t="inlineStr">
        <is>
          <t>Jacartta</t>
        </is>
      </c>
      <c r="B123" s="14" t="inlineStr">
        <is>
          <t>Invicto Antipulgas Cães Dechra 57mg Blister + Bula (1 Comprimido)</t>
        </is>
      </c>
      <c r="C123" s="14" t="inlineStr">
        <is>
          <t>Sem variação</t>
        </is>
      </c>
      <c r="D123" s="14" t="inlineStr">
        <is>
          <t>010</t>
        </is>
      </c>
      <c r="E123" s="14" t="inlineStr">
        <is>
          <t>19754870808</t>
        </is>
      </c>
      <c r="F123" s="14" t="inlineStr">
        <is>
          <t>0</t>
        </is>
      </c>
      <c r="G123" s="14" t="inlineStr">
        <is>
          <t>NORMAL</t>
        </is>
      </c>
      <c r="H123" s="15" t="n">
        <v>23.9</v>
      </c>
      <c r="I123" s="15" t="n">
        <v>23.9</v>
      </c>
      <c r="J123" s="16" t="inlineStr">
        <is>
          <t>NÃO</t>
        </is>
      </c>
      <c r="K123" s="15" t="n"/>
      <c r="L123" s="35">
        <f>IF(K123&lt;&gt;"",K123,I123)</f>
        <v/>
      </c>
      <c r="M123" s="84" t="n">
        <v>1</v>
      </c>
      <c r="N123" s="85" t="n">
        <v>6.52</v>
      </c>
      <c r="O123" s="80">
        <f>ROUND(M123*N123,2)</f>
        <v/>
      </c>
      <c r="P123" s="80">
        <f>IF($O123="","",L123-O123-(L123*IF(L123&lt;=79.99,20%,14%)+IF(L123&lt;=79.99,4,IF(L123&lt;=99.99,16,IF(L123&lt;=199.99,20,IF(L123&lt;=499.99,26,28)))))-L123*1.3%-L123*6%-(L123-O123)*9.25%-L123*3%-L123*3%-1)</f>
        <v/>
      </c>
      <c r="Q123" s="17">
        <f>IF(AND(K123&lt;&gt;"",H123&gt;0),(H123-K123)/H123,"")</f>
        <v/>
      </c>
      <c r="R123" s="14" t="inlineStr"/>
      <c r="S123" s="18" t="n"/>
      <c r="T123" s="18" t="n"/>
      <c r="U123" s="14" t="inlineStr">
        <is>
          <t>100942</t>
        </is>
      </c>
      <c r="V123" t="inlineStr">
        <is>
          <t>213547</t>
        </is>
      </c>
      <c r="W123" t="inlineStr">
        <is>
          <t>venda casada (2 pedidos) · custo do KIT 213690 (1× 213547)</t>
        </is>
      </c>
      <c r="X123" t="n">
        <v>2</v>
      </c>
      <c r="Y123" t="inlineStr">
        <is>
          <t>ok</t>
        </is>
      </c>
    </row>
    <row r="124" ht="15" customFormat="1" customHeight="1" s="19">
      <c r="A124" s="19" t="inlineStr">
        <is>
          <t>Jacartta</t>
        </is>
      </c>
      <c r="B124" s="19" t="inlineStr">
        <is>
          <t>Jogo De Talheres inox Faqueiro Porta Talher Com 25 Peças Preto Branco E Rosa</t>
        </is>
      </c>
      <c r="C124" s="19" t="inlineStr">
        <is>
          <t>Branco</t>
        </is>
      </c>
      <c r="D124" s="19" t="inlineStr">
        <is>
          <t>JG-TALHER-BR</t>
        </is>
      </c>
      <c r="E124" s="19" t="inlineStr">
        <is>
          <t>23694518151</t>
        </is>
      </c>
      <c r="F124" s="19" t="inlineStr">
        <is>
          <t>199613014928</t>
        </is>
      </c>
      <c r="G124" s="19" t="inlineStr">
        <is>
          <t>NORMAL</t>
        </is>
      </c>
      <c r="H124" s="20" t="n">
        <v>46.9</v>
      </c>
      <c r="I124" s="20" t="n">
        <v>22.9</v>
      </c>
      <c r="J124" s="21" t="inlineStr">
        <is>
          <t>SIM</t>
        </is>
      </c>
      <c r="K124" s="20" t="n">
        <v>22.9</v>
      </c>
      <c r="L124" s="35">
        <f>IF(K124&lt;&gt;"",K124,I124)</f>
        <v/>
      </c>
      <c r="M124" s="81" t="n">
        <v>1</v>
      </c>
      <c r="N124" s="82" t="n">
        <v>1.73</v>
      </c>
      <c r="O124" s="80">
        <f>ROUND(M124*N124,2)</f>
        <v/>
      </c>
      <c r="P124" s="80">
        <f>IF($O124="","",L124-O124-(L124*IF(L124&lt;=79.99,20%,14%)+IF(L124&lt;=79.99,4,IF(L124&lt;=99.99,16,IF(L124&lt;=199.99,20,IF(L124&lt;=499.99,26,28)))))-L124*1.3%-L124*6%-(L124-O124)*9.25%-L124*3%-L124*3%-1)</f>
        <v/>
      </c>
      <c r="Q124" s="22">
        <f>IF(AND(K124&lt;&gt;"",H124&gt;0),(H124-K124)/H124,"")</f>
        <v/>
      </c>
      <c r="R124" s="19" t="inlineStr">
        <is>
          <t>478386871025791</t>
        </is>
      </c>
      <c r="S124" s="23" t="n">
        <v>46209.64583333334</v>
      </c>
      <c r="T124" s="23" t="n">
        <v>46326.99930555555</v>
      </c>
      <c r="U124" s="19" t="inlineStr">
        <is>
          <t>101244</t>
        </is>
      </c>
      <c r="V124" t="inlineStr">
        <is>
          <t>214141</t>
        </is>
      </c>
      <c r="W124" t="inlineStr">
        <is>
          <t>herdado do anúncio</t>
        </is>
      </c>
      <c r="Y124" t="inlineStr">
        <is>
          <t>ok</t>
        </is>
      </c>
    </row>
    <row r="125" ht="15" customFormat="1" customHeight="1" s="14">
      <c r="A125" s="14" t="inlineStr">
        <is>
          <t>Jacartta</t>
        </is>
      </c>
      <c r="B125" s="14" t="inlineStr">
        <is>
          <t>Jogo De Talheres inox Faqueiro Porta Talher Com 25 Peças Preto Branco E Rosa</t>
        </is>
      </c>
      <c r="C125" s="14" t="inlineStr">
        <is>
          <t>Preto</t>
        </is>
      </c>
      <c r="D125" s="14" t="inlineStr">
        <is>
          <t>JG-TALHER-PT</t>
        </is>
      </c>
      <c r="E125" s="14" t="inlineStr">
        <is>
          <t>23694518151</t>
        </is>
      </c>
      <c r="F125" s="14" t="inlineStr">
        <is>
          <t>199613014927</t>
        </is>
      </c>
      <c r="G125" s="14" t="inlineStr">
        <is>
          <t>NORMAL</t>
        </is>
      </c>
      <c r="H125" s="15" t="n">
        <v>46.9</v>
      </c>
      <c r="I125" s="15" t="n">
        <v>22.9</v>
      </c>
      <c r="J125" s="16" t="inlineStr">
        <is>
          <t>SIM</t>
        </is>
      </c>
      <c r="K125" s="15" t="n">
        <v>22.9</v>
      </c>
      <c r="L125" s="35">
        <f>IF(K125&lt;&gt;"",K125,I125)</f>
        <v/>
      </c>
      <c r="M125" s="84" t="n">
        <v>1</v>
      </c>
      <c r="N125" s="85" t="n">
        <v>1.73</v>
      </c>
      <c r="O125" s="80">
        <f>ROUND(M125*N125,2)</f>
        <v/>
      </c>
      <c r="P125" s="80">
        <f>IF($O125="","",L125-O125-(L125*IF(L125&lt;=79.99,20%,14%)+IF(L125&lt;=79.99,4,IF(L125&lt;=99.99,16,IF(L125&lt;=199.99,20,IF(L125&lt;=499.99,26,28)))))-L125*1.3%-L125*6%-(L125-O125)*9.25%-L125*3%-L125*3%-1)</f>
        <v/>
      </c>
      <c r="Q125" s="17">
        <f>IF(AND(K125&lt;&gt;"",H125&gt;0),(H125-K125)/H125,"")</f>
        <v/>
      </c>
      <c r="R125" s="14" t="inlineStr">
        <is>
          <t>478386871025791</t>
        </is>
      </c>
      <c r="S125" s="18" t="n">
        <v>46209.64583333334</v>
      </c>
      <c r="T125" s="18" t="n">
        <v>46326.99930555555</v>
      </c>
      <c r="U125" s="14" t="inlineStr">
        <is>
          <t>101244</t>
        </is>
      </c>
      <c r="V125" t="inlineStr">
        <is>
          <t>214141</t>
        </is>
      </c>
      <c r="W125" t="inlineStr">
        <is>
          <t>herdado do anúncio</t>
        </is>
      </c>
      <c r="Y125" t="inlineStr">
        <is>
          <t>ok</t>
        </is>
      </c>
    </row>
    <row r="126" ht="15" customFormat="1" customHeight="1" s="19">
      <c r="A126" s="19" t="inlineStr">
        <is>
          <t>Jacartta</t>
        </is>
      </c>
      <c r="B126" s="19" t="inlineStr">
        <is>
          <t>Jogo De Talheres inox Faqueiro Porta Talher Com 25 Peças Preto Branco E Rosa</t>
        </is>
      </c>
      <c r="C126" s="19" t="inlineStr">
        <is>
          <t>Rosa</t>
        </is>
      </c>
      <c r="D126" s="19" t="inlineStr">
        <is>
          <t>JG-TALHER-RS</t>
        </is>
      </c>
      <c r="E126" s="19" t="inlineStr">
        <is>
          <t>23694518151</t>
        </is>
      </c>
      <c r="F126" s="19" t="inlineStr">
        <is>
          <t>149552481548</t>
        </is>
      </c>
      <c r="G126" s="19" t="inlineStr">
        <is>
          <t>NORMAL</t>
        </is>
      </c>
      <c r="H126" s="20" t="n">
        <v>59.9</v>
      </c>
      <c r="I126" s="20" t="n">
        <v>22.9</v>
      </c>
      <c r="J126" s="21" t="inlineStr">
        <is>
          <t>SIM</t>
        </is>
      </c>
      <c r="K126" s="20" t="n">
        <v>22.9</v>
      </c>
      <c r="L126" s="35">
        <f>IF(K126&lt;&gt;"",K126,I126)</f>
        <v/>
      </c>
      <c r="M126" s="81" t="n">
        <v>1</v>
      </c>
      <c r="N126" s="82" t="n">
        <v>1.73</v>
      </c>
      <c r="O126" s="80">
        <f>ROUND(M126*N126,2)</f>
        <v/>
      </c>
      <c r="P126" s="80">
        <f>IF($O126="","",L126-O126-(L126*IF(L126&lt;=79.99,20%,14%)+IF(L126&lt;=79.99,4,IF(L126&lt;=99.99,16,IF(L126&lt;=199.99,20,IF(L126&lt;=499.99,26,28)))))-L126*1.3%-L126*6%-(L126-O126)*9.25%-L126*3%-L126*3%-1)</f>
        <v/>
      </c>
      <c r="Q126" s="22">
        <f>IF(AND(K126&lt;&gt;"",H126&gt;0),(H126-K126)/H126,"")</f>
        <v/>
      </c>
      <c r="R126" s="19" t="inlineStr">
        <is>
          <t>478386871025791</t>
        </is>
      </c>
      <c r="S126" s="23" t="n">
        <v>46209.64583333334</v>
      </c>
      <c r="T126" s="23" t="n">
        <v>46326.99930555555</v>
      </c>
      <c r="U126" s="19" t="inlineStr">
        <is>
          <t>101244</t>
        </is>
      </c>
      <c r="V126" t="inlineStr">
        <is>
          <t>214141</t>
        </is>
      </c>
      <c r="W126" t="inlineStr">
        <is>
          <t>venda casada (1 pedido)</t>
        </is>
      </c>
      <c r="X126" t="n">
        <v>1</v>
      </c>
      <c r="Y126" t="inlineStr">
        <is>
          <t>⚠ evidência fraca (1 pedido)</t>
        </is>
      </c>
    </row>
    <row r="127" ht="15" customFormat="1" customHeight="1" s="14">
      <c r="A127" s="14" t="inlineStr">
        <is>
          <t>Jacartta</t>
        </is>
      </c>
      <c r="B127" s="14" t="inlineStr">
        <is>
          <t>Jogo De Talheres inox Faqueiro Porta Talher Com 25 Peças Preto Branco E Rosa</t>
        </is>
      </c>
      <c r="C127" s="14" t="inlineStr">
        <is>
          <t>Sortido</t>
        </is>
      </c>
      <c r="D127" s="14" t="inlineStr">
        <is>
          <t>JG-TALHER-SOR</t>
        </is>
      </c>
      <c r="E127" s="14" t="inlineStr">
        <is>
          <t>23694518151</t>
        </is>
      </c>
      <c r="F127" s="14" t="inlineStr">
        <is>
          <t>199613014929</t>
        </is>
      </c>
      <c r="G127" s="14" t="inlineStr">
        <is>
          <t>NORMAL</t>
        </is>
      </c>
      <c r="H127" s="15" t="n">
        <v>46.9</v>
      </c>
      <c r="I127" s="15" t="n">
        <v>19.9</v>
      </c>
      <c r="J127" s="16" t="inlineStr">
        <is>
          <t>SIM</t>
        </is>
      </c>
      <c r="K127" s="15" t="n">
        <v>19.9</v>
      </c>
      <c r="L127" s="35">
        <f>IF(K127&lt;&gt;"",K127,I127)</f>
        <v/>
      </c>
      <c r="M127" s="84" t="n">
        <v>1</v>
      </c>
      <c r="N127" s="85" t="n">
        <v>1.73</v>
      </c>
      <c r="O127" s="80">
        <f>ROUND(M127*N127,2)</f>
        <v/>
      </c>
      <c r="P127" s="80">
        <f>IF($O127="","",L127-O127-(L127*IF(L127&lt;=79.99,20%,14%)+IF(L127&lt;=79.99,4,IF(L127&lt;=99.99,16,IF(L127&lt;=199.99,20,IF(L127&lt;=499.99,26,28)))))-L127*1.3%-L127*6%-(L127-O127)*9.25%-L127*3%-L127*3%-1)</f>
        <v/>
      </c>
      <c r="Q127" s="17">
        <f>IF(AND(K127&lt;&gt;"",H127&gt;0),(H127-K127)/H127,"")</f>
        <v/>
      </c>
      <c r="R127" s="14" t="inlineStr">
        <is>
          <t>478386871025791</t>
        </is>
      </c>
      <c r="S127" s="18" t="n">
        <v>46209.64583333334</v>
      </c>
      <c r="T127" s="18" t="n">
        <v>46326.99930555555</v>
      </c>
      <c r="U127" s="14" t="inlineStr">
        <is>
          <t>101244</t>
        </is>
      </c>
      <c r="V127" t="inlineStr">
        <is>
          <t>214141</t>
        </is>
      </c>
      <c r="W127" t="inlineStr">
        <is>
          <t>herdado do anúncio</t>
        </is>
      </c>
      <c r="Y127" t="inlineStr">
        <is>
          <t>ok</t>
        </is>
      </c>
    </row>
    <row r="128" ht="15" customFormat="1" customHeight="1" s="19">
      <c r="A128" s="19" t="inlineStr">
        <is>
          <t>Jacartta</t>
        </is>
      </c>
      <c r="B128" s="19" t="inlineStr">
        <is>
          <t>Jogo De Talheres inox Faqueiro Porta Talher Com 25 Peças Preto Branco E Rosa</t>
        </is>
      </c>
      <c r="C128" s="19" t="inlineStr">
        <is>
          <t>Vermelho</t>
        </is>
      </c>
      <c r="D128" s="19" t="inlineStr">
        <is>
          <t>JG-TALHER-VM</t>
        </is>
      </c>
      <c r="E128" s="19" t="inlineStr">
        <is>
          <t>23694518151</t>
        </is>
      </c>
      <c r="F128" s="19" t="inlineStr">
        <is>
          <t>149552481547</t>
        </is>
      </c>
      <c r="G128" s="19" t="inlineStr">
        <is>
          <t>NORMAL</t>
        </is>
      </c>
      <c r="H128" s="20" t="n">
        <v>59.9</v>
      </c>
      <c r="I128" s="20" t="n">
        <v>22.9</v>
      </c>
      <c r="J128" s="21" t="inlineStr">
        <is>
          <t>SIM</t>
        </is>
      </c>
      <c r="K128" s="20" t="n">
        <v>22.9</v>
      </c>
      <c r="L128" s="35">
        <f>IF(K128&lt;&gt;"",K128,I128)</f>
        <v/>
      </c>
      <c r="M128" s="81" t="n">
        <v>1</v>
      </c>
      <c r="N128" s="82" t="n">
        <v>1.73</v>
      </c>
      <c r="O128" s="80">
        <f>ROUND(M128*N128,2)</f>
        <v/>
      </c>
      <c r="P128" s="80">
        <f>IF($O128="","",L128-O128-(L128*IF(L128&lt;=79.99,20%,14%)+IF(L128&lt;=79.99,4,IF(L128&lt;=99.99,16,IF(L128&lt;=199.99,20,IF(L128&lt;=499.99,26,28)))))-L128*1.3%-L128*6%-(L128-O128)*9.25%-L128*3%-L128*3%-1)</f>
        <v/>
      </c>
      <c r="Q128" s="22">
        <f>IF(AND(K128&lt;&gt;"",H128&gt;0),(H128-K128)/H128,"")</f>
        <v/>
      </c>
      <c r="R128" s="19" t="inlineStr">
        <is>
          <t>478386871025791</t>
        </is>
      </c>
      <c r="S128" s="23" t="n">
        <v>46209.64583333334</v>
      </c>
      <c r="T128" s="23" t="n">
        <v>46326.99930555555</v>
      </c>
      <c r="U128" s="19" t="inlineStr">
        <is>
          <t>101244</t>
        </is>
      </c>
      <c r="V128" t="inlineStr">
        <is>
          <t>214141</t>
        </is>
      </c>
      <c r="W128" t="inlineStr">
        <is>
          <t>herdado do anúncio</t>
        </is>
      </c>
      <c r="Y128" t="inlineStr">
        <is>
          <t>ok</t>
        </is>
      </c>
    </row>
    <row r="129" ht="15" customFormat="1" customHeight="1" s="14">
      <c r="A129" s="14" t="inlineStr">
        <is>
          <t>Jacartta</t>
        </is>
      </c>
      <c r="B129" s="14" t="inlineStr">
        <is>
          <t>Kit 100 Cabides de Madeira Marfim Adulto Antideslizante</t>
        </is>
      </c>
      <c r="C129" s="14" t="inlineStr">
        <is>
          <t>Sem variação</t>
        </is>
      </c>
      <c r="D129" s="14" t="inlineStr">
        <is>
          <t>KIT100-CABIDES-MADEIRA</t>
        </is>
      </c>
      <c r="E129" s="14" t="inlineStr">
        <is>
          <t>58202753223</t>
        </is>
      </c>
      <c r="F129" s="14" t="inlineStr">
        <is>
          <t>0</t>
        </is>
      </c>
      <c r="G129" s="14" t="inlineStr">
        <is>
          <t>NORMAL</t>
        </is>
      </c>
      <c r="H129" s="15" t="n">
        <v>499.9</v>
      </c>
      <c r="I129" s="15" t="n">
        <v>399.9</v>
      </c>
      <c r="J129" s="16" t="inlineStr">
        <is>
          <t>SIM</t>
        </is>
      </c>
      <c r="K129" s="15" t="n">
        <v>399.9</v>
      </c>
      <c r="L129" s="35">
        <f>IF(K129&lt;&gt;"",K129,I129)</f>
        <v/>
      </c>
      <c r="M129" s="28" t="n"/>
      <c r="N129" s="28" t="n"/>
      <c r="O129" s="29" t="n"/>
      <c r="P129" s="80">
        <f>IF($O129="","",L129-O129-(L129*IF(L129&lt;=79.99,20%,14%)+IF(L129&lt;=79.99,4,IF(L129&lt;=99.99,16,IF(L129&lt;=199.99,20,IF(L129&lt;=499.99,26,28)))))-L129*1.3%-L129*6%-(L129-O129)*9.25%-L129*3%-L129*3%-1)</f>
        <v/>
      </c>
      <c r="Q129" s="17">
        <f>IF(AND(K129&lt;&gt;"",H129&gt;0),(H129-K129)/H129,"")</f>
        <v/>
      </c>
      <c r="R129" s="14" t="inlineStr">
        <is>
          <t>478386871025791</t>
        </is>
      </c>
      <c r="S129" s="18" t="n">
        <v>46209.64583333334</v>
      </c>
      <c r="T129" s="18" t="n">
        <v>46326.99930555555</v>
      </c>
      <c r="U129" s="14" t="inlineStr">
        <is>
          <t>101253</t>
        </is>
      </c>
      <c r="W129" t="inlineStr">
        <is>
          <t>sem correspondência</t>
        </is>
      </c>
      <c r="Y129" t="inlineStr"/>
    </row>
    <row r="130" ht="15" customFormat="1" customHeight="1" s="19">
      <c r="A130" s="19" t="inlineStr">
        <is>
          <t>Jacartta</t>
        </is>
      </c>
      <c r="B130" s="19" t="inlineStr">
        <is>
          <t>Kit 100 Cabides De Veludo Slim Ultra Finos Antideslizante</t>
        </is>
      </c>
      <c r="C130" s="19" t="inlineStr">
        <is>
          <t>Cinza</t>
        </is>
      </c>
      <c r="D130" s="19" t="inlineStr">
        <is>
          <t>1762</t>
        </is>
      </c>
      <c r="E130" s="19" t="inlineStr">
        <is>
          <t>58201527713</t>
        </is>
      </c>
      <c r="F130" s="19" t="inlineStr">
        <is>
          <t>229433598734</t>
        </is>
      </c>
      <c r="G130" s="19" t="inlineStr">
        <is>
          <t>NORMAL</t>
        </is>
      </c>
      <c r="H130" s="20" t="n">
        <v>199.9</v>
      </c>
      <c r="I130" s="20" t="n">
        <v>122.89</v>
      </c>
      <c r="J130" s="21" t="inlineStr">
        <is>
          <t>SIM</t>
        </is>
      </c>
      <c r="K130" s="20" t="n">
        <v>122.89</v>
      </c>
      <c r="L130" s="35">
        <f>IF(K130&lt;&gt;"",K130,I130)</f>
        <v/>
      </c>
      <c r="M130" s="81" t="n">
        <v>100</v>
      </c>
      <c r="N130" s="82" t="n">
        <v>0.59</v>
      </c>
      <c r="O130" s="80">
        <f>ROUND(M130*N130,2)</f>
        <v/>
      </c>
      <c r="P130" s="80">
        <f>IF($O130="","",L130-O130-(L130*IF(L130&lt;=79.99,20%,14%)+IF(L130&lt;=79.99,4,IF(L130&lt;=99.99,16,IF(L130&lt;=199.99,20,IF(L130&lt;=499.99,26,28)))))-L130*1.3%-L130*6%-(L130-O130)*9.25%-L130*3%-L130*3%-1)</f>
        <v/>
      </c>
      <c r="Q130" s="22">
        <f>IF(AND(K130&lt;&gt;"",H130&gt;0),(H130-K130)/H130,"")</f>
        <v/>
      </c>
      <c r="R130" s="19" t="inlineStr">
        <is>
          <t>478386871025791</t>
        </is>
      </c>
      <c r="S130" s="23" t="n">
        <v>46209.64583333334</v>
      </c>
      <c r="T130" s="23" t="n">
        <v>46326.99930555555</v>
      </c>
      <c r="U130" s="19" t="inlineStr">
        <is>
          <t>101253</t>
        </is>
      </c>
      <c r="V130" t="inlineStr">
        <is>
          <t>213998</t>
        </is>
      </c>
      <c r="W130" t="inlineStr">
        <is>
          <t>venda casada (44 pedidos) · custo do KIT 214018 (100× 213998)</t>
        </is>
      </c>
      <c r="X130" t="n">
        <v>44</v>
      </c>
      <c r="Y130" t="inlineStr">
        <is>
          <t>ok</t>
        </is>
      </c>
    </row>
    <row r="131" ht="15" customFormat="1" customHeight="1" s="14">
      <c r="A131" s="14" t="inlineStr">
        <is>
          <t>Jacartta</t>
        </is>
      </c>
      <c r="B131" s="14" t="inlineStr">
        <is>
          <t>Kit 100 Cabides De Veludo Slim Ultra Finos Antideslizante</t>
        </is>
      </c>
      <c r="C131" s="14" t="inlineStr">
        <is>
          <t>Preto</t>
        </is>
      </c>
      <c r="D131" s="14" t="inlineStr">
        <is>
          <t>KIT-100-CAB-VEL-PT</t>
        </is>
      </c>
      <c r="E131" s="14" t="inlineStr">
        <is>
          <t>58201527713</t>
        </is>
      </c>
      <c r="F131" s="14" t="inlineStr">
        <is>
          <t>229433598733</t>
        </is>
      </c>
      <c r="G131" s="14" t="inlineStr">
        <is>
          <t>NORMAL</t>
        </is>
      </c>
      <c r="H131" s="15" t="n">
        <v>199.9</v>
      </c>
      <c r="I131" s="15" t="n">
        <v>122.89</v>
      </c>
      <c r="J131" s="16" t="inlineStr">
        <is>
          <t>SIM</t>
        </is>
      </c>
      <c r="K131" s="15" t="n">
        <v>122.89</v>
      </c>
      <c r="L131" s="35">
        <f>IF(K131&lt;&gt;"",K131,I131)</f>
        <v/>
      </c>
      <c r="M131" s="84" t="n">
        <v>100</v>
      </c>
      <c r="N131" s="85" t="n">
        <v>0.59</v>
      </c>
      <c r="O131" s="80">
        <f>ROUND(M131*N131,2)</f>
        <v/>
      </c>
      <c r="P131" s="80">
        <f>IF($O131="","",L131-O131-(L131*IF(L131&lt;=79.99,20%,14%)+IF(L131&lt;=79.99,4,IF(L131&lt;=99.99,16,IF(L131&lt;=199.99,20,IF(L131&lt;=499.99,26,28)))))-L131*1.3%-L131*6%-(L131-O131)*9.25%-L131*3%-L131*3%-1)</f>
        <v/>
      </c>
      <c r="Q131" s="17">
        <f>IF(AND(K131&lt;&gt;"",H131&gt;0),(H131-K131)/H131,"")</f>
        <v/>
      </c>
      <c r="R131" s="14" t="inlineStr">
        <is>
          <t>478386871025791</t>
        </is>
      </c>
      <c r="S131" s="18" t="n">
        <v>46209.64583333334</v>
      </c>
      <c r="T131" s="18" t="n">
        <v>46326.99930555555</v>
      </c>
      <c r="U131" s="14" t="inlineStr">
        <is>
          <t>101253</t>
        </is>
      </c>
      <c r="V131" t="inlineStr">
        <is>
          <t>213997</t>
        </is>
      </c>
      <c r="W131" t="inlineStr">
        <is>
          <t>venda casada (47 pedidos) · custo do KIT 214017 (100× 213997)</t>
        </is>
      </c>
      <c r="X131" t="n">
        <v>47</v>
      </c>
      <c r="Y131" t="inlineStr">
        <is>
          <t>ok</t>
        </is>
      </c>
    </row>
    <row r="132" ht="15" customFormat="1" customHeight="1" s="19">
      <c r="A132" s="14" t="inlineStr">
        <is>
          <t>Jacartta</t>
        </is>
      </c>
      <c r="B132" s="14" t="inlineStr">
        <is>
          <t>Kit 2 Bebedouro Para Beija Flor Aves Passaro Poleiro 250ml</t>
        </is>
      </c>
      <c r="C132" s="14" t="inlineStr">
        <is>
          <t>Kit 2</t>
        </is>
      </c>
      <c r="D132" s="14" t="inlineStr">
        <is>
          <t>KIT-2-BEBEDOURO-BEIJAFLOR</t>
        </is>
      </c>
      <c r="E132" s="14" t="inlineStr">
        <is>
          <t>23697343947</t>
        </is>
      </c>
      <c r="F132" s="14" t="inlineStr">
        <is>
          <t>239420794605</t>
        </is>
      </c>
      <c r="G132" s="14" t="inlineStr">
        <is>
          <t>NORMAL</t>
        </is>
      </c>
      <c r="H132" s="15" t="n">
        <v>59.9</v>
      </c>
      <c r="I132" s="15" t="n">
        <v>19.9</v>
      </c>
      <c r="J132" s="16" t="inlineStr">
        <is>
          <t>SIM</t>
        </is>
      </c>
      <c r="K132" s="15" t="n">
        <v>19.9</v>
      </c>
      <c r="L132" s="35">
        <f>IF(K132&lt;&gt;"",K132,I132)</f>
        <v/>
      </c>
      <c r="M132" s="84" t="n">
        <v>2</v>
      </c>
      <c r="N132" s="85" t="n">
        <v>3.35</v>
      </c>
      <c r="O132" s="80">
        <f>ROUND(M132*N132,2)</f>
        <v/>
      </c>
      <c r="P132" s="80">
        <f>IF($O132="","",L132-O132-(L132*IF(L132&lt;=79.99,20%,14%)+IF(L132&lt;=79.99,4,IF(L132&lt;=99.99,16,IF(L132&lt;=199.99,20,IF(L132&lt;=499.99,26,28)))))-L132*1.3%-L132*6%-(L132-O132)*9.25%-L132*3%-L132*3%-1)</f>
        <v/>
      </c>
      <c r="Q132" s="17">
        <f>IF(AND(K132&lt;&gt;"",H132&gt;0),(H132-K132)/H132,"")</f>
        <v/>
      </c>
      <c r="R132" s="14" t="inlineStr">
        <is>
          <t>909481504866304</t>
        </is>
      </c>
      <c r="S132" s="18" t="n">
        <v>46144.3875</v>
      </c>
      <c r="T132" s="18" t="n">
        <v>46295.4375</v>
      </c>
      <c r="U132" s="14" t="inlineStr">
        <is>
          <t>100916</t>
        </is>
      </c>
      <c r="V132" t="inlineStr">
        <is>
          <t>212811</t>
        </is>
      </c>
      <c r="W132" t="inlineStr">
        <is>
          <t>venda casada (181 pedidos) · custo do KIT 213561 (2× 212811)</t>
        </is>
      </c>
      <c r="X132" t="n">
        <v>181</v>
      </c>
      <c r="Y132" t="inlineStr">
        <is>
          <t>ok</t>
        </is>
      </c>
    </row>
    <row r="133" ht="15" customFormat="1" customHeight="1" s="14">
      <c r="A133" s="14" t="inlineStr">
        <is>
          <t>Jacartta</t>
        </is>
      </c>
      <c r="B133" s="14" t="inlineStr">
        <is>
          <t>Kit 2un Tapete para Cachorro Higiênico Espaço De Bicho  Pet 60x60cm 60 Unidades</t>
        </is>
      </c>
      <c r="C133" s="14" t="inlineStr">
        <is>
          <t>Sem variação</t>
        </is>
      </c>
      <c r="D133" s="14" t="inlineStr">
        <is>
          <t>0837</t>
        </is>
      </c>
      <c r="E133" s="14" t="inlineStr">
        <is>
          <t>19332166686</t>
        </is>
      </c>
      <c r="F133" s="14" t="inlineStr">
        <is>
          <t>0</t>
        </is>
      </c>
      <c r="G133" s="14" t="inlineStr">
        <is>
          <t>NORMAL</t>
        </is>
      </c>
      <c r="H133" s="15" t="n">
        <v>149.9</v>
      </c>
      <c r="I133" s="15" t="n">
        <v>79.98999999999999</v>
      </c>
      <c r="J133" s="16" t="inlineStr">
        <is>
          <t>SIM</t>
        </is>
      </c>
      <c r="K133" s="15" t="n">
        <v>79.98999999999999</v>
      </c>
      <c r="L133" s="35">
        <f>IF(K133&lt;&gt;"",K133,I133)</f>
        <v/>
      </c>
      <c r="M133" s="84" t="n">
        <v>2</v>
      </c>
      <c r="N133" s="85" t="n">
        <v>19.58</v>
      </c>
      <c r="O133" s="80">
        <f>ROUND(M133*N133,2)</f>
        <v/>
      </c>
      <c r="P133" s="80">
        <f>IF($O133="","",L133-O133-(L133*IF(L133&lt;=79.99,20%,14%)+IF(L133&lt;=79.99,4,IF(L133&lt;=99.99,16,IF(L133&lt;=199.99,20,IF(L133&lt;=499.99,26,28)))))-L133*1.3%-L133*6%-(L133-O133)*9.25%-L133*3%-L133*3%-1)</f>
        <v/>
      </c>
      <c r="Q133" s="17">
        <f>IF(AND(K133&lt;&gt;"",H133&gt;0),(H133-K133)/H133,"")</f>
        <v/>
      </c>
      <c r="R133" s="14" t="inlineStr">
        <is>
          <t>909481068642304</t>
        </is>
      </c>
      <c r="S133" s="18" t="n">
        <v>46144.38680555556</v>
      </c>
      <c r="T133" s="18" t="n">
        <v>46295.4375</v>
      </c>
      <c r="U133" s="14" t="inlineStr">
        <is>
          <t>100926</t>
        </is>
      </c>
      <c r="V133" t="inlineStr">
        <is>
          <t>212952</t>
        </is>
      </c>
      <c r="W133" t="inlineStr">
        <is>
          <t>venda casada (41 pedidos) · custo do KIT 212446 (2× 212952)</t>
        </is>
      </c>
      <c r="X133" t="n">
        <v>41</v>
      </c>
      <c r="Y133" t="inlineStr">
        <is>
          <t>ok</t>
        </is>
      </c>
    </row>
    <row r="134" ht="15" customFormat="1" customHeight="1" s="19">
      <c r="A134" s="14" t="inlineStr">
        <is>
          <t>Jacartta</t>
        </is>
      </c>
      <c r="B134" s="14" t="inlineStr">
        <is>
          <t>Kit 30 Cabide Madeira Marfim Barato Premium Organização Roupas Calças Loja Atacado</t>
        </is>
      </c>
      <c r="C134" s="14" t="inlineStr">
        <is>
          <t>Sem variação</t>
        </is>
      </c>
      <c r="D134" s="14" t="inlineStr">
        <is>
          <t>KIT30-CAB-MADEIRA</t>
        </is>
      </c>
      <c r="E134" s="14" t="inlineStr">
        <is>
          <t>58202757813</t>
        </is>
      </c>
      <c r="F134" s="14" t="inlineStr">
        <is>
          <t>0</t>
        </is>
      </c>
      <c r="G134" s="14" t="inlineStr">
        <is>
          <t>NORMAL</t>
        </is>
      </c>
      <c r="H134" s="15" t="n">
        <v>179.9</v>
      </c>
      <c r="I134" s="15" t="n">
        <v>139.9</v>
      </c>
      <c r="J134" s="16" t="inlineStr">
        <is>
          <t>SIM</t>
        </is>
      </c>
      <c r="K134" s="15" t="n">
        <v>139.9</v>
      </c>
      <c r="L134" s="35">
        <f>IF(K134&lt;&gt;"",K134,I134)</f>
        <v/>
      </c>
      <c r="M134" s="84" t="n">
        <v>30</v>
      </c>
      <c r="N134" s="85" t="n">
        <v>2.01</v>
      </c>
      <c r="O134" s="80">
        <f>ROUND(M134*N134,2)</f>
        <v/>
      </c>
      <c r="P134" s="80">
        <f>IF($O134="","",L134-O134-(L134*IF(L134&lt;=79.99,20%,14%)+IF(L134&lt;=79.99,4,IF(L134&lt;=99.99,16,IF(L134&lt;=199.99,20,IF(L134&lt;=499.99,26,28)))))-L134*1.3%-L134*6%-(L134-O134)*9.25%-L134*3%-L134*3%-1)</f>
        <v/>
      </c>
      <c r="Q134" s="17">
        <f>IF(AND(K134&lt;&gt;"",H134&gt;0),(H134-K134)/H134,"")</f>
        <v/>
      </c>
      <c r="R134" s="14" t="inlineStr">
        <is>
          <t>478386871025791</t>
        </is>
      </c>
      <c r="S134" s="18" t="n">
        <v>46209.64583333334</v>
      </c>
      <c r="T134" s="18" t="n">
        <v>46326.99930555555</v>
      </c>
      <c r="U134" s="14" t="inlineStr">
        <is>
          <t>101253</t>
        </is>
      </c>
      <c r="V134" t="inlineStr">
        <is>
          <t>213176</t>
        </is>
      </c>
      <c r="W134" t="inlineStr">
        <is>
          <t>SKU do de-para · custo do KIT 214055 (30× 213176)</t>
        </is>
      </c>
      <c r="X134" t="n">
        <v>4</v>
      </c>
      <c r="Y134" t="inlineStr">
        <is>
          <t>ok</t>
        </is>
      </c>
    </row>
    <row r="135" ht="15" customFormat="1" customHeight="1" s="14">
      <c r="A135" s="14" t="inlineStr">
        <is>
          <t>Jacartta</t>
        </is>
      </c>
      <c r="B135" s="14" t="inlineStr">
        <is>
          <t>Kit Potes de Vidro 370ml Hermético Marmita Fit com Tampa 4 Travas</t>
        </is>
      </c>
      <c r="C135" s="14" t="inlineStr">
        <is>
          <t>10 Potes,Sortido</t>
        </is>
      </c>
      <c r="D135" s="14" t="inlineStr">
        <is>
          <t>KIT10-370ML-SORTIDO</t>
        </is>
      </c>
      <c r="E135" s="14" t="inlineStr">
        <is>
          <t>23994504847</t>
        </is>
      </c>
      <c r="F135" s="14" t="inlineStr">
        <is>
          <t>209180481803</t>
        </is>
      </c>
      <c r="G135" s="14" t="inlineStr">
        <is>
          <t>NORMAL</t>
        </is>
      </c>
      <c r="H135" s="15" t="n">
        <v>159.9</v>
      </c>
      <c r="I135" s="15" t="n">
        <v>77.90000000000001</v>
      </c>
      <c r="J135" s="16" t="inlineStr">
        <is>
          <t>SIM</t>
        </is>
      </c>
      <c r="K135" s="15" t="n">
        <v>77.90000000000001</v>
      </c>
      <c r="L135" s="35">
        <f>IF(K135&lt;&gt;"",K135,I135)</f>
        <v/>
      </c>
      <c r="M135" s="33" t="n">
        <v>10</v>
      </c>
      <c r="N135" s="28" t="n">
        <v>4.45</v>
      </c>
      <c r="O135" s="29">
        <f>N135*M135</f>
        <v/>
      </c>
      <c r="P135" s="80">
        <f>IF($O135="","",L135-O135-(L135*IF(L135&lt;=79.99,20%,14%)+IF(L135&lt;=79.99,4,IF(L135&lt;=99.99,16,IF(L135&lt;=199.99,20,IF(L135&lt;=499.99,26,28)))))-L135*1.3%-L135*6%-(L135-O135)*9.25%-L135*3%-L135*3%-1)</f>
        <v/>
      </c>
      <c r="Q135" s="17">
        <f>IF(AND(K135&lt;&gt;"",H135&gt;0),(H135-K135)/H135,"")</f>
        <v/>
      </c>
      <c r="R135" s="14" t="inlineStr">
        <is>
          <t>478386871025791</t>
        </is>
      </c>
      <c r="S135" s="18" t="n">
        <v>46209.64583333334</v>
      </c>
      <c r="T135" s="18" t="n">
        <v>46326.99930555555</v>
      </c>
      <c r="U135" s="14" t="inlineStr">
        <is>
          <t>101220</t>
        </is>
      </c>
      <c r="V135" t="inlineStr">
        <is>
          <t>213875</t>
        </is>
      </c>
      <c r="W135" t="inlineStr">
        <is>
          <t>venda casada (121 pedidos) · QTD/custo manuais mantidos · ATENÇÃO: Olist hoje diz 3.93</t>
        </is>
      </c>
      <c r="X135" t="n">
        <v>121</v>
      </c>
      <c r="Y135" t="inlineStr">
        <is>
          <t>ok</t>
        </is>
      </c>
    </row>
    <row r="136" ht="15" customFormat="1" customHeight="1" s="19">
      <c r="A136" s="19" t="inlineStr">
        <is>
          <t>Jacartta</t>
        </is>
      </c>
      <c r="B136" s="19" t="inlineStr">
        <is>
          <t>Kit Potes de Vidro 370ml Hermético Marmita Fit com Tampa 4 Travas</t>
        </is>
      </c>
      <c r="C136" s="19" t="inlineStr">
        <is>
          <t>10 Potes,Vermelho</t>
        </is>
      </c>
      <c r="D136" s="19" t="inlineStr">
        <is>
          <t>KIT10-370ML-VM</t>
        </is>
      </c>
      <c r="E136" s="19" t="inlineStr">
        <is>
          <t>23994504847</t>
        </is>
      </c>
      <c r="F136" s="19" t="inlineStr">
        <is>
          <t>331179480133</t>
        </is>
      </c>
      <c r="G136" s="19" t="inlineStr">
        <is>
          <t>NORMAL</t>
        </is>
      </c>
      <c r="H136" s="20" t="n">
        <v>130.9</v>
      </c>
      <c r="I136" s="20" t="n">
        <v>77.90000000000001</v>
      </c>
      <c r="J136" s="21" t="inlineStr">
        <is>
          <t>SIM</t>
        </is>
      </c>
      <c r="K136" s="20" t="n">
        <v>77.90000000000001</v>
      </c>
      <c r="L136" s="35">
        <f>IF(K136&lt;&gt;"",K136,I136)</f>
        <v/>
      </c>
      <c r="M136" s="33" t="n">
        <v>10</v>
      </c>
      <c r="N136" s="28" t="n">
        <v>4.45</v>
      </c>
      <c r="O136" s="29">
        <f>N136*M136</f>
        <v/>
      </c>
      <c r="P136" s="80">
        <f>IF($O136="","",L136-O136-(L136*IF(L136&lt;=79.99,20%,14%)+IF(L136&lt;=79.99,4,IF(L136&lt;=99.99,16,IF(L136&lt;=199.99,20,IF(L136&lt;=499.99,26,28)))))-L136*1.3%-L136*6%-(L136-O136)*9.25%-L136*3%-L136*3%-1)</f>
        <v/>
      </c>
      <c r="Q136" s="22">
        <f>IF(AND(K136&lt;&gt;"",H136&gt;0),(H136-K136)/H136,"")</f>
        <v/>
      </c>
      <c r="R136" s="19" t="inlineStr">
        <is>
          <t>478386871025791</t>
        </is>
      </c>
      <c r="S136" s="23" t="n">
        <v>46209.64583333334</v>
      </c>
      <c r="T136" s="23" t="n">
        <v>46326.99930555555</v>
      </c>
      <c r="U136" s="19" t="inlineStr">
        <is>
          <t>101220</t>
        </is>
      </c>
      <c r="V136" t="inlineStr">
        <is>
          <t>215789</t>
        </is>
      </c>
      <c r="W136" t="inlineStr">
        <is>
          <t>venda casada (171 pedidos) · QTD/custo manuais mantidos · ATENÇÃO: Olist hoje diz 3.86</t>
        </is>
      </c>
      <c r="X136" t="n">
        <v>171</v>
      </c>
      <c r="Y136" t="inlineStr">
        <is>
          <t>ok</t>
        </is>
      </c>
    </row>
    <row r="137" ht="15" customFormat="1" customHeight="1" s="14">
      <c r="A137" s="14" t="inlineStr">
        <is>
          <t>Jacartta</t>
        </is>
      </c>
      <c r="B137" s="14" t="inlineStr">
        <is>
          <t>Kit Potes de Vidro 370ml Hermético Marmita Fit com Tampa 4 Travas</t>
        </is>
      </c>
      <c r="C137" s="14" t="inlineStr">
        <is>
          <t>3 Potes,Azul</t>
        </is>
      </c>
      <c r="D137" s="14" t="inlineStr">
        <is>
          <t>KIT3-370ML-AZUL</t>
        </is>
      </c>
      <c r="E137" s="14" t="inlineStr">
        <is>
          <t>23994504847</t>
        </is>
      </c>
      <c r="F137" s="14" t="inlineStr">
        <is>
          <t>209180481804</t>
        </is>
      </c>
      <c r="G137" s="14" t="inlineStr">
        <is>
          <t>NORMAL</t>
        </is>
      </c>
      <c r="H137" s="15" t="n">
        <v>59.9</v>
      </c>
      <c r="I137" s="15" t="n">
        <v>29.89</v>
      </c>
      <c r="J137" s="16" t="inlineStr">
        <is>
          <t>SIM</t>
        </is>
      </c>
      <c r="K137" s="15" t="n">
        <v>29.89</v>
      </c>
      <c r="L137" s="35">
        <f>IF(K137&lt;&gt;"",K137,I137)</f>
        <v/>
      </c>
      <c r="M137" s="33" t="n">
        <v>3</v>
      </c>
      <c r="N137" s="28" t="n">
        <v>4.45</v>
      </c>
      <c r="O137" s="29">
        <f>N137*M137</f>
        <v/>
      </c>
      <c r="P137" s="80">
        <f>IF($O137="","",L137-O137-(L137*IF(L137&lt;=79.99,20%,14%)+IF(L137&lt;=79.99,4,IF(L137&lt;=99.99,16,IF(L137&lt;=199.99,20,IF(L137&lt;=499.99,26,28)))))-L137*1.3%-L137*6%-(L137-O137)*9.25%-L137*3%-L137*3%-1)</f>
        <v/>
      </c>
      <c r="Q137" s="17">
        <f>IF(AND(K137&lt;&gt;"",H137&gt;0),(H137-K137)/H137,"")</f>
        <v/>
      </c>
      <c r="R137" s="14" t="inlineStr">
        <is>
          <t>478386871025791</t>
        </is>
      </c>
      <c r="S137" s="18" t="n">
        <v>46209.64583333334</v>
      </c>
      <c r="T137" s="18" t="n">
        <v>46326.99930555555</v>
      </c>
      <c r="U137" s="14" t="inlineStr">
        <is>
          <t>101220</t>
        </is>
      </c>
      <c r="V137" t="inlineStr">
        <is>
          <t>213876</t>
        </is>
      </c>
      <c r="W137" t="inlineStr">
        <is>
          <t>venda casada (203 pedidos) · QTD/custo manuais mantidos · ATENÇÃO: Olist hoje diz 3.93</t>
        </is>
      </c>
      <c r="X137" t="n">
        <v>203</v>
      </c>
      <c r="Y137" t="inlineStr">
        <is>
          <t>ok</t>
        </is>
      </c>
    </row>
    <row r="138" ht="15" customFormat="1" customHeight="1" s="19">
      <c r="A138" s="19" t="inlineStr">
        <is>
          <t>Jacartta</t>
        </is>
      </c>
      <c r="B138" s="19" t="inlineStr">
        <is>
          <t>Kit Potes de Vidro 370ml Hermético Marmita Fit com Tampa 4 Travas</t>
        </is>
      </c>
      <c r="C138" s="19" t="inlineStr">
        <is>
          <t>3 Potes,Branco</t>
        </is>
      </c>
      <c r="D138" s="19" t="inlineStr">
        <is>
          <t>KIT3-370ML-BRANCO</t>
        </is>
      </c>
      <c r="E138" s="19" t="inlineStr">
        <is>
          <t>23994504847</t>
        </is>
      </c>
      <c r="F138" s="19" t="inlineStr">
        <is>
          <t>209180481797</t>
        </is>
      </c>
      <c r="G138" s="19" t="inlineStr">
        <is>
          <t>NORMAL</t>
        </is>
      </c>
      <c r="H138" s="20" t="n">
        <v>59.9</v>
      </c>
      <c r="I138" s="20" t="n">
        <v>29.89</v>
      </c>
      <c r="J138" s="21" t="inlineStr">
        <is>
          <t>SIM</t>
        </is>
      </c>
      <c r="K138" s="20" t="n">
        <v>29.89</v>
      </c>
      <c r="L138" s="35">
        <f>IF(K138&lt;&gt;"",K138,I138)</f>
        <v/>
      </c>
      <c r="M138" s="32" t="n">
        <v>3</v>
      </c>
      <c r="N138" s="28" t="n">
        <v>4.45</v>
      </c>
      <c r="O138" s="29">
        <f>N138*M138</f>
        <v/>
      </c>
      <c r="P138" s="80">
        <f>IF($O138="","",L138-O138-(L138*IF(L138&lt;=79.99,20%,14%)+IF(L138&lt;=79.99,4,IF(L138&lt;=99.99,16,IF(L138&lt;=199.99,20,IF(L138&lt;=499.99,26,28)))))-L138*1.3%-L138*6%-(L138-O138)*9.25%-L138*3%-L138*3%-1)</f>
        <v/>
      </c>
      <c r="Q138" s="22">
        <f>IF(AND(K138&lt;&gt;"",H138&gt;0),(H138-K138)/H138,"")</f>
        <v/>
      </c>
      <c r="R138" s="19" t="inlineStr">
        <is>
          <t>478386871025791</t>
        </is>
      </c>
      <c r="S138" s="23" t="n">
        <v>46209.64583333334</v>
      </c>
      <c r="T138" s="23" t="n">
        <v>46326.99930555555</v>
      </c>
      <c r="U138" s="19" t="inlineStr">
        <is>
          <t>101220</t>
        </is>
      </c>
      <c r="V138" t="inlineStr">
        <is>
          <t>213875</t>
        </is>
      </c>
      <c r="W138" t="inlineStr">
        <is>
          <t>venda casada (754 pedidos) · QTD/custo manuais mantidos · ATENÇÃO: Olist hoje diz 3.93</t>
        </is>
      </c>
      <c r="X138" t="n">
        <v>754</v>
      </c>
      <c r="Y138" t="inlineStr">
        <is>
          <t>ok</t>
        </is>
      </c>
    </row>
    <row r="139" ht="15" customFormat="1" customHeight="1" s="14">
      <c r="A139" s="14" t="inlineStr">
        <is>
          <t>Jacartta</t>
        </is>
      </c>
      <c r="B139" s="14" t="inlineStr">
        <is>
          <t>Kit Potes de Vidro 370ml Hermético Marmita Fit com Tampa 4 Travas</t>
        </is>
      </c>
      <c r="C139" s="14" t="inlineStr">
        <is>
          <t>3 Potes,Sortido</t>
        </is>
      </c>
      <c r="D139" s="14" t="inlineStr">
        <is>
          <t>KIT3-370ML-SORTIDO</t>
        </is>
      </c>
      <c r="E139" s="14" t="inlineStr">
        <is>
          <t>23994504847</t>
        </is>
      </c>
      <c r="F139" s="14" t="inlineStr">
        <is>
          <t>209180481798</t>
        </is>
      </c>
      <c r="G139" s="14" t="inlineStr">
        <is>
          <t>NORMAL</t>
        </is>
      </c>
      <c r="H139" s="15" t="n">
        <v>59.9</v>
      </c>
      <c r="I139" s="15" t="n">
        <v>29.89</v>
      </c>
      <c r="J139" s="16" t="inlineStr">
        <is>
          <t>SIM</t>
        </is>
      </c>
      <c r="K139" s="15" t="n">
        <v>29.89</v>
      </c>
      <c r="L139" s="35">
        <f>IF(K139&lt;&gt;"",K139,I139)</f>
        <v/>
      </c>
      <c r="M139" s="33" t="n">
        <v>3</v>
      </c>
      <c r="N139" s="28" t="n">
        <v>4.45</v>
      </c>
      <c r="O139" s="29">
        <f>N139*M139</f>
        <v/>
      </c>
      <c r="P139" s="80">
        <f>IF($O139="","",L139-O139-(L139*IF(L139&lt;=79.99,20%,14%)+IF(L139&lt;=79.99,4,IF(L139&lt;=99.99,16,IF(L139&lt;=199.99,20,IF(L139&lt;=499.99,26,28)))))-L139*1.3%-L139*6%-(L139-O139)*9.25%-L139*3%-L139*3%-1)</f>
        <v/>
      </c>
      <c r="Q139" s="17">
        <f>IF(AND(K139&lt;&gt;"",H139&gt;0),(H139-K139)/H139,"")</f>
        <v/>
      </c>
      <c r="R139" s="14" t="inlineStr">
        <is>
          <t>478386871025791</t>
        </is>
      </c>
      <c r="S139" s="18" t="n">
        <v>46209.64583333334</v>
      </c>
      <c r="T139" s="18" t="n">
        <v>46326.99930555555</v>
      </c>
      <c r="U139" s="14" t="inlineStr">
        <is>
          <t>101220</t>
        </is>
      </c>
      <c r="V139" t="inlineStr">
        <is>
          <t>213875</t>
        </is>
      </c>
      <c r="W139" t="inlineStr">
        <is>
          <t>venda casada (120 pedidos) · QTD/custo manuais mantidos · ATENÇÃO: Olist hoje diz 3.93</t>
        </is>
      </c>
      <c r="X139" t="n">
        <v>120</v>
      </c>
      <c r="Y139" t="inlineStr">
        <is>
          <t>ok</t>
        </is>
      </c>
    </row>
    <row r="140" ht="15" customFormat="1" customHeight="1" s="19">
      <c r="A140" s="19" t="inlineStr">
        <is>
          <t>Jacartta</t>
        </is>
      </c>
      <c r="B140" s="19" t="inlineStr">
        <is>
          <t>Kit Cabides Veludo Para Roupas Adulto 50 Unidades Fino Resistente</t>
        </is>
      </c>
      <c r="C140" s="19" t="inlineStr">
        <is>
          <t>Bege</t>
        </is>
      </c>
      <c r="D140" s="19" t="inlineStr">
        <is>
          <t>KIT-50-CAB-VEL-BG</t>
        </is>
      </c>
      <c r="E140" s="19" t="inlineStr">
        <is>
          <t>23999005920</t>
        </is>
      </c>
      <c r="F140" s="19" t="inlineStr">
        <is>
          <t>238797094481</t>
        </is>
      </c>
      <c r="G140" s="19" t="inlineStr">
        <is>
          <t>NORMAL</t>
        </is>
      </c>
      <c r="H140" s="20" t="n">
        <v>150.9</v>
      </c>
      <c r="I140" s="20" t="n">
        <v>62.5</v>
      </c>
      <c r="J140" s="21" t="inlineStr">
        <is>
          <t>SIM</t>
        </is>
      </c>
      <c r="K140" s="20" t="n">
        <v>62.5</v>
      </c>
      <c r="L140" s="35">
        <f>IF(K140&lt;&gt;"",K140,I140)</f>
        <v/>
      </c>
      <c r="M140" s="30" t="n"/>
      <c r="N140" s="30" t="n"/>
      <c r="O140" s="29" t="n"/>
      <c r="P140" s="80">
        <f>IF($O140="","",L140-O140-(L140*IF(L140&lt;=79.99,20%,14%)+IF(L140&lt;=79.99,4,IF(L140&lt;=99.99,16,IF(L140&lt;=199.99,20,IF(L140&lt;=499.99,26,28)))))-L140*1.3%-L140*6%-(L140-O140)*9.25%-L140*3%-L140*3%-1)</f>
        <v/>
      </c>
      <c r="Q140" s="22">
        <f>IF(AND(K140&lt;&gt;"",H140&gt;0),(H140-K140)/H140,"")</f>
        <v/>
      </c>
      <c r="R140" s="19" t="inlineStr">
        <is>
          <t>478386871025791</t>
        </is>
      </c>
      <c r="S140" s="23" t="n">
        <v>46209.64583333334</v>
      </c>
      <c r="T140" s="23" t="n">
        <v>46326.99930555555</v>
      </c>
      <c r="U140" s="19" t="inlineStr">
        <is>
          <t>101253</t>
        </is>
      </c>
      <c r="W140" t="inlineStr">
        <is>
          <t>sem correspondência</t>
        </is>
      </c>
      <c r="Y140" t="inlineStr"/>
    </row>
    <row r="141" ht="15" customFormat="1" customHeight="1" s="14">
      <c r="A141" s="14" t="inlineStr">
        <is>
          <t>Jacartta</t>
        </is>
      </c>
      <c r="B141" s="14" t="inlineStr">
        <is>
          <t>Kit Cabides Veludo Para Roupas Adulto 50 Unidades Fino Resistente</t>
        </is>
      </c>
      <c r="C141" s="14" t="inlineStr">
        <is>
          <t>Branco</t>
        </is>
      </c>
      <c r="D141" s="14" t="inlineStr">
        <is>
          <t>KIT-50-CAB-VEL-BR</t>
        </is>
      </c>
      <c r="E141" s="14" t="inlineStr">
        <is>
          <t>23999005920</t>
        </is>
      </c>
      <c r="F141" s="14" t="inlineStr">
        <is>
          <t>238797094482</t>
        </is>
      </c>
      <c r="G141" s="14" t="inlineStr">
        <is>
          <t>NORMAL</t>
        </is>
      </c>
      <c r="H141" s="15" t="n">
        <v>150.9</v>
      </c>
      <c r="I141" s="15" t="n">
        <v>62.5</v>
      </c>
      <c r="J141" s="16" t="inlineStr">
        <is>
          <t>SIM</t>
        </is>
      </c>
      <c r="K141" s="15" t="n">
        <v>62.5</v>
      </c>
      <c r="L141" s="35">
        <f>IF(K141&lt;&gt;"",K141,I141)</f>
        <v/>
      </c>
      <c r="M141" s="28" t="n"/>
      <c r="N141" s="28" t="n"/>
      <c r="O141" s="29" t="n"/>
      <c r="P141" s="80">
        <f>IF($O141="","",L141-O141-(L141*IF(L141&lt;=79.99,20%,14%)+IF(L141&lt;=79.99,4,IF(L141&lt;=99.99,16,IF(L141&lt;=199.99,20,IF(L141&lt;=499.99,26,28)))))-L141*1.3%-L141*6%-(L141-O141)*9.25%-L141*3%-L141*3%-1)</f>
        <v/>
      </c>
      <c r="Q141" s="17">
        <f>IF(AND(K141&lt;&gt;"",H141&gt;0),(H141-K141)/H141,"")</f>
        <v/>
      </c>
      <c r="R141" s="14" t="inlineStr">
        <is>
          <t>478386871025791</t>
        </is>
      </c>
      <c r="S141" s="18" t="n">
        <v>46209.64583333334</v>
      </c>
      <c r="T141" s="18" t="n">
        <v>46326.99930555555</v>
      </c>
      <c r="U141" s="14" t="inlineStr">
        <is>
          <t>101253</t>
        </is>
      </c>
      <c r="W141" t="inlineStr">
        <is>
          <t>sem correspondência</t>
        </is>
      </c>
      <c r="Y141" t="inlineStr"/>
    </row>
    <row r="142" ht="15" customFormat="1" customHeight="1" s="19">
      <c r="A142" s="19" t="inlineStr">
        <is>
          <t>Jacartta</t>
        </is>
      </c>
      <c r="B142" s="19" t="inlineStr">
        <is>
          <t>Kit Cabides Veludo Para Roupas Adulto 50 Unidades Fino Resistente</t>
        </is>
      </c>
      <c r="C142" s="19" t="inlineStr">
        <is>
          <t>Cinza</t>
        </is>
      </c>
      <c r="D142" s="19" t="inlineStr">
        <is>
          <t>KIT-50-CAB-VEL-CZ</t>
        </is>
      </c>
      <c r="E142" s="19" t="inlineStr">
        <is>
          <t>23999005920</t>
        </is>
      </c>
      <c r="F142" s="19" t="inlineStr">
        <is>
          <t>238797094479</t>
        </is>
      </c>
      <c r="G142" s="19" t="inlineStr">
        <is>
          <t>NORMAL</t>
        </is>
      </c>
      <c r="H142" s="20" t="n">
        <v>150.9</v>
      </c>
      <c r="I142" s="20" t="n">
        <v>62.5</v>
      </c>
      <c r="J142" s="21" t="inlineStr">
        <is>
          <t>SIM</t>
        </is>
      </c>
      <c r="K142" s="20" t="n">
        <v>62.5</v>
      </c>
      <c r="L142" s="35">
        <f>IF(K142&lt;&gt;"",K142,I142)</f>
        <v/>
      </c>
      <c r="M142" s="81" t="n">
        <v>50</v>
      </c>
      <c r="N142" s="82" t="n">
        <v>0.59</v>
      </c>
      <c r="O142" s="80">
        <f>ROUND(M142*N142,2)</f>
        <v/>
      </c>
      <c r="P142" s="80">
        <f>IF($O142="","",L142-O142-(L142*IF(L142&lt;=79.99,20%,14%)+IF(L142&lt;=79.99,4,IF(L142&lt;=99.99,16,IF(L142&lt;=199.99,20,IF(L142&lt;=499.99,26,28)))))-L142*1.3%-L142*6%-(L142-O142)*9.25%-L142*3%-L142*3%-1)</f>
        <v/>
      </c>
      <c r="Q142" s="22">
        <f>IF(AND(K142&lt;&gt;"",H142&gt;0),(H142-K142)/H142,"")</f>
        <v/>
      </c>
      <c r="R142" s="19" t="inlineStr">
        <is>
          <t>478386871025791</t>
        </is>
      </c>
      <c r="S142" s="23" t="n">
        <v>46209.64583333334</v>
      </c>
      <c r="T142" s="23" t="n">
        <v>46326.99930555555</v>
      </c>
      <c r="U142" s="19" t="inlineStr">
        <is>
          <t>101253</t>
        </is>
      </c>
      <c r="V142" t="inlineStr">
        <is>
          <t>213998</t>
        </is>
      </c>
      <c r="W142" t="inlineStr">
        <is>
          <t>venda casada (1 pedido) · custo do KIT 214014 (50× 213998)</t>
        </is>
      </c>
      <c r="X142" t="n">
        <v>1</v>
      </c>
      <c r="Y142" t="inlineStr">
        <is>
          <t>⚠ evidência fraca (1 pedido)</t>
        </is>
      </c>
    </row>
    <row r="143" ht="15" customFormat="1" customHeight="1" s="14">
      <c r="A143" s="14" t="inlineStr">
        <is>
          <t>Jacartta</t>
        </is>
      </c>
      <c r="B143" s="14" t="inlineStr">
        <is>
          <t>Kit Cabides Veludo Para Roupas Adulto 50 Unidades Fino Resistente</t>
        </is>
      </c>
      <c r="C143" s="14" t="inlineStr">
        <is>
          <t>Preto</t>
        </is>
      </c>
      <c r="D143" s="14" t="inlineStr">
        <is>
          <t>KIT-50-CAB-VEL-PT</t>
        </is>
      </c>
      <c r="E143" s="14" t="inlineStr">
        <is>
          <t>23999005920</t>
        </is>
      </c>
      <c r="F143" s="14" t="inlineStr">
        <is>
          <t>238797094480</t>
        </is>
      </c>
      <c r="G143" s="14" t="inlineStr">
        <is>
          <t>NORMAL</t>
        </is>
      </c>
      <c r="H143" s="15" t="n">
        <v>150.9</v>
      </c>
      <c r="I143" s="15" t="n">
        <v>62.5</v>
      </c>
      <c r="J143" s="16" t="inlineStr">
        <is>
          <t>SIM</t>
        </is>
      </c>
      <c r="K143" s="15" t="n">
        <v>62.5</v>
      </c>
      <c r="L143" s="35">
        <f>IF(K143&lt;&gt;"",K143,I143)</f>
        <v/>
      </c>
      <c r="M143" s="84" t="n">
        <v>50</v>
      </c>
      <c r="N143" s="85" t="n">
        <v>0.59</v>
      </c>
      <c r="O143" s="80">
        <f>ROUND(M143*N143,2)</f>
        <v/>
      </c>
      <c r="P143" s="80">
        <f>IF($O143="","",L143-O143-(L143*IF(L143&lt;=79.99,20%,14%)+IF(L143&lt;=79.99,4,IF(L143&lt;=99.99,16,IF(L143&lt;=199.99,20,IF(L143&lt;=499.99,26,28)))))-L143*1.3%-L143*6%-(L143-O143)*9.25%-L143*3%-L143*3%-1)</f>
        <v/>
      </c>
      <c r="Q143" s="17">
        <f>IF(AND(K143&lt;&gt;"",H143&gt;0),(H143-K143)/H143,"")</f>
        <v/>
      </c>
      <c r="R143" s="14" t="inlineStr">
        <is>
          <t>478386871025791</t>
        </is>
      </c>
      <c r="S143" s="18" t="n">
        <v>46209.64583333334</v>
      </c>
      <c r="T143" s="18" t="n">
        <v>46326.99930555555</v>
      </c>
      <c r="U143" s="14" t="inlineStr">
        <is>
          <t>101253</t>
        </is>
      </c>
      <c r="V143" t="inlineStr">
        <is>
          <t>213997</t>
        </is>
      </c>
      <c r="W143" t="inlineStr">
        <is>
          <t>venda casada (1 pedido) · custo do KIT 214013 (50× 213997)</t>
        </is>
      </c>
      <c r="X143" t="n">
        <v>1</v>
      </c>
      <c r="Y143" t="inlineStr">
        <is>
          <t>⚠ evidência fraca (1 pedido)</t>
        </is>
      </c>
    </row>
    <row r="144" ht="15" customFormat="1" customHeight="1" s="19">
      <c r="A144" s="19" t="inlineStr">
        <is>
          <t>Jacartta</t>
        </is>
      </c>
      <c r="B144" s="19" t="inlineStr">
        <is>
          <t>Kit Protetor De Colchão  Lençol Oliver Home G Descartável Cadeira de Rodas Pós Operatório</t>
        </is>
      </c>
      <c r="C144" s="19" t="inlineStr">
        <is>
          <t>KIT 3 - 15 UNIDADES</t>
        </is>
      </c>
      <c r="D144" s="19" t="inlineStr">
        <is>
          <t>3PCT-PROTETOR-COLCHÃO</t>
        </is>
      </c>
      <c r="E144" s="19" t="inlineStr">
        <is>
          <t>23798075008</t>
        </is>
      </c>
      <c r="F144" s="19" t="inlineStr">
        <is>
          <t>229413614018</t>
        </is>
      </c>
      <c r="G144" s="19" t="inlineStr">
        <is>
          <t>NORMAL</t>
        </is>
      </c>
      <c r="H144" s="20" t="n">
        <v>89.90000000000001</v>
      </c>
      <c r="I144" s="20" t="n">
        <v>73.90000000000001</v>
      </c>
      <c r="J144" s="21" t="inlineStr">
        <is>
          <t>SIM</t>
        </is>
      </c>
      <c r="K144" s="20" t="n">
        <v>73.90000000000001</v>
      </c>
      <c r="L144" s="35">
        <f>IF(K144&lt;&gt;"",K144,I144)</f>
        <v/>
      </c>
      <c r="M144" s="81" t="n">
        <v>3</v>
      </c>
      <c r="N144" s="82" t="n">
        <v>7.31</v>
      </c>
      <c r="O144" s="80">
        <f>ROUND(M144*N144,2)</f>
        <v/>
      </c>
      <c r="P144" s="80">
        <f>IF($O144="","",L144-O144-(L144*IF(L144&lt;=79.99,20%,14%)+IF(L144&lt;=79.99,4,IF(L144&lt;=99.99,16,IF(L144&lt;=199.99,20,IF(L144&lt;=499.99,26,28)))))-L144*1.3%-L144*6%-(L144-O144)*9.25%-L144*3%-L144*3%-1)</f>
        <v/>
      </c>
      <c r="Q144" s="22">
        <f>IF(AND(K144&lt;&gt;"",H144&gt;0),(H144-K144)/H144,"")</f>
        <v/>
      </c>
      <c r="R144" s="19" t="inlineStr">
        <is>
          <t>909481504866304</t>
        </is>
      </c>
      <c r="S144" s="23" t="n">
        <v>46144.3875</v>
      </c>
      <c r="T144" s="23" t="n">
        <v>46295.4375</v>
      </c>
      <c r="U144" s="19" t="inlineStr">
        <is>
          <t>101145</t>
        </is>
      </c>
      <c r="V144" t="inlineStr">
        <is>
          <t>213170</t>
        </is>
      </c>
      <c r="W144" t="inlineStr">
        <is>
          <t>venda casada (2 pedidos) · custo do KIT 213681 (3× 213170)</t>
        </is>
      </c>
      <c r="X144" t="n">
        <v>2</v>
      </c>
      <c r="Y144" t="inlineStr">
        <is>
          <t>ok</t>
        </is>
      </c>
    </row>
    <row r="145" ht="15" customFormat="1" customHeight="1" s="14">
      <c r="A145" s="19" t="inlineStr">
        <is>
          <t>Jacartta</t>
        </is>
      </c>
      <c r="B145" s="19" t="inlineStr">
        <is>
          <t>Kit Protetor De Colchão  Lençol Oliver Home G Descartável Cadeira de Rodas Pós Operatório</t>
        </is>
      </c>
      <c r="C145" s="19" t="inlineStr">
        <is>
          <t>KIT 5 - 25 UNIDADES</t>
        </is>
      </c>
      <c r="D145" s="19" t="inlineStr">
        <is>
          <t>5PCT-PROTETOR-COLCHÃO</t>
        </is>
      </c>
      <c r="E145" s="19" t="inlineStr">
        <is>
          <t>23798075008</t>
        </is>
      </c>
      <c r="F145" s="19" t="inlineStr">
        <is>
          <t>229413614020</t>
        </is>
      </c>
      <c r="G145" s="19" t="inlineStr">
        <is>
          <t>NORMAL</t>
        </is>
      </c>
      <c r="H145" s="20" t="n">
        <v>120.9</v>
      </c>
      <c r="I145" s="20" t="n">
        <v>119.9</v>
      </c>
      <c r="J145" s="21" t="inlineStr">
        <is>
          <t>SIM</t>
        </is>
      </c>
      <c r="K145" s="20" t="n">
        <v>119.9</v>
      </c>
      <c r="L145" s="35">
        <f>IF(K145&lt;&gt;"",K145,I145)</f>
        <v/>
      </c>
      <c r="M145" s="81" t="n">
        <v>5</v>
      </c>
      <c r="N145" s="82" t="n">
        <v>7.31</v>
      </c>
      <c r="O145" s="80">
        <f>ROUND(M145*N145,2)</f>
        <v/>
      </c>
      <c r="P145" s="80">
        <f>IF($O145="","",L145-O145-(L145*IF(L145&lt;=79.99,20%,14%)+IF(L145&lt;=79.99,4,IF(L145&lt;=99.99,16,IF(L145&lt;=199.99,20,IF(L145&lt;=499.99,26,28)))))-L145*1.3%-L145*6%-(L145-O145)*9.25%-L145*3%-L145*3%-1)</f>
        <v/>
      </c>
      <c r="Q145" s="22">
        <f>IF(AND(K145&lt;&gt;"",H145&gt;0),(H145-K145)/H145,"")</f>
        <v/>
      </c>
      <c r="R145" s="19" t="inlineStr">
        <is>
          <t>909481504866304</t>
        </is>
      </c>
      <c r="S145" s="23" t="n">
        <v>46144.3875</v>
      </c>
      <c r="T145" s="23" t="n">
        <v>46295.4375</v>
      </c>
      <c r="U145" s="19" t="inlineStr">
        <is>
          <t>101145</t>
        </is>
      </c>
      <c r="V145" t="inlineStr">
        <is>
          <t>213170</t>
        </is>
      </c>
      <c r="W145" t="inlineStr">
        <is>
          <t>venda casada (5 pedidos) · custo do KIT 213683 (5× 213170)</t>
        </is>
      </c>
      <c r="X145" t="n">
        <v>5</v>
      </c>
      <c r="Y145" t="inlineStr">
        <is>
          <t>ok</t>
        </is>
      </c>
    </row>
    <row r="146" ht="15" customFormat="1" customHeight="1" s="19">
      <c r="A146" s="19" t="inlineStr">
        <is>
          <t>Jacartta</t>
        </is>
      </c>
      <c r="B146" s="19" t="inlineStr">
        <is>
          <t>Kit Tapete Higiênico Fralda Cachorro Pet Good Pad 60x60 60un</t>
        </is>
      </c>
      <c r="C146" s="19" t="inlineStr">
        <is>
          <t>Sem variação</t>
        </is>
      </c>
      <c r="D146" s="19" t="inlineStr">
        <is>
          <t>0770</t>
        </is>
      </c>
      <c r="E146" s="19" t="inlineStr">
        <is>
          <t>18139081990</t>
        </is>
      </c>
      <c r="F146" s="19" t="inlineStr">
        <is>
          <t>0</t>
        </is>
      </c>
      <c r="G146" s="19" t="inlineStr">
        <is>
          <t>NORMAL</t>
        </is>
      </c>
      <c r="H146" s="20" t="n">
        <v>149.9</v>
      </c>
      <c r="I146" s="20" t="n">
        <v>69.90000000000001</v>
      </c>
      <c r="J146" s="21" t="inlineStr">
        <is>
          <t>SIM</t>
        </is>
      </c>
      <c r="K146" s="20" t="n">
        <v>69.90000000000001</v>
      </c>
      <c r="L146" s="35">
        <f>IF(K146&lt;&gt;"",K146,I146)</f>
        <v/>
      </c>
      <c r="M146" s="81" t="n">
        <v>2</v>
      </c>
      <c r="N146" s="82" t="n">
        <v>18.75</v>
      </c>
      <c r="O146" s="80">
        <f>ROUND(M146*N146,2)</f>
        <v/>
      </c>
      <c r="P146" s="80">
        <f>IF($O146="","",L146-O146-(L146*IF(L146&lt;=79.99,20%,14%)+IF(L146&lt;=79.99,4,IF(L146&lt;=99.99,16,IF(L146&lt;=199.99,20,IF(L146&lt;=499.99,26,28)))))-L146*1.3%-L146*6%-(L146-O146)*9.25%-L146*3%-L146*3%-1)</f>
        <v/>
      </c>
      <c r="Q146" s="22">
        <f>IF(AND(K146&lt;&gt;"",H146&gt;0),(H146-K146)/H146,"")</f>
        <v/>
      </c>
      <c r="R146" s="19" t="inlineStr">
        <is>
          <t>909481068642304</t>
        </is>
      </c>
      <c r="S146" s="23" t="n">
        <v>46144.38680555556</v>
      </c>
      <c r="T146" s="23" t="n">
        <v>46295.4375</v>
      </c>
      <c r="U146" s="19" t="inlineStr">
        <is>
          <t>100926</t>
        </is>
      </c>
      <c r="V146" t="inlineStr">
        <is>
          <t>212960</t>
        </is>
      </c>
      <c r="W146" t="inlineStr">
        <is>
          <t>venda casada (16 pedidos) · custo do KIT 213831 (2× 212960)</t>
        </is>
      </c>
      <c r="X146" t="n">
        <v>16</v>
      </c>
      <c r="Y146" t="inlineStr">
        <is>
          <t>ok</t>
        </is>
      </c>
    </row>
    <row r="147" ht="15" customFormat="1" customHeight="1" s="14">
      <c r="A147" s="14" t="inlineStr">
        <is>
          <t>Jacartta</t>
        </is>
      </c>
      <c r="B147" s="14" t="inlineStr">
        <is>
          <t>Kit Tapetes Higiênico 60 Unidades para Cachorro Espaço De Bicho  Pet 60x50cm</t>
        </is>
      </c>
      <c r="C147" s="14" t="inlineStr">
        <is>
          <t>Sem variação</t>
        </is>
      </c>
      <c r="D147" s="14" t="inlineStr">
        <is>
          <t>60UNI-TAPETE-EPCBICHO-60X50</t>
        </is>
      </c>
      <c r="E147" s="14" t="inlineStr">
        <is>
          <t>22293586712</t>
        </is>
      </c>
      <c r="F147" s="14" t="inlineStr">
        <is>
          <t>0</t>
        </is>
      </c>
      <c r="G147" s="14" t="inlineStr">
        <is>
          <t>NORMAL</t>
        </is>
      </c>
      <c r="H147" s="15" t="n">
        <v>89.90000000000001</v>
      </c>
      <c r="I147" s="15" t="n">
        <v>79.90000000000001</v>
      </c>
      <c r="J147" s="16" t="inlineStr">
        <is>
          <t>SIM</t>
        </is>
      </c>
      <c r="K147" s="15" t="n">
        <v>79.90000000000001</v>
      </c>
      <c r="L147" s="35">
        <f>IF(K147&lt;&gt;"",K147,I147)</f>
        <v/>
      </c>
      <c r="M147" s="84" t="n">
        <v>2</v>
      </c>
      <c r="N147" s="85" t="n">
        <v>15.87</v>
      </c>
      <c r="O147" s="80">
        <f>ROUND(M147*N147,2)</f>
        <v/>
      </c>
      <c r="P147" s="80">
        <f>IF($O147="","",L147-O147-(L147*IF(L147&lt;=79.99,20%,14%)+IF(L147&lt;=79.99,4,IF(L147&lt;=99.99,16,IF(L147&lt;=199.99,20,IF(L147&lt;=499.99,26,28)))))-L147*1.3%-L147*6%-(L147-O147)*9.25%-L147*3%-L147*3%-1)</f>
        <v/>
      </c>
      <c r="Q147" s="17">
        <f>IF(AND(K147&lt;&gt;"",H147&gt;0),(H147-K147)/H147,"")</f>
        <v/>
      </c>
      <c r="R147" s="14" t="inlineStr">
        <is>
          <t>909481504866304</t>
        </is>
      </c>
      <c r="S147" s="18" t="n">
        <v>46144.3875</v>
      </c>
      <c r="T147" s="18" t="n">
        <v>46295.4375</v>
      </c>
      <c r="U147" s="14" t="inlineStr">
        <is>
          <t>100926</t>
        </is>
      </c>
      <c r="V147" t="inlineStr">
        <is>
          <t>213168</t>
        </is>
      </c>
      <c r="W147" t="inlineStr">
        <is>
          <t>venda casada (6 pedidos) · custo do KIT 213848 (2× 213168)</t>
        </is>
      </c>
      <c r="X147" t="n">
        <v>6</v>
      </c>
      <c r="Y147" t="inlineStr">
        <is>
          <t>ok</t>
        </is>
      </c>
    </row>
    <row r="148" ht="15" customFormat="1" customHeight="1" s="19">
      <c r="A148" s="14" t="inlineStr">
        <is>
          <t>Jacartta</t>
        </is>
      </c>
      <c r="B148" s="14" t="inlineStr">
        <is>
          <t>Laviz MO Pet Suplemento para Cães e Gatos Debilitados 30g</t>
        </is>
      </c>
      <c r="C148" s="14" t="inlineStr">
        <is>
          <t>Sem variação</t>
        </is>
      </c>
      <c r="D148" s="14" t="inlineStr">
        <is>
          <t>LAVIZ-M.O-PET-30G</t>
        </is>
      </c>
      <c r="E148" s="14" t="inlineStr">
        <is>
          <t>22797484640</t>
        </is>
      </c>
      <c r="F148" s="14" t="inlineStr">
        <is>
          <t>0</t>
        </is>
      </c>
      <c r="G148" s="14" t="inlineStr">
        <is>
          <t>NORMAL</t>
        </is>
      </c>
      <c r="H148" s="15" t="n">
        <v>89.90000000000001</v>
      </c>
      <c r="I148" s="15" t="n">
        <v>49.9</v>
      </c>
      <c r="J148" s="16" t="inlineStr">
        <is>
          <t>SIM</t>
        </is>
      </c>
      <c r="K148" s="15" t="n">
        <v>49.9</v>
      </c>
      <c r="L148" s="35">
        <f>IF(K148&lt;&gt;"",K148,I148)</f>
        <v/>
      </c>
      <c r="M148" s="28" t="n"/>
      <c r="N148" s="28" t="n"/>
      <c r="O148" s="29" t="n"/>
      <c r="P148" s="80">
        <f>IF($O148="","",L148-O148-(L148*IF(L148&lt;=79.99,20%,14%)+IF(L148&lt;=79.99,4,IF(L148&lt;=99.99,16,IF(L148&lt;=199.99,20,IF(L148&lt;=499.99,26,28)))))-L148*1.3%-L148*6%-(L148-O148)*9.25%-L148*3%-L148*3%-1)</f>
        <v/>
      </c>
      <c r="Q148" s="17">
        <f>IF(AND(K148&lt;&gt;"",H148&gt;0),(H148-K148)/H148,"")</f>
        <v/>
      </c>
      <c r="R148" s="14" t="inlineStr">
        <is>
          <t>909481504866304</t>
        </is>
      </c>
      <c r="S148" s="18" t="n">
        <v>46144.3875</v>
      </c>
      <c r="T148" s="18" t="n">
        <v>46295.4375</v>
      </c>
      <c r="U148" s="14" t="inlineStr">
        <is>
          <t>100944</t>
        </is>
      </c>
      <c r="V148" t="inlineStr">
        <is>
          <t>LAVIZ-M.O-PET-30G</t>
        </is>
      </c>
      <c r="W148" t="inlineStr">
        <is>
          <t>SKU idêntico na Olist · CUSTO ZERADO na Olist (conferido hoje)</t>
        </is>
      </c>
      <c r="Y148" t="inlineStr">
        <is>
          <t>ok</t>
        </is>
      </c>
    </row>
    <row r="149" ht="15" customFormat="1" customHeight="1" s="14">
      <c r="A149" s="19" t="inlineStr">
        <is>
          <t>Jacartta</t>
        </is>
      </c>
      <c r="B149" s="19" t="inlineStr">
        <is>
          <t>Máquina De Secar Pets Plus Grande Silencioso</t>
        </is>
      </c>
      <c r="C149" s="19" t="inlineStr">
        <is>
          <t>Sem variação</t>
        </is>
      </c>
      <c r="D149" s="19" t="inlineStr">
        <is>
          <t>CAIXA-SEC-PET</t>
        </is>
      </c>
      <c r="E149" s="19" t="inlineStr">
        <is>
          <t>23097772665</t>
        </is>
      </c>
      <c r="F149" s="19" t="inlineStr">
        <is>
          <t>0</t>
        </is>
      </c>
      <c r="G149" s="19" t="inlineStr">
        <is>
          <t>NORMAL</t>
        </is>
      </c>
      <c r="H149" s="20" t="n">
        <v>2500</v>
      </c>
      <c r="I149" s="20" t="n">
        <v>1239.9</v>
      </c>
      <c r="J149" s="21" t="inlineStr">
        <is>
          <t>SIM</t>
        </is>
      </c>
      <c r="K149" s="20" t="n">
        <v>1239.9</v>
      </c>
      <c r="L149" s="35">
        <f>IF(K149&lt;&gt;"",K149,I149)</f>
        <v/>
      </c>
      <c r="M149" s="81" t="n">
        <v>1</v>
      </c>
      <c r="N149" s="82" t="n">
        <v>1003.09</v>
      </c>
      <c r="O149" s="80">
        <f>ROUND(M149*N149,2)</f>
        <v/>
      </c>
      <c r="P149" s="80">
        <f>IF($O149="","",L149-O149-(L149*IF(L149&lt;=79.99,20%,14%)+IF(L149&lt;=79.99,4,IF(L149&lt;=99.99,16,IF(L149&lt;=199.99,20,IF(L149&lt;=499.99,26,28)))))-L149*1.3%-L149*6%-(L149-O149)*9.25%-L149*3%-L149*3%-1)</f>
        <v/>
      </c>
      <c r="Q149" s="22">
        <f>IF(AND(K149&lt;&gt;"",H149&gt;0),(H149-K149)/H149,"")</f>
        <v/>
      </c>
      <c r="R149" s="19" t="inlineStr">
        <is>
          <t>909481504866304</t>
        </is>
      </c>
      <c r="S149" s="23" t="n">
        <v>46144.3875</v>
      </c>
      <c r="T149" s="23" t="n">
        <v>46295.4375</v>
      </c>
      <c r="U149" s="19" t="inlineStr">
        <is>
          <t>100929</t>
        </is>
      </c>
      <c r="V149" t="inlineStr">
        <is>
          <t>212900</t>
        </is>
      </c>
      <c r="W149" t="inlineStr">
        <is>
          <t>SKU do de-para</t>
        </is>
      </c>
      <c r="X149" t="n">
        <v>7</v>
      </c>
      <c r="Y149" t="inlineStr">
        <is>
          <t>ok</t>
        </is>
      </c>
    </row>
    <row r="150" ht="15" customFormat="1" customHeight="1" s="19">
      <c r="A150" s="19" t="inlineStr">
        <is>
          <t>Jacartta</t>
        </is>
      </c>
      <c r="B150" s="19" t="inlineStr">
        <is>
          <t>Meloxivet 1mg Pequeno Porte Anti-Inflamatório para Cães e Gatos Blister 10 comprimidos DUPRAT</t>
        </is>
      </c>
      <c r="C150" s="19" t="inlineStr">
        <is>
          <t>1 MG</t>
        </is>
      </c>
      <c r="D150" s="19" t="inlineStr">
        <is>
          <t>MELOXIVET-1MG-10CPS</t>
        </is>
      </c>
      <c r="E150" s="19" t="inlineStr">
        <is>
          <t>23594548221</t>
        </is>
      </c>
      <c r="F150" s="19" t="inlineStr">
        <is>
          <t>139653049162</t>
        </is>
      </c>
      <c r="G150" s="19" t="inlineStr">
        <is>
          <t>NORMAL</t>
        </is>
      </c>
      <c r="H150" s="20" t="n">
        <v>99.90000000000001</v>
      </c>
      <c r="I150" s="20" t="n">
        <v>26.9</v>
      </c>
      <c r="J150" s="21" t="inlineStr">
        <is>
          <t>SIM</t>
        </is>
      </c>
      <c r="K150" s="20" t="n">
        <v>26.9</v>
      </c>
      <c r="L150" s="35">
        <f>IF(K150&lt;&gt;"",K150,I150)</f>
        <v/>
      </c>
      <c r="M150" s="81" t="n">
        <v>1</v>
      </c>
      <c r="N150" s="82" t="n">
        <v>13.15</v>
      </c>
      <c r="O150" s="80">
        <f>ROUND(M150*N150,2)</f>
        <v/>
      </c>
      <c r="P150" s="80">
        <f>IF($O150="","",L150-O150-(L150*IF(L150&lt;=79.99,20%,14%)+IF(L150&lt;=79.99,4,IF(L150&lt;=99.99,16,IF(L150&lt;=199.99,20,IF(L150&lt;=499.99,26,28)))))-L150*1.3%-L150*6%-(L150-O150)*9.25%-L150*3%-L150*3%-1)</f>
        <v/>
      </c>
      <c r="Q150" s="22">
        <f>IF(AND(K150&lt;&gt;"",H150&gt;0),(H150-K150)/H150,"")</f>
        <v/>
      </c>
      <c r="R150" s="19" t="inlineStr">
        <is>
          <t>909481504866304</t>
        </is>
      </c>
      <c r="S150" s="23" t="n">
        <v>46144.3875</v>
      </c>
      <c r="T150" s="23" t="n">
        <v>46295.4375</v>
      </c>
      <c r="U150" s="19" t="inlineStr">
        <is>
          <t>100942</t>
        </is>
      </c>
      <c r="V150" t="inlineStr">
        <is>
          <t>213535</t>
        </is>
      </c>
      <c r="W150" t="inlineStr">
        <is>
          <t>venda casada (2 pedidos)</t>
        </is>
      </c>
      <c r="X150" t="n">
        <v>2</v>
      </c>
      <c r="Y150" t="inlineStr">
        <is>
          <t>ok</t>
        </is>
      </c>
    </row>
    <row r="151" ht="15" customFormat="1" customHeight="1" s="14">
      <c r="A151" s="14" t="inlineStr">
        <is>
          <t>Jacartta</t>
        </is>
      </c>
      <c r="B151" s="14" t="inlineStr">
        <is>
          <t>Meloxivet 1mg Pequeno Porte Anti-Inflamatório para Cães e Gatos Blister 10 comprimidos DUPRAT</t>
        </is>
      </c>
      <c r="C151" s="14" t="inlineStr">
        <is>
          <t>2 MG</t>
        </is>
      </c>
      <c r="D151" s="14" t="inlineStr">
        <is>
          <t>MELOXIVET-2MG-10CPS</t>
        </is>
      </c>
      <c r="E151" s="14" t="inlineStr">
        <is>
          <t>23594548221</t>
        </is>
      </c>
      <c r="F151" s="14" t="inlineStr">
        <is>
          <t>139653049160</t>
        </is>
      </c>
      <c r="G151" s="14" t="inlineStr">
        <is>
          <t>NORMAL</t>
        </is>
      </c>
      <c r="H151" s="15" t="n">
        <v>99.90000000000001</v>
      </c>
      <c r="I151" s="15" t="n">
        <v>32.9</v>
      </c>
      <c r="J151" s="16" t="inlineStr">
        <is>
          <t>SIM</t>
        </is>
      </c>
      <c r="K151" s="15" t="n">
        <v>32.9</v>
      </c>
      <c r="L151" s="35">
        <f>IF(K151&lt;&gt;"",K151,I151)</f>
        <v/>
      </c>
      <c r="M151" s="28" t="n"/>
      <c r="N151" s="28" t="n"/>
      <c r="O151" s="29" t="n"/>
      <c r="P151" s="80">
        <f>IF($O151="","",L151-O151-(L151*IF(L151&lt;=79.99,20%,14%)+IF(L151&lt;=79.99,4,IF(L151&lt;=99.99,16,IF(L151&lt;=199.99,20,IF(L151&lt;=499.99,26,28)))))-L151*1.3%-L151*6%-(L151-O151)*9.25%-L151*3%-L151*3%-1)</f>
        <v/>
      </c>
      <c r="Q151" s="17">
        <f>IF(AND(K151&lt;&gt;"",H151&gt;0),(H151-K151)/H151,"")</f>
        <v/>
      </c>
      <c r="R151" s="14" t="inlineStr">
        <is>
          <t>909481504866304</t>
        </is>
      </c>
      <c r="S151" s="18" t="n">
        <v>46144.3875</v>
      </c>
      <c r="T151" s="18" t="n">
        <v>46295.4375</v>
      </c>
      <c r="U151" s="14" t="inlineStr">
        <is>
          <t>100942</t>
        </is>
      </c>
      <c r="V151" t="inlineStr">
        <is>
          <t>MELOXIVET-2MG-10CPS</t>
        </is>
      </c>
      <c r="W151" t="inlineStr">
        <is>
          <t>SKU idêntico na Olist · CUSTO ZERADO na Olist (conferido hoje)</t>
        </is>
      </c>
      <c r="Y151" t="inlineStr">
        <is>
          <t>ok</t>
        </is>
      </c>
    </row>
    <row r="152" ht="15" customFormat="1" customHeight="1" s="19">
      <c r="A152" s="14" t="inlineStr">
        <is>
          <t>Jacartta</t>
        </is>
      </c>
      <c r="B152" s="14" t="inlineStr">
        <is>
          <t>Protetor Lençol De Colchão Higifral G 5 UNI Cadeira de Rodas Pós Operatório Impermeável</t>
        </is>
      </c>
      <c r="C152" s="14" t="inlineStr">
        <is>
          <t>Sem variação</t>
        </is>
      </c>
      <c r="D152" s="14" t="inlineStr">
        <is>
          <t>1PCT-PROTETOR-COLCHÃO</t>
        </is>
      </c>
      <c r="E152" s="14" t="inlineStr">
        <is>
          <t>23298075203</t>
        </is>
      </c>
      <c r="F152" s="14" t="inlineStr">
        <is>
          <t>0</t>
        </is>
      </c>
      <c r="G152" s="14" t="inlineStr">
        <is>
          <t>NORMAL</t>
        </is>
      </c>
      <c r="H152" s="15" t="n">
        <v>39.9</v>
      </c>
      <c r="I152" s="15" t="n">
        <v>39.9</v>
      </c>
      <c r="J152" s="16" t="inlineStr">
        <is>
          <t>NÃO</t>
        </is>
      </c>
      <c r="K152" s="15" t="n"/>
      <c r="L152" s="35">
        <f>IF(K152&lt;&gt;"",K152,I152)</f>
        <v/>
      </c>
      <c r="M152" s="28" t="n"/>
      <c r="N152" s="28" t="n"/>
      <c r="O152" s="29" t="n"/>
      <c r="P152" s="80">
        <f>IF($O152="","",L152-O152-(L152*IF(L152&lt;=79.99,20%,14%)+IF(L152&lt;=79.99,4,IF(L152&lt;=99.99,16,IF(L152&lt;=199.99,20,IF(L152&lt;=499.99,26,28)))))-L152*1.3%-L152*6%-(L152-O152)*9.25%-L152*3%-L152*3%-1)</f>
        <v/>
      </c>
      <c r="Q152" s="17">
        <f>IF(AND(K152&lt;&gt;"",H152&gt;0),(H152-K152)/H152,"")</f>
        <v/>
      </c>
      <c r="R152" s="14" t="inlineStr"/>
      <c r="S152" s="18" t="n"/>
      <c r="T152" s="18" t="n"/>
      <c r="U152" s="14" t="inlineStr">
        <is>
          <t>101145</t>
        </is>
      </c>
      <c r="V152" t="inlineStr">
        <is>
          <t>1PCT-PROTETOR-COLCHÃO</t>
        </is>
      </c>
      <c r="W152" t="inlineStr">
        <is>
          <t>SKU idêntico na Olist · CUSTO ZERADO na Olist (conferido hoje)</t>
        </is>
      </c>
      <c r="Y152" t="inlineStr">
        <is>
          <t>ok</t>
        </is>
      </c>
    </row>
    <row r="153" ht="15" customFormat="1" customHeight="1" s="14">
      <c r="A153" s="14" t="inlineStr">
        <is>
          <t>Jacartta</t>
        </is>
      </c>
      <c r="B153" s="14" t="inlineStr">
        <is>
          <t>Sabonete Tiuran Sarnicida e Fungos Para Cães &amp; Gatos 80g</t>
        </is>
      </c>
      <c r="C153" s="14" t="inlineStr">
        <is>
          <t>Sem variação</t>
        </is>
      </c>
      <c r="D153" s="14" t="inlineStr">
        <is>
          <t>SABONETE-TIURAN-80G</t>
        </is>
      </c>
      <c r="E153" s="14" t="inlineStr">
        <is>
          <t>22299144400</t>
        </is>
      </c>
      <c r="F153" s="14" t="inlineStr">
        <is>
          <t>0</t>
        </is>
      </c>
      <c r="G153" s="14" t="inlineStr">
        <is>
          <t>NORMAL</t>
        </is>
      </c>
      <c r="H153" s="15" t="n">
        <v>59.9</v>
      </c>
      <c r="I153" s="15" t="n">
        <v>19.9</v>
      </c>
      <c r="J153" s="16" t="inlineStr">
        <is>
          <t>SIM</t>
        </is>
      </c>
      <c r="K153" s="15" t="n">
        <v>19.9</v>
      </c>
      <c r="L153" s="35">
        <f>IF(K153&lt;&gt;"",K153,I153)</f>
        <v/>
      </c>
      <c r="M153" s="84" t="n">
        <v>1</v>
      </c>
      <c r="N153" s="85" t="n">
        <v>8.4</v>
      </c>
      <c r="O153" s="80">
        <f>ROUND(M153*N153,2)</f>
        <v/>
      </c>
      <c r="P153" s="80">
        <f>IF($O153="","",L153-O153-(L153*IF(L153&lt;=79.99,20%,14%)+IF(L153&lt;=79.99,4,IF(L153&lt;=99.99,16,IF(L153&lt;=199.99,20,IF(L153&lt;=499.99,26,28)))))-L153*1.3%-L153*6%-(L153-O153)*9.25%-L153*3%-L153*3%-1)</f>
        <v/>
      </c>
      <c r="Q153" s="17">
        <f>IF(AND(K153&lt;&gt;"",H153&gt;0),(H153-K153)/H153,"")</f>
        <v/>
      </c>
      <c r="R153" s="14" t="inlineStr">
        <is>
          <t>909481504866304</t>
        </is>
      </c>
      <c r="S153" s="18" t="n">
        <v>46144.3875</v>
      </c>
      <c r="T153" s="18" t="n">
        <v>46295.4375</v>
      </c>
      <c r="U153" s="14" t="inlineStr">
        <is>
          <t>100929</t>
        </is>
      </c>
      <c r="V153" t="inlineStr">
        <is>
          <t>213397</t>
        </is>
      </c>
      <c r="W153" t="inlineStr">
        <is>
          <t>SKU do de-para</t>
        </is>
      </c>
      <c r="X153" t="n">
        <v>16</v>
      </c>
      <c r="Y153" t="inlineStr">
        <is>
          <t>ok</t>
        </is>
      </c>
    </row>
    <row r="154" ht="15" customFormat="1" customHeight="1" s="19">
      <c r="A154" s="14" t="inlineStr">
        <is>
          <t>Jacartta</t>
        </is>
      </c>
      <c r="B154" s="14" t="inlineStr">
        <is>
          <t>Sanduicheira Elétrica e Grill Família 2 em 1 - Inox antiaderente - 750W OliverHome</t>
        </is>
      </c>
      <c r="C154" s="14" t="inlineStr">
        <is>
          <t>Branco,110V</t>
        </is>
      </c>
      <c r="D154" s="14" t="inlineStr">
        <is>
          <t>SANDUICHEIRA-BRANCA-110V</t>
        </is>
      </c>
      <c r="E154" s="14" t="inlineStr">
        <is>
          <t>22199037616</t>
        </is>
      </c>
      <c r="F154" s="14" t="inlineStr">
        <is>
          <t>159787369567</t>
        </is>
      </c>
      <c r="G154" s="14" t="inlineStr">
        <is>
          <t>NORMAL</t>
        </is>
      </c>
      <c r="H154" s="15" t="n">
        <v>99.90000000000001</v>
      </c>
      <c r="I154" s="15" t="n">
        <v>99.90000000000001</v>
      </c>
      <c r="J154" s="16" t="inlineStr">
        <is>
          <t>NÃO</t>
        </is>
      </c>
      <c r="K154" s="15" t="n"/>
      <c r="L154" s="35">
        <f>IF(K154&lt;&gt;"",K154,I154)</f>
        <v/>
      </c>
      <c r="M154" s="28" t="n"/>
      <c r="N154" s="28" t="n"/>
      <c r="O154" s="29" t="n"/>
      <c r="P154" s="80">
        <f>IF($O154="","",L154-O154-(L154*IF(L154&lt;=79.99,20%,14%)+IF(L154&lt;=79.99,4,IF(L154&lt;=99.99,16,IF(L154&lt;=199.99,20,IF(L154&lt;=499.99,26,28)))))-L154*1.3%-L154*6%-(L154-O154)*9.25%-L154*3%-L154*3%-1)</f>
        <v/>
      </c>
      <c r="Q154" s="17">
        <f>IF(AND(K154&lt;&gt;"",H154&gt;0),(H154-K154)/H154,"")</f>
        <v/>
      </c>
      <c r="R154" s="14" t="inlineStr"/>
      <c r="S154" s="18" t="n"/>
      <c r="T154" s="18" t="n"/>
      <c r="U154" s="14" t="inlineStr">
        <is>
          <t>100202</t>
        </is>
      </c>
      <c r="V154" t="inlineStr">
        <is>
          <t>SANDUICHEIRA-BRANCA-110V</t>
        </is>
      </c>
      <c r="W154" t="inlineStr">
        <is>
          <t>SKU idêntico na Olist · CUSTO ZERADO na Olist (conferido hoje)</t>
        </is>
      </c>
      <c r="Y154" t="inlineStr">
        <is>
          <t>ok</t>
        </is>
      </c>
    </row>
    <row r="155" ht="15" customFormat="1" customHeight="1" s="14">
      <c r="A155" s="19" t="inlineStr">
        <is>
          <t>Jacartta</t>
        </is>
      </c>
      <c r="B155" s="19" t="inlineStr">
        <is>
          <t>Sanduicheira Elétrica e Grill Família 2 em 1 - Inox antiaderente - 750W OliverHome</t>
        </is>
      </c>
      <c r="C155" s="19" t="inlineStr">
        <is>
          <t>Branco,220V</t>
        </is>
      </c>
      <c r="D155" s="19" t="inlineStr">
        <is>
          <t>SANDUICHEIRA-BRANCA-220V</t>
        </is>
      </c>
      <c r="E155" s="19" t="inlineStr">
        <is>
          <t>22199037616</t>
        </is>
      </c>
      <c r="F155" s="19" t="inlineStr">
        <is>
          <t>159787369568</t>
        </is>
      </c>
      <c r="G155" s="19" t="inlineStr">
        <is>
          <t>NORMAL</t>
        </is>
      </c>
      <c r="H155" s="20" t="n">
        <v>99.90000000000001</v>
      </c>
      <c r="I155" s="20" t="n">
        <v>99.90000000000001</v>
      </c>
      <c r="J155" s="21" t="inlineStr">
        <is>
          <t>NÃO</t>
        </is>
      </c>
      <c r="K155" s="20" t="n"/>
      <c r="L155" s="35">
        <f>IF(K155&lt;&gt;"",K155,I155)</f>
        <v/>
      </c>
      <c r="M155" s="30" t="n"/>
      <c r="N155" s="30" t="n"/>
      <c r="O155" s="31" t="n"/>
      <c r="P155" s="80">
        <f>IF($O155="","",L155-O155-(L155*IF(L155&lt;=79.99,20%,14%)+IF(L155&lt;=79.99,4,IF(L155&lt;=99.99,16,IF(L155&lt;=199.99,20,IF(L155&lt;=499.99,26,28)))))-L155*1.3%-L155*6%-(L155-O155)*9.25%-L155*3%-L155*3%-1)</f>
        <v/>
      </c>
      <c r="Q155" s="22">
        <f>IF(AND(K155&lt;&gt;"",H155&gt;0),(H155-K155)/H155,"")</f>
        <v/>
      </c>
      <c r="R155" s="19" t="inlineStr"/>
      <c r="S155" s="23" t="n"/>
      <c r="T155" s="23" t="n"/>
      <c r="U155" s="19" t="inlineStr">
        <is>
          <t>100202</t>
        </is>
      </c>
      <c r="V155" t="inlineStr">
        <is>
          <t>SANDUICHEIRA-BRANCA-220V</t>
        </is>
      </c>
      <c r="W155" t="inlineStr">
        <is>
          <t>SKU idêntico na Olist · CUSTO ZERADO na Olist (conferido hoje)</t>
        </is>
      </c>
      <c r="Y155" t="inlineStr">
        <is>
          <t>ok</t>
        </is>
      </c>
    </row>
    <row r="156" ht="15" customFormat="1" customHeight="1" s="19">
      <c r="A156" s="14" t="inlineStr">
        <is>
          <t>Jacartta</t>
        </is>
      </c>
      <c r="B156" s="14" t="inlineStr">
        <is>
          <t>Sanduicheira Elétrica e Grill Família 2 em 1 - Inox antiaderente - 750W OliverHome</t>
        </is>
      </c>
      <c r="C156" s="14" t="inlineStr">
        <is>
          <t>Preto,110V</t>
        </is>
      </c>
      <c r="D156" s="14" t="inlineStr">
        <is>
          <t>SANDUICHEIRA-PRETO-110V</t>
        </is>
      </c>
      <c r="E156" s="14" t="inlineStr">
        <is>
          <t>22199037616</t>
        </is>
      </c>
      <c r="F156" s="14" t="inlineStr">
        <is>
          <t>159787369565</t>
        </is>
      </c>
      <c r="G156" s="14" t="inlineStr">
        <is>
          <t>NORMAL</t>
        </is>
      </c>
      <c r="H156" s="15" t="n">
        <v>99.90000000000001</v>
      </c>
      <c r="I156" s="15" t="n">
        <v>69.89</v>
      </c>
      <c r="J156" s="16" t="inlineStr">
        <is>
          <t>SIM</t>
        </is>
      </c>
      <c r="K156" s="15" t="n">
        <v>69.89</v>
      </c>
      <c r="L156" s="35">
        <f>IF(K156&lt;&gt;"",K156,I156)</f>
        <v/>
      </c>
      <c r="M156" s="84" t="n">
        <v>1</v>
      </c>
      <c r="N156" s="85" t="n">
        <v>30.7</v>
      </c>
      <c r="O156" s="80">
        <f>ROUND(M156*N156,2)</f>
        <v/>
      </c>
      <c r="P156" s="80">
        <f>IF($O156="","",L156-O156-(L156*IF(L156&lt;=79.99,20%,14%)+IF(L156&lt;=79.99,4,IF(L156&lt;=99.99,16,IF(L156&lt;=199.99,20,IF(L156&lt;=499.99,26,28)))))-L156*1.3%-L156*6%-(L156-O156)*9.25%-L156*3%-L156*3%-1)</f>
        <v/>
      </c>
      <c r="Q156" s="17">
        <f>IF(AND(K156&lt;&gt;"",H156&gt;0),(H156-K156)/H156,"")</f>
        <v/>
      </c>
      <c r="R156" s="14" t="inlineStr">
        <is>
          <t>492047266168992</t>
        </is>
      </c>
      <c r="S156" s="18" t="n">
        <v>46248</v>
      </c>
      <c r="T156" s="18" t="n">
        <v>46249</v>
      </c>
      <c r="U156" s="14" t="inlineStr">
        <is>
          <t>100202</t>
        </is>
      </c>
      <c r="V156" t="inlineStr">
        <is>
          <t>214024</t>
        </is>
      </c>
      <c r="W156" t="inlineStr">
        <is>
          <t>venda casada (601 pedidos)</t>
        </is>
      </c>
      <c r="X156" t="n">
        <v>601</v>
      </c>
      <c r="Y156" t="inlineStr">
        <is>
          <t>ok</t>
        </is>
      </c>
    </row>
    <row r="157" ht="15" customFormat="1" customHeight="1" s="14">
      <c r="A157" s="19" t="inlineStr">
        <is>
          <t>Jacartta</t>
        </is>
      </c>
      <c r="B157" s="19" t="inlineStr">
        <is>
          <t>Sanduicheira Elétrica e Grill Família 2 em 1 - Inox antiaderente - 750W OliverHome</t>
        </is>
      </c>
      <c r="C157" s="19" t="inlineStr">
        <is>
          <t>Preto,220V</t>
        </is>
      </c>
      <c r="D157" s="19" t="inlineStr">
        <is>
          <t>SANDUICHEIRA-PRETO-220V</t>
        </is>
      </c>
      <c r="E157" s="19" t="inlineStr">
        <is>
          <t>22199037616</t>
        </is>
      </c>
      <c r="F157" s="19" t="inlineStr">
        <is>
          <t>159787369566</t>
        </is>
      </c>
      <c r="G157" s="19" t="inlineStr">
        <is>
          <t>NORMAL</t>
        </is>
      </c>
      <c r="H157" s="20" t="n">
        <v>99.90000000000001</v>
      </c>
      <c r="I157" s="20" t="n">
        <v>69.89</v>
      </c>
      <c r="J157" s="21" t="inlineStr">
        <is>
          <t>SIM</t>
        </is>
      </c>
      <c r="K157" s="20" t="n">
        <v>69.89</v>
      </c>
      <c r="L157" s="35">
        <f>IF(K157&lt;&gt;"",K157,I157)</f>
        <v/>
      </c>
      <c r="M157" s="81" t="n">
        <v>1</v>
      </c>
      <c r="N157" s="82" t="n">
        <v>30.7</v>
      </c>
      <c r="O157" s="80">
        <f>ROUND(M157*N157,2)</f>
        <v/>
      </c>
      <c r="P157" s="80">
        <f>IF($O157="","",L157-O157-(L157*IF(L157&lt;=79.99,20%,14%)+IF(L157&lt;=79.99,4,IF(L157&lt;=99.99,16,IF(L157&lt;=199.99,20,IF(L157&lt;=499.99,26,28)))))-L157*1.3%-L157*6%-(L157-O157)*9.25%-L157*3%-L157*3%-1)</f>
        <v/>
      </c>
      <c r="Q157" s="22">
        <f>IF(AND(K157&lt;&gt;"",H157&gt;0),(H157-K157)/H157,"")</f>
        <v/>
      </c>
      <c r="R157" s="19" t="inlineStr">
        <is>
          <t>492047266168992</t>
        </is>
      </c>
      <c r="S157" s="23" t="n">
        <v>46248</v>
      </c>
      <c r="T157" s="23" t="n">
        <v>46249</v>
      </c>
      <c r="U157" s="19" t="inlineStr">
        <is>
          <t>100202</t>
        </is>
      </c>
      <c r="V157" t="inlineStr">
        <is>
          <t>214026</t>
        </is>
      </c>
      <c r="W157" t="inlineStr">
        <is>
          <t>venda casada (549 pedidos)</t>
        </is>
      </c>
      <c r="X157" t="n">
        <v>549</v>
      </c>
      <c r="Y157" t="inlineStr">
        <is>
          <t>ok</t>
        </is>
      </c>
    </row>
    <row r="158" ht="15" customFormat="1" customHeight="1" s="19">
      <c r="A158" s="19" t="inlineStr">
        <is>
          <t>Jacartta</t>
        </is>
      </c>
      <c r="B158" s="19" t="inlineStr">
        <is>
          <t>Tapete Higienico 150 unidades Espaço De Bicho  Envio Imediato</t>
        </is>
      </c>
      <c r="C158" s="19" t="inlineStr">
        <is>
          <t>Sem variação</t>
        </is>
      </c>
      <c r="D158" s="19" t="inlineStr">
        <is>
          <t>0840</t>
        </is>
      </c>
      <c r="E158" s="19" t="inlineStr">
        <is>
          <t>22520161937</t>
        </is>
      </c>
      <c r="F158" s="19" t="inlineStr">
        <is>
          <t>0</t>
        </is>
      </c>
      <c r="G158" s="19" t="inlineStr">
        <is>
          <t>NORMAL</t>
        </is>
      </c>
      <c r="H158" s="20" t="n">
        <v>299.9</v>
      </c>
      <c r="I158" s="20" t="n">
        <v>184.9</v>
      </c>
      <c r="J158" s="21" t="inlineStr">
        <is>
          <t>SIM</t>
        </is>
      </c>
      <c r="K158" s="20" t="n">
        <v>184.9</v>
      </c>
      <c r="L158" s="35">
        <f>IF(K158&lt;&gt;"",K158,I158)</f>
        <v/>
      </c>
      <c r="M158" s="81" t="n">
        <v>3</v>
      </c>
      <c r="N158" s="82" t="n">
        <v>33.1</v>
      </c>
      <c r="O158" s="80">
        <f>ROUND(M158*N158,2)</f>
        <v/>
      </c>
      <c r="P158" s="80">
        <f>IF($O158="","",L158-O158-(L158*IF(L158&lt;=79.99,20%,14%)+IF(L158&lt;=79.99,4,IF(L158&lt;=99.99,16,IF(L158&lt;=199.99,20,IF(L158&lt;=499.99,26,28)))))-L158*1.3%-L158*6%-(L158-O158)*9.25%-L158*3%-L158*3%-1)</f>
        <v/>
      </c>
      <c r="Q158" s="22">
        <f>IF(AND(K158&lt;&gt;"",H158&gt;0),(H158-K158)/H158,"")</f>
        <v/>
      </c>
      <c r="R158" s="19" t="inlineStr">
        <is>
          <t>909481504866304</t>
        </is>
      </c>
      <c r="S158" s="23" t="n">
        <v>46144.3875</v>
      </c>
      <c r="T158" s="23" t="n">
        <v>46295.4375</v>
      </c>
      <c r="U158" s="19" t="inlineStr">
        <is>
          <t>100926</t>
        </is>
      </c>
      <c r="V158" t="inlineStr">
        <is>
          <t>EDB60X60-50UN</t>
        </is>
      </c>
      <c r="W158" t="inlineStr">
        <is>
          <t>venda casada (9 pedidos) · custo do KIT 212445 (3× EDB60X60-50UN)</t>
        </is>
      </c>
      <c r="X158" t="n">
        <v>9</v>
      </c>
      <c r="Y158" t="inlineStr">
        <is>
          <t>ok</t>
        </is>
      </c>
    </row>
    <row r="159" ht="15" customFormat="1" customHeight="1" s="14">
      <c r="A159" s="14" t="inlineStr">
        <is>
          <t>Jacartta</t>
        </is>
      </c>
      <c r="B159" s="14" t="inlineStr">
        <is>
          <t>Tapete Higiênico 60 Unidades  Espaço De Bicho P/ Cães E Gatos 60x60</t>
        </is>
      </c>
      <c r="C159" s="14" t="inlineStr">
        <is>
          <t>Sem variação</t>
        </is>
      </c>
      <c r="D159" s="14" t="inlineStr">
        <is>
          <t>0837</t>
        </is>
      </c>
      <c r="E159" s="14" t="inlineStr">
        <is>
          <t>18371868696</t>
        </is>
      </c>
      <c r="F159" s="14" t="inlineStr">
        <is>
          <t>0</t>
        </is>
      </c>
      <c r="G159" s="14" t="inlineStr">
        <is>
          <t>NORMAL</t>
        </is>
      </c>
      <c r="H159" s="15" t="n">
        <v>149.9</v>
      </c>
      <c r="I159" s="15" t="n">
        <v>84.90000000000001</v>
      </c>
      <c r="J159" s="16" t="inlineStr">
        <is>
          <t>SIM</t>
        </is>
      </c>
      <c r="K159" s="15" t="n">
        <v>84.90000000000001</v>
      </c>
      <c r="L159" s="35">
        <f>IF(K159&lt;&gt;"",K159,I159)</f>
        <v/>
      </c>
      <c r="M159" s="84" t="n">
        <v>2</v>
      </c>
      <c r="N159" s="85" t="n">
        <v>19.58</v>
      </c>
      <c r="O159" s="80">
        <f>ROUND(M159*N159,2)</f>
        <v/>
      </c>
      <c r="P159" s="80">
        <f>IF($O159="","",L159-O159-(L159*IF(L159&lt;=79.99,20%,14%)+IF(L159&lt;=79.99,4,IF(L159&lt;=99.99,16,IF(L159&lt;=199.99,20,IF(L159&lt;=499.99,26,28)))))-L159*1.3%-L159*6%-(L159-O159)*9.25%-L159*3%-L159*3%-1)</f>
        <v/>
      </c>
      <c r="Q159" s="17">
        <f>IF(AND(K159&lt;&gt;"",H159&gt;0),(H159-K159)/H159,"")</f>
        <v/>
      </c>
      <c r="R159" s="14" t="inlineStr">
        <is>
          <t>909481068642304</t>
        </is>
      </c>
      <c r="S159" s="18" t="n">
        <v>46144.38680555556</v>
      </c>
      <c r="T159" s="18" t="n">
        <v>46295.4375</v>
      </c>
      <c r="U159" s="14" t="inlineStr">
        <is>
          <t>100926</t>
        </is>
      </c>
      <c r="V159" t="inlineStr">
        <is>
          <t>212952</t>
        </is>
      </c>
      <c r="W159" t="inlineStr">
        <is>
          <t>venda casada (9 pedidos) · custo do KIT 212446 (2× 212952)</t>
        </is>
      </c>
      <c r="X159" t="n">
        <v>9</v>
      </c>
      <c r="Y159" t="inlineStr">
        <is>
          <t>ok</t>
        </is>
      </c>
    </row>
    <row r="160" ht="15" customFormat="1" customHeight="1" s="19">
      <c r="A160" s="14" t="inlineStr">
        <is>
          <t>Jacartta</t>
        </is>
      </c>
      <c r="B160" s="14" t="inlineStr">
        <is>
          <t>Tapete Higiênico Espaço De Bicho 100 un Envio Imediato</t>
        </is>
      </c>
      <c r="C160" s="14" t="inlineStr">
        <is>
          <t>Sem variação</t>
        </is>
      </c>
      <c r="D160" s="14" t="inlineStr">
        <is>
          <t>0840</t>
        </is>
      </c>
      <c r="E160" s="14" t="inlineStr">
        <is>
          <t>21071826873</t>
        </is>
      </c>
      <c r="F160" s="14" t="inlineStr">
        <is>
          <t>0</t>
        </is>
      </c>
      <c r="G160" s="14" t="inlineStr">
        <is>
          <t>NORMAL</t>
        </is>
      </c>
      <c r="H160" s="15" t="n">
        <v>159.9</v>
      </c>
      <c r="I160" s="15" t="n">
        <v>115.9</v>
      </c>
      <c r="J160" s="16" t="inlineStr">
        <is>
          <t>SIM</t>
        </is>
      </c>
      <c r="K160" s="15" t="n">
        <v>115.9</v>
      </c>
      <c r="L160" s="35">
        <f>IF(K160&lt;&gt;"",K160,I160)</f>
        <v/>
      </c>
      <c r="M160" s="84" t="n">
        <v>2</v>
      </c>
      <c r="N160" s="85" t="n">
        <v>33.1</v>
      </c>
      <c r="O160" s="80">
        <f>ROUND(M160*N160,2)</f>
        <v/>
      </c>
      <c r="P160" s="80">
        <f>IF($O160="","",L160-O160-(L160*IF(L160&lt;=79.99,20%,14%)+IF(L160&lt;=79.99,4,IF(L160&lt;=99.99,16,IF(L160&lt;=199.99,20,IF(L160&lt;=499.99,26,28)))))-L160*1.3%-L160*6%-(L160-O160)*9.25%-L160*3%-L160*3%-1)</f>
        <v/>
      </c>
      <c r="Q160" s="17">
        <f>IF(AND(K160&lt;&gt;"",H160&gt;0),(H160-K160)/H160,"")</f>
        <v/>
      </c>
      <c r="R160" s="14" t="inlineStr">
        <is>
          <t>909481504866304</t>
        </is>
      </c>
      <c r="S160" s="18" t="n">
        <v>46144.3875</v>
      </c>
      <c r="T160" s="18" t="n">
        <v>46295.4375</v>
      </c>
      <c r="U160" s="14" t="inlineStr">
        <is>
          <t>100926</t>
        </is>
      </c>
      <c r="V160" t="inlineStr">
        <is>
          <t>EDB60X60-50UN</t>
        </is>
      </c>
      <c r="W160" t="inlineStr">
        <is>
          <t>venda casada (343 pedidos) · custo do KIT 212444 (2× EDB60X60-50UN)</t>
        </is>
      </c>
      <c r="X160" t="n">
        <v>343</v>
      </c>
      <c r="Y160" t="inlineStr">
        <is>
          <t>ok</t>
        </is>
      </c>
    </row>
    <row r="161" ht="15" customFormat="1" customHeight="1" s="14">
      <c r="A161" s="19" t="inlineStr">
        <is>
          <t>Jacartta</t>
        </is>
      </c>
      <c r="B161" s="19" t="inlineStr">
        <is>
          <t>Tapete Higienico Espaço de Bicho 100 Unidades ( Envio Imediato )</t>
        </is>
      </c>
      <c r="C161" s="19" t="inlineStr">
        <is>
          <t>Sem variação</t>
        </is>
      </c>
      <c r="D161" s="19" t="inlineStr">
        <is>
          <t>0840</t>
        </is>
      </c>
      <c r="E161" s="19" t="inlineStr">
        <is>
          <t>23120185501</t>
        </is>
      </c>
      <c r="F161" s="19" t="inlineStr">
        <is>
          <t>0</t>
        </is>
      </c>
      <c r="G161" s="19" t="inlineStr">
        <is>
          <t>NORMAL</t>
        </is>
      </c>
      <c r="H161" s="20" t="n">
        <v>219.9</v>
      </c>
      <c r="I161" s="20" t="n">
        <v>129.9</v>
      </c>
      <c r="J161" s="21" t="inlineStr">
        <is>
          <t>SIM</t>
        </is>
      </c>
      <c r="K161" s="20" t="n">
        <v>129.9</v>
      </c>
      <c r="L161" s="35">
        <f>IF(K161&lt;&gt;"",K161,I161)</f>
        <v/>
      </c>
      <c r="M161" s="81" t="n">
        <v>2</v>
      </c>
      <c r="N161" s="82" t="n">
        <v>33.1</v>
      </c>
      <c r="O161" s="80">
        <f>ROUND(M161*N161,2)</f>
        <v/>
      </c>
      <c r="P161" s="80">
        <f>IF($O161="","",L161-O161-(L161*IF(L161&lt;=79.99,20%,14%)+IF(L161&lt;=79.99,4,IF(L161&lt;=99.99,16,IF(L161&lt;=199.99,20,IF(L161&lt;=499.99,26,28)))))-L161*1.3%-L161*6%-(L161-O161)*9.25%-L161*3%-L161*3%-1)</f>
        <v/>
      </c>
      <c r="Q161" s="22">
        <f>IF(AND(K161&lt;&gt;"",H161&gt;0),(H161-K161)/H161,"")</f>
        <v/>
      </c>
      <c r="R161" s="19" t="inlineStr">
        <is>
          <t>909481504866304</t>
        </is>
      </c>
      <c r="S161" s="23" t="n">
        <v>46144.3875</v>
      </c>
      <c r="T161" s="23" t="n">
        <v>46295.4375</v>
      </c>
      <c r="U161" s="19" t="inlineStr">
        <is>
          <t>100926</t>
        </is>
      </c>
      <c r="V161" t="inlineStr">
        <is>
          <t>EDB60X60-50UN</t>
        </is>
      </c>
      <c r="W161" t="inlineStr">
        <is>
          <t>venda casada (17 pedidos) · custo do KIT 212444 (2× EDB60X60-50UN)</t>
        </is>
      </c>
      <c r="X161" t="n">
        <v>17</v>
      </c>
      <c r="Y161" t="inlineStr">
        <is>
          <t>ok</t>
        </is>
      </c>
    </row>
    <row r="162" ht="15" customFormat="1" customHeight="1" s="19">
      <c r="A162" s="14" t="inlineStr">
        <is>
          <t>Jacartta</t>
        </is>
      </c>
      <c r="B162" s="14" t="inlineStr">
        <is>
          <t>Tapete Higiênico Espaço de Bicho 60x60 c/30 Unidades( Envio Imediato )</t>
        </is>
      </c>
      <c r="C162" s="14" t="inlineStr">
        <is>
          <t>Sem variação</t>
        </is>
      </c>
      <c r="D162" s="14" t="inlineStr">
        <is>
          <t>0837</t>
        </is>
      </c>
      <c r="E162" s="14" t="inlineStr">
        <is>
          <t>17892305071</t>
        </is>
      </c>
      <c r="F162" s="14" t="inlineStr">
        <is>
          <t>0</t>
        </is>
      </c>
      <c r="G162" s="14" t="inlineStr">
        <is>
          <t>NORMAL</t>
        </is>
      </c>
      <c r="H162" s="15" t="n">
        <v>49.9</v>
      </c>
      <c r="I162" s="15" t="n">
        <v>36.9</v>
      </c>
      <c r="J162" s="16" t="inlineStr">
        <is>
          <t>SIM</t>
        </is>
      </c>
      <c r="K162" s="15" t="n">
        <v>36.9</v>
      </c>
      <c r="L162" s="35">
        <f>IF(K162&lt;&gt;"",K162,I162)</f>
        <v/>
      </c>
      <c r="M162" s="84" t="n">
        <v>1</v>
      </c>
      <c r="N162" s="85" t="n">
        <v>19.58</v>
      </c>
      <c r="O162" s="80">
        <f>ROUND(M162*N162,2)</f>
        <v/>
      </c>
      <c r="P162" s="80">
        <f>IF($O162="","",L162-O162-(L162*IF(L162&lt;=79.99,20%,14%)+IF(L162&lt;=79.99,4,IF(L162&lt;=99.99,16,IF(L162&lt;=199.99,20,IF(L162&lt;=499.99,26,28)))))-L162*1.3%-L162*6%-(L162-O162)*9.25%-L162*3%-L162*3%-1)</f>
        <v/>
      </c>
      <c r="Q162" s="17">
        <f>IF(AND(K162&lt;&gt;"",H162&gt;0),(H162-K162)/H162,"")</f>
        <v/>
      </c>
      <c r="R162" s="14" t="inlineStr">
        <is>
          <t>909481068642304</t>
        </is>
      </c>
      <c r="S162" s="18" t="n">
        <v>46144.38680555556</v>
      </c>
      <c r="T162" s="18" t="n">
        <v>46295.4375</v>
      </c>
      <c r="U162" s="14" t="inlineStr">
        <is>
          <t>100926</t>
        </is>
      </c>
      <c r="V162" t="inlineStr">
        <is>
          <t>212952</t>
        </is>
      </c>
      <c r="W162" t="inlineStr">
        <is>
          <t>venda casada (1065 pedidos) · custo do KIT 213841 (1× 212952)</t>
        </is>
      </c>
      <c r="X162" t="n">
        <v>1065</v>
      </c>
      <c r="Y162" t="inlineStr">
        <is>
          <t>ok</t>
        </is>
      </c>
    </row>
    <row r="163" ht="15" customFormat="1" customHeight="1" s="14">
      <c r="A163" s="19" t="inlineStr">
        <is>
          <t>Jacartta</t>
        </is>
      </c>
      <c r="B163" s="19" t="inlineStr">
        <is>
          <t>Kit Potes de Vidro 370ml Hermético Marmita Fit com Tampa 4 Travas</t>
        </is>
      </c>
      <c r="C163" s="19" t="inlineStr">
        <is>
          <t>3 Potes,Vermelho</t>
        </is>
      </c>
      <c r="D163" s="19" t="inlineStr">
        <is>
          <t>KIT3-370ML-VM</t>
        </is>
      </c>
      <c r="E163" s="19" t="inlineStr">
        <is>
          <t>23994504847</t>
        </is>
      </c>
      <c r="F163" s="19" t="inlineStr">
        <is>
          <t>331179480131</t>
        </is>
      </c>
      <c r="G163" s="19" t="inlineStr">
        <is>
          <t>NORMAL</t>
        </is>
      </c>
      <c r="H163" s="20" t="n">
        <v>59.9</v>
      </c>
      <c r="I163" s="20" t="n">
        <v>29.89</v>
      </c>
      <c r="J163" s="21" t="inlineStr">
        <is>
          <t>SIM</t>
        </is>
      </c>
      <c r="K163" s="20" t="n">
        <v>29.89</v>
      </c>
      <c r="L163" s="35">
        <f>IF(K163&lt;&gt;"",K163,I163)</f>
        <v/>
      </c>
      <c r="M163" s="32" t="n">
        <v>3</v>
      </c>
      <c r="N163" s="28" t="n">
        <v>4.45</v>
      </c>
      <c r="O163" s="29">
        <f>N163*M163</f>
        <v/>
      </c>
      <c r="P163" s="80">
        <f>IF($O163="","",L163-O163-(L163*IF(L163&lt;=79.99,20%,14%)+IF(L163&lt;=79.99,4,IF(L163&lt;=99.99,16,IF(L163&lt;=199.99,20,IF(L163&lt;=499.99,26,28)))))-L163*1.3%-L163*6%-(L163-O163)*9.25%-L163*3%-L163*3%-1)</f>
        <v/>
      </c>
      <c r="Q163" s="22">
        <f>IF(AND(K163&lt;&gt;"",H163&gt;0),(H163-K163)/H163,"")</f>
        <v/>
      </c>
      <c r="R163" s="19" t="inlineStr">
        <is>
          <t>478386871025791</t>
        </is>
      </c>
      <c r="S163" s="23" t="n">
        <v>46209.64583333334</v>
      </c>
      <c r="T163" s="23" t="n">
        <v>46326.99930555555</v>
      </c>
      <c r="U163" s="19" t="inlineStr">
        <is>
          <t>101220</t>
        </is>
      </c>
      <c r="V163" t="inlineStr">
        <is>
          <t>215789</t>
        </is>
      </c>
      <c r="W163" t="inlineStr">
        <is>
          <t>venda casada (142 pedidos) · QTD/custo manuais mantidos · ATENÇÃO: Olist hoje diz 3.86</t>
        </is>
      </c>
      <c r="X163" t="n">
        <v>142</v>
      </c>
      <c r="Y163" t="inlineStr">
        <is>
          <t>ok</t>
        </is>
      </c>
    </row>
    <row r="164" ht="15" customFormat="1" customHeight="1" s="19">
      <c r="A164" s="19" t="inlineStr">
        <is>
          <t>Espaço De Bicho</t>
        </is>
      </c>
      <c r="B164" s="19" t="inlineStr">
        <is>
          <t>Tapete Higiênico Espaço De Bicho Para Cães 50x60cm 200 Unidades - Envio Imediato</t>
        </is>
      </c>
      <c r="C164" s="19" t="inlineStr">
        <is>
          <t>200 Unidades</t>
        </is>
      </c>
      <c r="D164" s="19" t="inlineStr">
        <is>
          <t>1624</t>
        </is>
      </c>
      <c r="E164" s="19" t="inlineStr">
        <is>
          <t>18997998329</t>
        </is>
      </c>
      <c r="F164" s="19" t="inlineStr">
        <is>
          <t>199186587527</t>
        </is>
      </c>
      <c r="G164" s="19" t="inlineStr">
        <is>
          <t>NORMAL</t>
        </is>
      </c>
      <c r="H164" s="20" t="n">
        <v>499.9</v>
      </c>
      <c r="I164" s="20" t="n">
        <v>189.9</v>
      </c>
      <c r="J164" s="21" t="inlineStr">
        <is>
          <t>SIM</t>
        </is>
      </c>
      <c r="K164" s="20" t="n">
        <v>189.9</v>
      </c>
      <c r="L164" s="35">
        <f>IF(K164&lt;&gt;"",K164,I164)</f>
        <v/>
      </c>
      <c r="M164" s="81" t="n">
        <v>4</v>
      </c>
      <c r="N164" s="82" t="n">
        <v>29.12</v>
      </c>
      <c r="O164" s="83">
        <f>ROUND(M164*N164,2)</f>
        <v/>
      </c>
      <c r="P164" s="80">
        <f>IF($O164="","",L164-O164-(L164*IF(L164&lt;=79.99,20%,14%)+IF(L164&lt;=79.99,4,IF(L164&lt;=99.99,16,IF(L164&lt;=199.99,20,IF(L164&lt;=499.99,26,28)))))-L164*1.3%-L164*6%-(L164-O164)*9.25%-L164*3%-L164*3%-1)</f>
        <v/>
      </c>
      <c r="Q164" s="22">
        <f>IF(AND(K164&lt;&gt;"",H164&gt;0),(H164-K164)/H164,"")</f>
        <v/>
      </c>
      <c r="R164" s="19" t="inlineStr">
        <is>
          <t>909477973245952</t>
        </is>
      </c>
      <c r="S164" s="23" t="n">
        <v>46144.38263888889</v>
      </c>
      <c r="T164" s="23" t="n">
        <v>46295.4375</v>
      </c>
      <c r="U164" s="19" t="inlineStr">
        <is>
          <t>100926</t>
        </is>
      </c>
      <c r="V164" t="inlineStr">
        <is>
          <t>213169</t>
        </is>
      </c>
      <c r="W164" t="inlineStr">
        <is>
          <t>venda casada (846 pedidos) · custo do KIT 213851 (4× 213169)</t>
        </is>
      </c>
      <c r="X164" t="n">
        <v>846</v>
      </c>
      <c r="Y164" t="inlineStr">
        <is>
          <t>ok</t>
        </is>
      </c>
    </row>
    <row r="165" ht="15" customFormat="1" customHeight="1" s="14">
      <c r="A165" s="19" t="inlineStr">
        <is>
          <t>Jacartta</t>
        </is>
      </c>
      <c r="B165" s="19" t="inlineStr">
        <is>
          <t>Tapete Higiênico Espaço De Bicho Shopito Oficial 100 Unidades Envio Imediato</t>
        </is>
      </c>
      <c r="C165" s="19" t="inlineStr">
        <is>
          <t>Sem variação</t>
        </is>
      </c>
      <c r="D165" s="19" t="inlineStr">
        <is>
          <t>701</t>
        </is>
      </c>
      <c r="E165" s="19" t="inlineStr">
        <is>
          <t>22992898056</t>
        </is>
      </c>
      <c r="F165" s="19" t="inlineStr">
        <is>
          <t>0</t>
        </is>
      </c>
      <c r="G165" s="19" t="inlineStr">
        <is>
          <t>NORMAL</t>
        </is>
      </c>
      <c r="H165" s="20" t="n">
        <v>189.9</v>
      </c>
      <c r="I165" s="20" t="n">
        <v>117.9</v>
      </c>
      <c r="J165" s="21" t="inlineStr">
        <is>
          <t>SIM</t>
        </is>
      </c>
      <c r="K165" s="20" t="n">
        <v>117.9</v>
      </c>
      <c r="L165" s="35">
        <f>IF(K165&lt;&gt;"",K165,I165)</f>
        <v/>
      </c>
      <c r="M165" s="81" t="n">
        <v>2</v>
      </c>
      <c r="N165" s="82" t="n">
        <v>32.79</v>
      </c>
      <c r="O165" s="80">
        <f>ROUND(M165*N165,2)</f>
        <v/>
      </c>
      <c r="P165" s="80">
        <f>IF($O165="","",L165-O165-(L165*IF(L165&lt;=79.99,20%,14%)+IF(L165&lt;=79.99,4,IF(L165&lt;=99.99,16,IF(L165&lt;=199.99,20,IF(L165&lt;=499.99,26,28)))))-L165*1.3%-L165*6%-(L165-O165)*9.25%-L165*3%-L165*3%-1)</f>
        <v/>
      </c>
      <c r="Q165" s="22">
        <f>IF(AND(K165&lt;&gt;"",H165&gt;0),(H165-K165)/H165,"")</f>
        <v/>
      </c>
      <c r="R165" s="19" t="inlineStr">
        <is>
          <t>909480791819264</t>
        </is>
      </c>
      <c r="S165" s="23" t="n">
        <v>46144.38611111111</v>
      </c>
      <c r="T165" s="23" t="n">
        <v>46295.4375</v>
      </c>
      <c r="U165" s="19" t="inlineStr">
        <is>
          <t>100926</t>
        </is>
      </c>
      <c r="V165" t="inlineStr">
        <is>
          <t>212955</t>
        </is>
      </c>
      <c r="W165" t="inlineStr">
        <is>
          <t>venda casada (33 pedidos) · custo do KIT 213814 (2× 212955)</t>
        </is>
      </c>
      <c r="X165" t="n">
        <v>33</v>
      </c>
      <c r="Y165" t="inlineStr">
        <is>
          <t>ok</t>
        </is>
      </c>
    </row>
    <row r="166" ht="15" customFormat="1" customHeight="1" s="19">
      <c r="A166" s="19" t="inlineStr">
        <is>
          <t>Jacartta</t>
        </is>
      </c>
      <c r="B166" s="19" t="inlineStr">
        <is>
          <t>Tapete Higienico Espaço De Bicho Shopito Oficial 200 Unidades Envio Imediato</t>
        </is>
      </c>
      <c r="C166" s="19" t="inlineStr">
        <is>
          <t>Sem variação</t>
        </is>
      </c>
      <c r="D166" s="19" t="inlineStr">
        <is>
          <t>703</t>
        </is>
      </c>
      <c r="E166" s="19" t="inlineStr">
        <is>
          <t>23097394657</t>
        </is>
      </c>
      <c r="F166" s="19" t="inlineStr">
        <is>
          <t>0</t>
        </is>
      </c>
      <c r="G166" s="19" t="inlineStr">
        <is>
          <t>NORMAL</t>
        </is>
      </c>
      <c r="H166" s="20" t="n">
        <v>359.9</v>
      </c>
      <c r="I166" s="20" t="n">
        <v>224.9</v>
      </c>
      <c r="J166" s="21" t="inlineStr">
        <is>
          <t>SIM</t>
        </is>
      </c>
      <c r="K166" s="20" t="n">
        <v>224.9</v>
      </c>
      <c r="L166" s="35">
        <f>IF(K166&lt;&gt;"",K166,I166)</f>
        <v/>
      </c>
      <c r="M166" s="81" t="n">
        <v>4</v>
      </c>
      <c r="N166" s="82" t="n">
        <v>32.79</v>
      </c>
      <c r="O166" s="80">
        <f>ROUND(M166*N166,2)</f>
        <v/>
      </c>
      <c r="P166" s="80">
        <f>IF($O166="","",L166-O166-(L166*IF(L166&lt;=79.99,20%,14%)+IF(L166&lt;=79.99,4,IF(L166&lt;=99.99,16,IF(L166&lt;=199.99,20,IF(L166&lt;=499.99,26,28)))))-L166*1.3%-L166*6%-(L166-O166)*9.25%-L166*3%-L166*3%-1)</f>
        <v/>
      </c>
      <c r="Q166" s="22">
        <f>IF(AND(K166&lt;&gt;"",H166&gt;0),(H166-K166)/H166,"")</f>
        <v/>
      </c>
      <c r="R166" s="19" t="inlineStr">
        <is>
          <t>909480791819264</t>
        </is>
      </c>
      <c r="S166" s="23" t="n">
        <v>46144.38611111111</v>
      </c>
      <c r="T166" s="23" t="n">
        <v>46295.4375</v>
      </c>
      <c r="U166" s="19" t="inlineStr">
        <is>
          <t>100926</t>
        </is>
      </c>
      <c r="V166" t="inlineStr">
        <is>
          <t>212955</t>
        </is>
      </c>
      <c r="W166" t="inlineStr">
        <is>
          <t>venda casada (75 pedidos) · custo do KIT 212450 (4× 212955)</t>
        </is>
      </c>
      <c r="X166" t="n">
        <v>75</v>
      </c>
      <c r="Y166" t="inlineStr">
        <is>
          <t>ok</t>
        </is>
      </c>
    </row>
    <row r="167" ht="15" customFormat="1" customHeight="1" s="14">
      <c r="A167" s="14" t="inlineStr">
        <is>
          <t>Jacartta</t>
        </is>
      </c>
      <c r="B167" s="14" t="inlineStr">
        <is>
          <t>Tapete Higienico Espaço De Bicho Shopito Oficial 50 Unidades Envio Imediato</t>
        </is>
      </c>
      <c r="C167" s="14" t="inlineStr">
        <is>
          <t>Sem variação</t>
        </is>
      </c>
      <c r="D167" s="14" t="inlineStr">
        <is>
          <t>704</t>
        </is>
      </c>
      <c r="E167" s="14" t="inlineStr">
        <is>
          <t>22997394633</t>
        </is>
      </c>
      <c r="F167" s="14" t="inlineStr">
        <is>
          <t>0</t>
        </is>
      </c>
      <c r="G167" s="14" t="inlineStr">
        <is>
          <t>NORMAL</t>
        </is>
      </c>
      <c r="H167" s="15" t="n">
        <v>89.90000000000001</v>
      </c>
      <c r="I167" s="15" t="n">
        <v>61.9</v>
      </c>
      <c r="J167" s="16" t="inlineStr">
        <is>
          <t>SIM</t>
        </is>
      </c>
      <c r="K167" s="15" t="n">
        <v>61.9</v>
      </c>
      <c r="L167" s="35">
        <f>IF(K167&lt;&gt;"",K167,I167)</f>
        <v/>
      </c>
      <c r="M167" s="84" t="n">
        <v>1</v>
      </c>
      <c r="N167" s="85" t="n">
        <v>32.79</v>
      </c>
      <c r="O167" s="80">
        <f>ROUND(M167*N167,2)</f>
        <v/>
      </c>
      <c r="P167" s="80">
        <f>IF($O167="","",L167-O167-(L167*IF(L167&lt;=79.99,20%,14%)+IF(L167&lt;=79.99,4,IF(L167&lt;=99.99,16,IF(L167&lt;=199.99,20,IF(L167&lt;=499.99,26,28)))))-L167*1.3%-L167*6%-(L167-O167)*9.25%-L167*3%-L167*3%-1)</f>
        <v/>
      </c>
      <c r="Q167" s="17">
        <f>IF(AND(K167&lt;&gt;"",H167&gt;0),(H167-K167)/H167,"")</f>
        <v/>
      </c>
      <c r="R167" s="14" t="inlineStr">
        <is>
          <t>909480791819264</t>
        </is>
      </c>
      <c r="S167" s="18" t="n">
        <v>46144.38611111111</v>
      </c>
      <c r="T167" s="18" t="n">
        <v>46295.4375</v>
      </c>
      <c r="U167" s="14" t="inlineStr">
        <is>
          <t>100926</t>
        </is>
      </c>
      <c r="V167" t="inlineStr">
        <is>
          <t>212955</t>
        </is>
      </c>
      <c r="W167" t="inlineStr">
        <is>
          <t>venda casada (32 pedidos) · custo do KIT 213813 (1× 212955)</t>
        </is>
      </c>
      <c r="X167" t="n">
        <v>32</v>
      </c>
      <c r="Y167" t="inlineStr">
        <is>
          <t>ok</t>
        </is>
      </c>
    </row>
    <row r="168" ht="15" customFormat="1" customHeight="1" s="19">
      <c r="A168" s="14" t="inlineStr">
        <is>
          <t>Jacartta</t>
        </is>
      </c>
      <c r="B168" s="14" t="inlineStr">
        <is>
          <t>Tapete Higiênico Espaço De Bicho Para Cães 50x60cm 200 Unidades - Envio Imediato</t>
        </is>
      </c>
      <c r="C168" s="14" t="inlineStr">
        <is>
          <t>200 Unidades</t>
        </is>
      </c>
      <c r="D168" s="14" t="inlineStr">
        <is>
          <t>1624</t>
        </is>
      </c>
      <c r="E168" s="14" t="inlineStr">
        <is>
          <t>19499570822</t>
        </is>
      </c>
      <c r="F168" s="14" t="inlineStr">
        <is>
          <t>169725404359</t>
        </is>
      </c>
      <c r="G168" s="14" t="inlineStr">
        <is>
          <t>NORMAL</t>
        </is>
      </c>
      <c r="H168" s="15" t="n">
        <v>399.9</v>
      </c>
      <c r="I168" s="15" t="n">
        <v>199.9</v>
      </c>
      <c r="J168" s="16" t="inlineStr">
        <is>
          <t>SIM</t>
        </is>
      </c>
      <c r="K168" s="15" t="n">
        <v>199.9</v>
      </c>
      <c r="L168" s="35">
        <f>IF(K168&lt;&gt;"",K168,I168)</f>
        <v/>
      </c>
      <c r="M168" s="84" t="n">
        <v>4</v>
      </c>
      <c r="N168" s="85" t="n">
        <v>29.12</v>
      </c>
      <c r="O168" s="83">
        <f>ROUND(M168*N168,2)</f>
        <v/>
      </c>
      <c r="P168" s="80">
        <f>IF($O168="","",L168-O168-(L168*IF(L168&lt;=79.99,20%,14%)+IF(L168&lt;=79.99,4,IF(L168&lt;=99.99,16,IF(L168&lt;=199.99,20,IF(L168&lt;=499.99,26,28)))))-L168*1.3%-L168*6%-(L168-O168)*9.25%-L168*3%-L168*3%-1)</f>
        <v/>
      </c>
      <c r="Q168" s="17">
        <f>IF(AND(K168&lt;&gt;"",H168&gt;0),(H168-K168)/H168,"")</f>
        <v/>
      </c>
      <c r="R168" s="14" t="inlineStr">
        <is>
          <t>909481504866304</t>
        </is>
      </c>
      <c r="S168" s="18" t="n">
        <v>46144.3875</v>
      </c>
      <c r="T168" s="18" t="n">
        <v>46295.4375</v>
      </c>
      <c r="U168" s="14" t="inlineStr">
        <is>
          <t>100926</t>
        </is>
      </c>
      <c r="V168" t="inlineStr">
        <is>
          <t>213169</t>
        </is>
      </c>
      <c r="W168" t="inlineStr">
        <is>
          <t>venda casada (8 pedidos) · custo do KIT 213851 (4× 213169)</t>
        </is>
      </c>
      <c r="X168" t="n">
        <v>8</v>
      </c>
      <c r="Y168" t="inlineStr">
        <is>
          <t>ok</t>
        </is>
      </c>
    </row>
    <row r="169" ht="15" customFormat="1" customHeight="1" s="14">
      <c r="A169" s="14" t="inlineStr">
        <is>
          <t>Jacartta</t>
        </is>
      </c>
      <c r="B169" s="14" t="inlineStr">
        <is>
          <t>Tapete Higienico Espaço De Dicho P/ Cães E Gatos 60x60 Com 80 UN</t>
        </is>
      </c>
      <c r="C169" s="14" t="inlineStr">
        <is>
          <t>Sem variação</t>
        </is>
      </c>
      <c r="D169" s="14" t="inlineStr">
        <is>
          <t>0835</t>
        </is>
      </c>
      <c r="E169" s="14" t="inlineStr">
        <is>
          <t>17392293303</t>
        </is>
      </c>
      <c r="F169" s="14" t="inlineStr">
        <is>
          <t>0</t>
        </is>
      </c>
      <c r="G169" s="14" t="inlineStr">
        <is>
          <t>NORMAL</t>
        </is>
      </c>
      <c r="H169" s="15" t="n">
        <v>269.8</v>
      </c>
      <c r="I169" s="15" t="n">
        <v>84.90000000000001</v>
      </c>
      <c r="J169" s="16" t="inlineStr">
        <is>
          <t>SIM</t>
        </is>
      </c>
      <c r="K169" s="15" t="n">
        <v>84.90000000000001</v>
      </c>
      <c r="L169" s="35">
        <f>IF(K169&lt;&gt;"",K169,I169)</f>
        <v/>
      </c>
      <c r="M169" s="84" t="n">
        <v>1</v>
      </c>
      <c r="N169" s="85" t="n">
        <v>19.58</v>
      </c>
      <c r="O169" s="80">
        <f>ROUND(M169*N169,2)</f>
        <v/>
      </c>
      <c r="P169" s="80">
        <f>IF($O169="","",L169-O169-(L169*IF(L169&lt;=79.99,20%,14%)+IF(L169&lt;=79.99,4,IF(L169&lt;=99.99,16,IF(L169&lt;=199.99,20,IF(L169&lt;=499.99,26,28)))))-L169*1.3%-L169*6%-(L169-O169)*9.25%-L169*3%-L169*3%-1)</f>
        <v/>
      </c>
      <c r="Q169" s="17">
        <f>IF(AND(K169&lt;&gt;"",H169&gt;0),(H169-K169)/H169,"")</f>
        <v/>
      </c>
      <c r="R169" s="14" t="inlineStr">
        <is>
          <t>909481504866304</t>
        </is>
      </c>
      <c r="S169" s="18" t="n">
        <v>46144.3875</v>
      </c>
      <c r="T169" s="18" t="n">
        <v>46295.4375</v>
      </c>
      <c r="U169" s="14" t="inlineStr">
        <is>
          <t>100926</t>
        </is>
      </c>
      <c r="V169" t="inlineStr">
        <is>
          <t>212952</t>
        </is>
      </c>
      <c r="W169" t="inlineStr">
        <is>
          <t>venda casada (128 pedidos) · custo do KIT 213841 (1× 212952)</t>
        </is>
      </c>
      <c r="X169" t="n">
        <v>128</v>
      </c>
      <c r="Y169" t="inlineStr">
        <is>
          <t>ok</t>
        </is>
      </c>
    </row>
    <row r="170" ht="15" customFormat="1" customHeight="1" s="19">
      <c r="A170" s="14" t="inlineStr">
        <is>
          <t>Jacartta</t>
        </is>
      </c>
      <c r="B170" s="14" t="inlineStr">
        <is>
          <t>Tapete Higiênico Good Pad 80x60 com 30 unidades</t>
        </is>
      </c>
      <c r="C170" s="14" t="inlineStr">
        <is>
          <t>Sem variação</t>
        </is>
      </c>
      <c r="D170" s="14" t="inlineStr">
        <is>
          <t>0796</t>
        </is>
      </c>
      <c r="E170" s="14" t="inlineStr">
        <is>
          <t>21062844862</t>
        </is>
      </c>
      <c r="F170" s="14" t="inlineStr">
        <is>
          <t>0</t>
        </is>
      </c>
      <c r="G170" s="14" t="inlineStr">
        <is>
          <t>NORMAL</t>
        </is>
      </c>
      <c r="H170" s="15" t="n">
        <v>219.8</v>
      </c>
      <c r="I170" s="15" t="n">
        <v>61.9</v>
      </c>
      <c r="J170" s="16" t="inlineStr">
        <is>
          <t>SIM</t>
        </is>
      </c>
      <c r="K170" s="15" t="n">
        <v>61.9</v>
      </c>
      <c r="L170" s="35">
        <f>IF(K170&lt;&gt;"",K170,I170)</f>
        <v/>
      </c>
      <c r="M170" s="84" t="n">
        <v>2</v>
      </c>
      <c r="N170" s="85" t="n">
        <v>26.19</v>
      </c>
      <c r="O170" s="80">
        <f>ROUND(M170*N170,2)</f>
        <v/>
      </c>
      <c r="P170" s="80">
        <f>IF($O170="","",L170-O170-(L170*IF(L170&lt;=79.99,20%,14%)+IF(L170&lt;=79.99,4,IF(L170&lt;=99.99,16,IF(L170&lt;=199.99,20,IF(L170&lt;=499.99,26,28)))))-L170*1.3%-L170*6%-(L170-O170)*9.25%-L170*3%-L170*3%-1)</f>
        <v/>
      </c>
      <c r="Q170" s="17">
        <f>IF(AND(K170&lt;&gt;"",H170&gt;0),(H170-K170)/H170,"")</f>
        <v/>
      </c>
      <c r="R170" s="14" t="inlineStr">
        <is>
          <t>909481068642304</t>
        </is>
      </c>
      <c r="S170" s="18" t="n">
        <v>46144.38680555556</v>
      </c>
      <c r="T170" s="18" t="n">
        <v>46295.4375</v>
      </c>
      <c r="U170" s="14" t="inlineStr">
        <is>
          <t>100926</t>
        </is>
      </c>
      <c r="V170" t="inlineStr">
        <is>
          <t>212959</t>
        </is>
      </c>
      <c r="W170" t="inlineStr">
        <is>
          <t>SKU do de-para · custo do KIT 212457 (2× 212959)</t>
        </is>
      </c>
      <c r="X170" t="n">
        <v>52</v>
      </c>
      <c r="Y170" t="inlineStr">
        <is>
          <t>ok</t>
        </is>
      </c>
    </row>
    <row r="171" ht="15" customFormat="1" customHeight="1" s="14">
      <c r="A171" s="19" t="inlineStr">
        <is>
          <t>Jacartta</t>
        </is>
      </c>
      <c r="B171" s="19" t="inlineStr">
        <is>
          <t>Tapete Higiênico Good Pad com 90 Unidades 80x60</t>
        </is>
      </c>
      <c r="C171" s="19" t="inlineStr">
        <is>
          <t>Sem variação</t>
        </is>
      </c>
      <c r="D171" s="19" t="inlineStr">
        <is>
          <t>0796</t>
        </is>
      </c>
      <c r="E171" s="19" t="inlineStr">
        <is>
          <t>20370030998</t>
        </is>
      </c>
      <c r="F171" s="19" t="inlineStr">
        <is>
          <t>0</t>
        </is>
      </c>
      <c r="G171" s="19" t="inlineStr">
        <is>
          <t>NORMAL</t>
        </is>
      </c>
      <c r="H171" s="20" t="n">
        <v>599.8</v>
      </c>
      <c r="I171" s="20" t="n">
        <v>169.9</v>
      </c>
      <c r="J171" s="21" t="inlineStr">
        <is>
          <t>SIM</t>
        </is>
      </c>
      <c r="K171" s="20" t="n">
        <v>169.9</v>
      </c>
      <c r="L171" s="35">
        <f>IF(K171&lt;&gt;"",K171,I171)</f>
        <v/>
      </c>
      <c r="M171" s="81" t="n">
        <v>2</v>
      </c>
      <c r="N171" s="82" t="n">
        <v>26.19</v>
      </c>
      <c r="O171" s="80">
        <f>ROUND(M171*N171,2)</f>
        <v/>
      </c>
      <c r="P171" s="80">
        <f>IF($O171="","",L171-O171-(L171*IF(L171&lt;=79.99,20%,14%)+IF(L171&lt;=79.99,4,IF(L171&lt;=99.99,16,IF(L171&lt;=199.99,20,IF(L171&lt;=499.99,26,28)))))-L171*1.3%-L171*6%-(L171-O171)*9.25%-L171*3%-L171*3%-1)</f>
        <v/>
      </c>
      <c r="Q171" s="22">
        <f>IF(AND(K171&lt;&gt;"",H171&gt;0),(H171-K171)/H171,"")</f>
        <v/>
      </c>
      <c r="R171" s="19" t="inlineStr">
        <is>
          <t>909481504866304</t>
        </is>
      </c>
      <c r="S171" s="23" t="n">
        <v>46144.3875</v>
      </c>
      <c r="T171" s="23" t="n">
        <v>46295.4375</v>
      </c>
      <c r="U171" s="19" t="inlineStr">
        <is>
          <t>100926</t>
        </is>
      </c>
      <c r="V171" t="inlineStr">
        <is>
          <t>212959</t>
        </is>
      </c>
      <c r="W171" t="inlineStr">
        <is>
          <t>SKU do de-para · custo do KIT 212457 (2× 212959)</t>
        </is>
      </c>
      <c r="X171" t="n">
        <v>52</v>
      </c>
      <c r="Y171" t="inlineStr">
        <is>
          <t>ok</t>
        </is>
      </c>
    </row>
    <row r="172" ht="15" customFormat="1" customHeight="1" s="19">
      <c r="A172" s="14" t="inlineStr">
        <is>
          <t>Jacartta</t>
        </is>
      </c>
      <c r="B172" s="14" t="inlineStr">
        <is>
          <t>Tapete Higienico Good Pad P/ Cães E Gatos 60x60 Com 30</t>
        </is>
      </c>
      <c r="C172" s="14" t="inlineStr">
        <is>
          <t>Sem variação</t>
        </is>
      </c>
      <c r="D172" s="14" t="inlineStr">
        <is>
          <t>0770</t>
        </is>
      </c>
      <c r="E172" s="14" t="inlineStr">
        <is>
          <t>15682337118</t>
        </is>
      </c>
      <c r="F172" s="14" t="inlineStr">
        <is>
          <t>0</t>
        </is>
      </c>
      <c r="G172" s="14" t="inlineStr">
        <is>
          <t>NORMAL</t>
        </is>
      </c>
      <c r="H172" s="15" t="n">
        <v>44.9</v>
      </c>
      <c r="I172" s="15" t="n">
        <v>41.9</v>
      </c>
      <c r="J172" s="16" t="inlineStr">
        <is>
          <t>SIM</t>
        </is>
      </c>
      <c r="K172" s="15" t="n">
        <v>41.9</v>
      </c>
      <c r="L172" s="35">
        <f>IF(K172&lt;&gt;"",K172,I172)</f>
        <v/>
      </c>
      <c r="M172" s="84" t="n">
        <v>1</v>
      </c>
      <c r="N172" s="85" t="n">
        <v>18.75</v>
      </c>
      <c r="O172" s="80">
        <f>ROUND(M172*N172,2)</f>
        <v/>
      </c>
      <c r="P172" s="80">
        <f>IF($O172="","",L172-O172-(L172*IF(L172&lt;=79.99,20%,14%)+IF(L172&lt;=79.99,4,IF(L172&lt;=99.99,16,IF(L172&lt;=199.99,20,IF(L172&lt;=499.99,26,28)))))-L172*1.3%-L172*6%-(L172-O172)*9.25%-L172*3%-L172*3%-1)</f>
        <v/>
      </c>
      <c r="Q172" s="17">
        <f>IF(AND(K172&lt;&gt;"",H172&gt;0),(H172-K172)/H172,"")</f>
        <v/>
      </c>
      <c r="R172" s="14" t="inlineStr">
        <is>
          <t>909481068642304</t>
        </is>
      </c>
      <c r="S172" s="18" t="n">
        <v>46144.38680555556</v>
      </c>
      <c r="T172" s="18" t="n">
        <v>46295.4375</v>
      </c>
      <c r="U172" s="14" t="inlineStr">
        <is>
          <t>100926</t>
        </is>
      </c>
      <c r="V172" t="inlineStr">
        <is>
          <t>212960</t>
        </is>
      </c>
      <c r="W172" t="inlineStr">
        <is>
          <t>venda casada (11 pedidos) · custo do KIT 213829 (1× 212960)</t>
        </is>
      </c>
      <c r="X172" t="n">
        <v>11</v>
      </c>
      <c r="Y172" t="inlineStr">
        <is>
          <t>ok</t>
        </is>
      </c>
    </row>
    <row r="173" ht="15" customFormat="1" customHeight="1" s="14">
      <c r="A173" s="14" t="inlineStr">
        <is>
          <t>Jacartta</t>
        </is>
      </c>
      <c r="B173" s="14" t="inlineStr">
        <is>
          <t>Tapete Higienico Para Cachorro Slim 60X60 - Pacote com 80 Unidades</t>
        </is>
      </c>
      <c r="C173" s="14" t="inlineStr">
        <is>
          <t>Sem variação</t>
        </is>
      </c>
      <c r="D173" s="14" t="inlineStr">
        <is>
          <t>0837</t>
        </is>
      </c>
      <c r="E173" s="14" t="inlineStr">
        <is>
          <t>20672234069</t>
        </is>
      </c>
      <c r="F173" s="14" t="inlineStr">
        <is>
          <t>0</t>
        </is>
      </c>
      <c r="G173" s="14" t="inlineStr">
        <is>
          <t>NORMAL</t>
        </is>
      </c>
      <c r="H173" s="15" t="n">
        <v>275.8</v>
      </c>
      <c r="I173" s="15" t="n">
        <v>99.90000000000001</v>
      </c>
      <c r="J173" s="16" t="inlineStr">
        <is>
          <t>SIM</t>
        </is>
      </c>
      <c r="K173" s="15" t="n">
        <v>99.90000000000001</v>
      </c>
      <c r="L173" s="35">
        <f>IF(K173&lt;&gt;"",K173,I173)</f>
        <v/>
      </c>
      <c r="M173" s="84" t="n">
        <v>1</v>
      </c>
      <c r="N173" s="85" t="n">
        <v>19.58</v>
      </c>
      <c r="O173" s="80">
        <f>ROUND(M173*N173,2)</f>
        <v/>
      </c>
      <c r="P173" s="80">
        <f>IF($O173="","",L173-O173-(L173*IF(L173&lt;=79.99,20%,14%)+IF(L173&lt;=79.99,4,IF(L173&lt;=99.99,16,IF(L173&lt;=199.99,20,IF(L173&lt;=499.99,26,28)))))-L173*1.3%-L173*6%-(L173-O173)*9.25%-L173*3%-L173*3%-1)</f>
        <v/>
      </c>
      <c r="Q173" s="17">
        <f>IF(AND(K173&lt;&gt;"",H173&gt;0),(H173-K173)/H173,"")</f>
        <v/>
      </c>
      <c r="R173" s="14" t="inlineStr">
        <is>
          <t>909481504866304</t>
        </is>
      </c>
      <c r="S173" s="18" t="n">
        <v>46144.3875</v>
      </c>
      <c r="T173" s="18" t="n">
        <v>46295.4375</v>
      </c>
      <c r="U173" s="14" t="inlineStr">
        <is>
          <t>100926</t>
        </is>
      </c>
      <c r="V173" t="inlineStr">
        <is>
          <t>212952</t>
        </is>
      </c>
      <c r="W173" t="inlineStr">
        <is>
          <t>SKU do de-para · custo do KIT 213841 (1× 212952)</t>
        </is>
      </c>
      <c r="X173" t="n">
        <v>3336</v>
      </c>
      <c r="Y173" t="inlineStr">
        <is>
          <t>ok</t>
        </is>
      </c>
    </row>
    <row r="174" ht="15" customFormat="1" customHeight="1" s="19">
      <c r="A174" s="19" t="inlineStr">
        <is>
          <t>Jacartta</t>
        </is>
      </c>
      <c r="B174" s="19" t="inlineStr">
        <is>
          <t>Tapete Higienico Para Cachorro Slim Espaço de Bicho 60X60 - Pacote com 60 Unidades</t>
        </is>
      </c>
      <c r="C174" s="19" t="inlineStr">
        <is>
          <t>Sem variação</t>
        </is>
      </c>
      <c r="D174" s="19" t="inlineStr">
        <is>
          <t>0837</t>
        </is>
      </c>
      <c r="E174" s="19" t="inlineStr">
        <is>
          <t>21172233208</t>
        </is>
      </c>
      <c r="F174" s="19" t="inlineStr">
        <is>
          <t>0</t>
        </is>
      </c>
      <c r="G174" s="19" t="inlineStr">
        <is>
          <t>NORMAL</t>
        </is>
      </c>
      <c r="H174" s="20" t="n">
        <v>149.9</v>
      </c>
      <c r="I174" s="20" t="n">
        <v>79.98999999999999</v>
      </c>
      <c r="J174" s="21" t="inlineStr">
        <is>
          <t>SIM</t>
        </is>
      </c>
      <c r="K174" s="20" t="n">
        <v>79.98999999999999</v>
      </c>
      <c r="L174" s="35">
        <f>IF(K174&lt;&gt;"",K174,I174)</f>
        <v/>
      </c>
      <c r="M174" s="81" t="n">
        <v>2</v>
      </c>
      <c r="N174" s="82" t="n">
        <v>19.58</v>
      </c>
      <c r="O174" s="80">
        <f>ROUND(M174*N174,2)</f>
        <v/>
      </c>
      <c r="P174" s="80">
        <f>IF($O174="","",L174-O174-(L174*IF(L174&lt;=79.99,20%,14%)+IF(L174&lt;=79.99,4,IF(L174&lt;=99.99,16,IF(L174&lt;=199.99,20,IF(L174&lt;=499.99,26,28)))))-L174*1.3%-L174*6%-(L174-O174)*9.25%-L174*3%-L174*3%-1)</f>
        <v/>
      </c>
      <c r="Q174" s="22">
        <f>IF(AND(K174&lt;&gt;"",H174&gt;0),(H174-K174)/H174,"")</f>
        <v/>
      </c>
      <c r="R174" s="19" t="inlineStr">
        <is>
          <t>909481068642304</t>
        </is>
      </c>
      <c r="S174" s="23" t="n">
        <v>46144.38680555556</v>
      </c>
      <c r="T174" s="23" t="n">
        <v>46295.4375</v>
      </c>
      <c r="U174" s="19" t="inlineStr">
        <is>
          <t>100926</t>
        </is>
      </c>
      <c r="V174" t="inlineStr">
        <is>
          <t>212952</t>
        </is>
      </c>
      <c r="W174" t="inlineStr">
        <is>
          <t>venda casada (1 pedido) · custo do KIT 212446 (2× 212952)</t>
        </is>
      </c>
      <c r="X174" t="n">
        <v>1</v>
      </c>
      <c r="Y174" t="inlineStr">
        <is>
          <t>⚠ evidência fraca (1 pedido)</t>
        </is>
      </c>
    </row>
    <row r="175" ht="15" customFormat="1" customHeight="1" s="14">
      <c r="A175" s="19" t="inlineStr">
        <is>
          <t>Jacartta</t>
        </is>
      </c>
      <c r="B175" s="19" t="inlineStr">
        <is>
          <t>Tapete Higiênico Para Cães Ultra Pads 60x60cm 30 un Carvão Cães e Gatos Petlike Original</t>
        </is>
      </c>
      <c r="C175" s="19" t="inlineStr">
        <is>
          <t>Sem variação</t>
        </is>
      </c>
      <c r="D175" s="19" t="inlineStr">
        <is>
          <t>0773</t>
        </is>
      </c>
      <c r="E175" s="19" t="inlineStr">
        <is>
          <t>17963998455</t>
        </is>
      </c>
      <c r="F175" s="19" t="inlineStr">
        <is>
          <t>0</t>
        </is>
      </c>
      <c r="G175" s="19" t="inlineStr">
        <is>
          <t>NORMAL</t>
        </is>
      </c>
      <c r="H175" s="20" t="n">
        <v>139.8</v>
      </c>
      <c r="I175" s="20" t="n">
        <v>54.9</v>
      </c>
      <c r="J175" s="21" t="inlineStr">
        <is>
          <t>SIM</t>
        </is>
      </c>
      <c r="K175" s="20" t="n">
        <v>54.9</v>
      </c>
      <c r="L175" s="35">
        <f>IF(K175&lt;&gt;"",K175,I175)</f>
        <v/>
      </c>
      <c r="M175" s="81" t="n">
        <v>1</v>
      </c>
      <c r="N175" s="82" t="n">
        <v>23.4</v>
      </c>
      <c r="O175" s="80">
        <f>ROUND(M175*N175,2)</f>
        <v/>
      </c>
      <c r="P175" s="80">
        <f>IF($O175="","",L175-O175-(L175*IF(L175&lt;=79.99,20%,14%)+IF(L175&lt;=79.99,4,IF(L175&lt;=99.99,16,IF(L175&lt;=199.99,20,IF(L175&lt;=499.99,26,28)))))-L175*1.3%-L175*6%-(L175-O175)*9.25%-L175*3%-L175*3%-1)</f>
        <v/>
      </c>
      <c r="Q175" s="22">
        <f>IF(AND(K175&lt;&gt;"",H175&gt;0),(H175-K175)/H175,"")</f>
        <v/>
      </c>
      <c r="R175" s="19" t="inlineStr">
        <is>
          <t>909481068642304</t>
        </is>
      </c>
      <c r="S175" s="23" t="n">
        <v>46144.38680555556</v>
      </c>
      <c r="T175" s="23" t="n">
        <v>46295.4375</v>
      </c>
      <c r="U175" s="19" t="inlineStr">
        <is>
          <t>100926</t>
        </is>
      </c>
      <c r="V175" t="inlineStr">
        <is>
          <t>212950</t>
        </is>
      </c>
      <c r="W175" t="inlineStr">
        <is>
          <t>venda casada (1 pedido) · custo do KIT 213854 (1× 212950)</t>
        </is>
      </c>
      <c r="X175" t="n">
        <v>1</v>
      </c>
      <c r="Y175" t="inlineStr">
        <is>
          <t>⚠ evidência fraca (1 pedido)</t>
        </is>
      </c>
    </row>
    <row r="176" ht="15" customFormat="1" customHeight="1" s="19">
      <c r="A176" s="14" t="inlineStr">
        <is>
          <t>Jacartta</t>
        </is>
      </c>
      <c r="B176" s="14" t="inlineStr">
        <is>
          <t>Tapete Higienico Pet Good Pads 80x60 com com 30 Unidades Para Cachorro</t>
        </is>
      </c>
      <c r="C176" s="14" t="inlineStr">
        <is>
          <t>Sem variação</t>
        </is>
      </c>
      <c r="D176" s="14" t="inlineStr">
        <is>
          <t>0796</t>
        </is>
      </c>
      <c r="E176" s="14" t="inlineStr">
        <is>
          <t>16289856301</t>
        </is>
      </c>
      <c r="F176" s="14" t="inlineStr">
        <is>
          <t>0</t>
        </is>
      </c>
      <c r="G176" s="14" t="inlineStr">
        <is>
          <t>NORMAL</t>
        </is>
      </c>
      <c r="H176" s="15" t="n">
        <v>199.9</v>
      </c>
      <c r="I176" s="15" t="n">
        <v>61.9</v>
      </c>
      <c r="J176" s="16" t="inlineStr">
        <is>
          <t>SIM</t>
        </is>
      </c>
      <c r="K176" s="15" t="n">
        <v>61.9</v>
      </c>
      <c r="L176" s="35">
        <f>IF(K176&lt;&gt;"",K176,I176)</f>
        <v/>
      </c>
      <c r="M176" s="84" t="n">
        <v>1</v>
      </c>
      <c r="N176" s="85" t="n">
        <v>26.19</v>
      </c>
      <c r="O176" s="80">
        <f>ROUND(M176*N176,2)</f>
        <v/>
      </c>
      <c r="P176" s="80">
        <f>IF($O176="","",L176-O176-(L176*IF(L176&lt;=79.99,20%,14%)+IF(L176&lt;=79.99,4,IF(L176&lt;=99.99,16,IF(L176&lt;=199.99,20,IF(L176&lt;=499.99,26,28)))))-L176*1.3%-L176*6%-(L176-O176)*9.25%-L176*3%-L176*3%-1)</f>
        <v/>
      </c>
      <c r="Q176" s="17">
        <f>IF(AND(K176&lt;&gt;"",H176&gt;0),(H176-K176)/H176,"")</f>
        <v/>
      </c>
      <c r="R176" s="14" t="inlineStr">
        <is>
          <t>909481068642304</t>
        </is>
      </c>
      <c r="S176" s="18" t="n">
        <v>46144.38680555556</v>
      </c>
      <c r="T176" s="18" t="n">
        <v>46295.4375</v>
      </c>
      <c r="U176" s="14" t="inlineStr">
        <is>
          <t>100926</t>
        </is>
      </c>
      <c r="V176" t="inlineStr">
        <is>
          <t>212959</t>
        </is>
      </c>
      <c r="W176" t="inlineStr">
        <is>
          <t>venda casada (1 pedido) · custo do KIT 213822 (1× 212959)</t>
        </is>
      </c>
      <c r="X176" t="n">
        <v>1</v>
      </c>
      <c r="Y176" t="inlineStr">
        <is>
          <t>⚠ evidência fraca (1 pedido)</t>
        </is>
      </c>
    </row>
    <row r="177" ht="15" customFormat="1" customHeight="1" s="14">
      <c r="A177" s="14" t="inlineStr">
        <is>
          <t>Jacartta</t>
        </is>
      </c>
      <c r="B177" s="14" t="inlineStr">
        <is>
          <t>Tapete Higienico Pet Good Pads 80x60 com com 60 Unidades</t>
        </is>
      </c>
      <c r="C177" s="14" t="inlineStr">
        <is>
          <t>Sem variação</t>
        </is>
      </c>
      <c r="D177" s="14" t="inlineStr">
        <is>
          <t>0796</t>
        </is>
      </c>
      <c r="E177" s="14" t="inlineStr">
        <is>
          <t>23001997484</t>
        </is>
      </c>
      <c r="F177" s="14" t="inlineStr">
        <is>
          <t>0</t>
        </is>
      </c>
      <c r="G177" s="14" t="inlineStr">
        <is>
          <t>NORMAL</t>
        </is>
      </c>
      <c r="H177" s="15" t="n">
        <v>199.9</v>
      </c>
      <c r="I177" s="15" t="n">
        <v>114.9</v>
      </c>
      <c r="J177" s="16" t="inlineStr">
        <is>
          <t>SIM</t>
        </is>
      </c>
      <c r="K177" s="15" t="n">
        <v>114.9</v>
      </c>
      <c r="L177" s="35">
        <f>IF(K177&lt;&gt;"",K177,I177)</f>
        <v/>
      </c>
      <c r="M177" s="84" t="n">
        <v>2</v>
      </c>
      <c r="N177" s="85" t="n">
        <v>26.19</v>
      </c>
      <c r="O177" s="80">
        <f>ROUND(M177*N177,2)</f>
        <v/>
      </c>
      <c r="P177" s="80">
        <f>IF($O177="","",L177-O177-(L177*IF(L177&lt;=79.99,20%,14%)+IF(L177&lt;=79.99,4,IF(L177&lt;=99.99,16,IF(L177&lt;=199.99,20,IF(L177&lt;=499.99,26,28)))))-L177*1.3%-L177*6%-(L177-O177)*9.25%-L177*3%-L177*3%-1)</f>
        <v/>
      </c>
      <c r="Q177" s="17">
        <f>IF(AND(K177&lt;&gt;"",H177&gt;0),(H177-K177)/H177,"")</f>
        <v/>
      </c>
      <c r="R177" s="14" t="inlineStr">
        <is>
          <t>909481068642304</t>
        </is>
      </c>
      <c r="S177" s="18" t="n">
        <v>46144.38680555556</v>
      </c>
      <c r="T177" s="18" t="n">
        <v>46295.4375</v>
      </c>
      <c r="U177" s="14" t="inlineStr">
        <is>
          <t>100926</t>
        </is>
      </c>
      <c r="V177" t="inlineStr">
        <is>
          <t>212959</t>
        </is>
      </c>
      <c r="W177" t="inlineStr">
        <is>
          <t>venda casada (33 pedidos) · custo do KIT 212457 (2× 212959)</t>
        </is>
      </c>
      <c r="X177" t="n">
        <v>33</v>
      </c>
      <c r="Y177" t="inlineStr">
        <is>
          <t>ok</t>
        </is>
      </c>
    </row>
    <row r="178" ht="15" customFormat="1" customHeight="1" s="19">
      <c r="A178" s="19" t="inlineStr">
        <is>
          <t>Jacartta</t>
        </is>
      </c>
      <c r="B178" s="19" t="inlineStr">
        <is>
          <t>Tapete Higiênico Pet P/ Cães Ultra Espaço De Bicho Lavanda 80x60 90unid</t>
        </is>
      </c>
      <c r="C178" s="19" t="inlineStr">
        <is>
          <t>Sem variação</t>
        </is>
      </c>
      <c r="D178" s="19" t="inlineStr">
        <is>
          <t>ESPACO-LAVANDA-90</t>
        </is>
      </c>
      <c r="E178" s="19" t="inlineStr">
        <is>
          <t>21597474934</t>
        </is>
      </c>
      <c r="F178" s="19" t="inlineStr">
        <is>
          <t>0</t>
        </is>
      </c>
      <c r="G178" s="19" t="inlineStr">
        <is>
          <t>NORMAL</t>
        </is>
      </c>
      <c r="H178" s="20" t="n">
        <v>399.8</v>
      </c>
      <c r="I178" s="20" t="n">
        <v>179.9</v>
      </c>
      <c r="J178" s="21" t="inlineStr">
        <is>
          <t>SIM</t>
        </is>
      </c>
      <c r="K178" s="20" t="n">
        <v>179.9</v>
      </c>
      <c r="L178" s="35">
        <f>IF(K178&lt;&gt;"",K178,I178)</f>
        <v/>
      </c>
      <c r="M178" s="30" t="n"/>
      <c r="N178" s="30" t="n"/>
      <c r="O178" s="29" t="n"/>
      <c r="P178" s="80">
        <f>IF($O178="","",L178-O178-(L178*IF(L178&lt;=79.99,20%,14%)+IF(L178&lt;=79.99,4,IF(L178&lt;=99.99,16,IF(L178&lt;=199.99,20,IF(L178&lt;=499.99,26,28)))))-L178*1.3%-L178*6%-(L178-O178)*9.25%-L178*3%-L178*3%-1)</f>
        <v/>
      </c>
      <c r="Q178" s="22">
        <f>IF(AND(K178&lt;&gt;"",H178&gt;0),(H178-K178)/H178,"")</f>
        <v/>
      </c>
      <c r="R178" s="19" t="inlineStr">
        <is>
          <t>909481068642304</t>
        </is>
      </c>
      <c r="S178" s="23" t="n">
        <v>46144.38680555556</v>
      </c>
      <c r="T178" s="23" t="n">
        <v>46295.4375</v>
      </c>
      <c r="U178" s="19" t="inlineStr">
        <is>
          <t>100926</t>
        </is>
      </c>
      <c r="W178" t="inlineStr">
        <is>
          <t>sem correspondência</t>
        </is>
      </c>
      <c r="Y178" t="inlineStr"/>
    </row>
    <row r="179" ht="15" customFormat="1" customHeight="1" s="14">
      <c r="A179" s="14" t="inlineStr">
        <is>
          <t>Jacartta</t>
        </is>
      </c>
      <c r="B179" s="14" t="inlineStr">
        <is>
          <t>Kit Potes de Vidro 640ml/340ml Hermético Marmita Fit com Tampa 4 Travas</t>
        </is>
      </c>
      <c r="C179" s="14" t="inlineStr">
        <is>
          <t>5 UNIDADES,370ML</t>
        </is>
      </c>
      <c r="D179" s="14" t="inlineStr">
        <is>
          <t>KIT5-370ML-SORTIDO</t>
        </is>
      </c>
      <c r="E179" s="14" t="inlineStr">
        <is>
          <t>22299038596</t>
        </is>
      </c>
      <c r="F179" s="14" t="inlineStr">
        <is>
          <t>159549291895</t>
        </is>
      </c>
      <c r="G179" s="14" t="inlineStr">
        <is>
          <t>NORMAL</t>
        </is>
      </c>
      <c r="H179" s="15" t="n">
        <v>199.9</v>
      </c>
      <c r="I179" s="15" t="n">
        <v>44.88</v>
      </c>
      <c r="J179" s="16" t="inlineStr">
        <is>
          <t>SIM</t>
        </is>
      </c>
      <c r="K179" s="15" t="n">
        <v>44.88</v>
      </c>
      <c r="L179" s="35">
        <f>IF(K179&lt;&gt;"",K179,I179)</f>
        <v/>
      </c>
      <c r="M179" s="33" t="n">
        <v>5</v>
      </c>
      <c r="N179" s="28" t="n">
        <v>4.45</v>
      </c>
      <c r="O179" s="29">
        <f>N179*M179</f>
        <v/>
      </c>
      <c r="P179" s="80">
        <f>IF($O179="","",L179-O179-(L179*IF(L179&lt;=79.99,20%,14%)+IF(L179&lt;=79.99,4,IF(L179&lt;=99.99,16,IF(L179&lt;=199.99,20,IF(L179&lt;=499.99,26,28)))))-L179*1.3%-L179*6%-(L179-O179)*9.25%-L179*3%-L179*3%-1)</f>
        <v/>
      </c>
      <c r="Q179" s="17">
        <f>IF(AND(K179&lt;&gt;"",H179&gt;0),(H179-K179)/H179,"")</f>
        <v/>
      </c>
      <c r="R179" s="14" t="inlineStr">
        <is>
          <t>492047266168992</t>
        </is>
      </c>
      <c r="S179" s="18" t="n">
        <v>46248</v>
      </c>
      <c r="T179" s="18" t="n">
        <v>46249</v>
      </c>
      <c r="U179" s="14" t="inlineStr">
        <is>
          <t>101220</t>
        </is>
      </c>
      <c r="V179" t="inlineStr">
        <is>
          <t>213875</t>
        </is>
      </c>
      <c r="W179" t="inlineStr">
        <is>
          <t>venda casada (68 pedidos) · QTD/custo manuais mantidos · ATENÇÃO: Olist hoje diz 3.93</t>
        </is>
      </c>
      <c r="X179" t="n">
        <v>68</v>
      </c>
      <c r="Y179" t="inlineStr">
        <is>
          <t>ok</t>
        </is>
      </c>
    </row>
    <row r="180" ht="15" customFormat="1" customHeight="1" s="19">
      <c r="A180" s="19" t="inlineStr">
        <is>
          <t>Jacartta</t>
        </is>
      </c>
      <c r="B180" s="19" t="inlineStr">
        <is>
          <t>Kit 5/ kit 10 Potes de Vidro 640ml Hermético Marmita Fit com Tampa 4 Travas Oliver Home</t>
        </is>
      </c>
      <c r="C180" s="19" t="inlineStr">
        <is>
          <t>5 UNIDADES,370ML</t>
        </is>
      </c>
      <c r="D180" s="19" t="inlineStr">
        <is>
          <t>KIT-5POTES-370ML</t>
        </is>
      </c>
      <c r="E180" s="19" t="inlineStr">
        <is>
          <t>26695370644</t>
        </is>
      </c>
      <c r="F180" s="19" t="inlineStr">
        <is>
          <t>351245360242</t>
        </is>
      </c>
      <c r="G180" s="19" t="inlineStr">
        <is>
          <t>NORMAL</t>
        </is>
      </c>
      <c r="H180" s="20" t="n">
        <v>99.90000000000001</v>
      </c>
      <c r="I180" s="20" t="n">
        <v>44.89</v>
      </c>
      <c r="J180" s="21" t="inlineStr">
        <is>
          <t>SIM</t>
        </is>
      </c>
      <c r="K180" s="20" t="n">
        <v>44.89</v>
      </c>
      <c r="L180" s="35">
        <f>IF(K180&lt;&gt;"",K180,I180)</f>
        <v/>
      </c>
      <c r="M180" s="32" t="n">
        <v>5</v>
      </c>
      <c r="N180" s="28" t="n">
        <v>4.45</v>
      </c>
      <c r="O180" s="29">
        <f>N180*M180</f>
        <v/>
      </c>
      <c r="P180" s="80">
        <f>IF($O180="","",L180-O180-(L180*IF(L180&lt;=79.99,20%,14%)+IF(L180&lt;=79.99,4,IF(L180&lt;=99.99,16,IF(L180&lt;=199.99,20,IF(L180&lt;=499.99,26,28)))))-L180*1.3%-L180*6%-(L180-O180)*9.25%-L180*3%-L180*3%-1)</f>
        <v/>
      </c>
      <c r="Q180" s="22">
        <f>IF(AND(K180&lt;&gt;"",H180&gt;0),(H180-K180)/H180,"")</f>
        <v/>
      </c>
      <c r="R180" s="19" t="inlineStr">
        <is>
          <t>478386871025791</t>
        </is>
      </c>
      <c r="S180" s="23" t="n">
        <v>46209.64583333334</v>
      </c>
      <c r="T180" s="23" t="n">
        <v>46326.99930555555</v>
      </c>
      <c r="U180" s="19" t="inlineStr">
        <is>
          <t>101220</t>
        </is>
      </c>
      <c r="V180" t="inlineStr">
        <is>
          <t>213876</t>
        </is>
      </c>
      <c r="W180" t="inlineStr">
        <is>
          <t>SKU do de-para · QTD/custo manuais mantidos · ATENÇÃO: Olist hoje diz 3.93</t>
        </is>
      </c>
      <c r="X180" t="n">
        <v>2347</v>
      </c>
      <c r="Y180" t="inlineStr">
        <is>
          <t>ok</t>
        </is>
      </c>
    </row>
    <row r="181" ht="15" customFormat="1" customHeight="1" s="14">
      <c r="A181" s="14" t="inlineStr">
        <is>
          <t>Jacartta</t>
        </is>
      </c>
      <c r="B181" s="14" t="inlineStr">
        <is>
          <t>Tiuran 30mL - Sarnicida e Fungicida P/ Cães e Gatos</t>
        </is>
      </c>
      <c r="C181" s="14" t="inlineStr">
        <is>
          <t>Sem variação</t>
        </is>
      </c>
      <c r="D181" s="14" t="inlineStr">
        <is>
          <t>TIURAN-SOLUCAO-30ML</t>
        </is>
      </c>
      <c r="E181" s="14" t="inlineStr">
        <is>
          <t>22999119631</t>
        </is>
      </c>
      <c r="F181" s="14" t="inlineStr">
        <is>
          <t>0</t>
        </is>
      </c>
      <c r="G181" s="14" t="inlineStr">
        <is>
          <t>NORMAL</t>
        </is>
      </c>
      <c r="H181" s="15" t="n">
        <v>69.90000000000001</v>
      </c>
      <c r="I181" s="15" t="n">
        <v>20.31</v>
      </c>
      <c r="J181" s="16" t="inlineStr">
        <is>
          <t>SIM</t>
        </is>
      </c>
      <c r="K181" s="15" t="n">
        <v>20.31</v>
      </c>
      <c r="L181" s="35">
        <f>IF(K181&lt;&gt;"",K181,I181)</f>
        <v/>
      </c>
      <c r="M181" s="28" t="n"/>
      <c r="N181" s="28" t="n"/>
      <c r="O181" s="29" t="n"/>
      <c r="P181" s="80">
        <f>IF($O181="","",L181-O181-(L181*IF(L181&lt;=79.99,20%,14%)+IF(L181&lt;=79.99,4,IF(L181&lt;=99.99,16,IF(L181&lt;=199.99,20,IF(L181&lt;=499.99,26,28)))))-L181*1.3%-L181*6%-(L181-O181)*9.25%-L181*3%-L181*3%-1)</f>
        <v/>
      </c>
      <c r="Q181" s="17">
        <f>IF(AND(K181&lt;&gt;"",H181&gt;0),(H181-K181)/H181,"")</f>
        <v/>
      </c>
      <c r="R181" s="14" t="inlineStr">
        <is>
          <t>909481504866304</t>
        </is>
      </c>
      <c r="S181" s="18" t="n">
        <v>46144.3875</v>
      </c>
      <c r="T181" s="18" t="n">
        <v>46295.4375</v>
      </c>
      <c r="U181" s="14" t="inlineStr">
        <is>
          <t>100942</t>
        </is>
      </c>
      <c r="V181" t="inlineStr">
        <is>
          <t>TIURAN-SOLUCAO-30ML</t>
        </is>
      </c>
      <c r="W181" t="inlineStr">
        <is>
          <t>SKU idêntico na Olist · CUSTO ZERADO na Olist (conferido hoje)</t>
        </is>
      </c>
      <c r="Y181" t="inlineStr">
        <is>
          <t>ok</t>
        </is>
      </c>
    </row>
    <row r="182" ht="15" customFormat="1" customHeight="1" s="19">
      <c r="A182" s="19" t="inlineStr">
        <is>
          <t>Jacartta</t>
        </is>
      </c>
      <c r="B182" s="19" t="inlineStr">
        <is>
          <t>Tiuran Aerossol + Sabonete + Solução 30ml Sarnicida Fungicida Remédio para Sarna de Cachorro e Gato</t>
        </is>
      </c>
      <c r="C182" s="19" t="inlineStr">
        <is>
          <t>Kit 1</t>
        </is>
      </c>
      <c r="D182" s="19" t="inlineStr">
        <is>
          <t>KIT-TIURAN-1AEROSSOL-1SABONETE-1SOLUÇÃO-30ML</t>
        </is>
      </c>
      <c r="E182" s="19" t="inlineStr">
        <is>
          <t>21398316409</t>
        </is>
      </c>
      <c r="F182" s="19" t="inlineStr">
        <is>
          <t>219180088629</t>
        </is>
      </c>
      <c r="G182" s="19" t="inlineStr">
        <is>
          <t>NORMAL</t>
        </is>
      </c>
      <c r="H182" s="20" t="n">
        <v>150.9</v>
      </c>
      <c r="I182" s="20" t="n">
        <v>70.90000000000001</v>
      </c>
      <c r="J182" s="21" t="inlineStr">
        <is>
          <t>SIM</t>
        </is>
      </c>
      <c r="K182" s="20" t="n">
        <v>70.90000000000001</v>
      </c>
      <c r="L182" s="35">
        <f>IF(K182&lt;&gt;"",K182,I182)</f>
        <v/>
      </c>
      <c r="M182" s="30" t="n"/>
      <c r="N182" s="30" t="n"/>
      <c r="O182" s="29" t="n"/>
      <c r="P182" s="80">
        <f>IF($O182="","",L182-O182-(L182*IF(L182&lt;=79.99,20%,14%)+IF(L182&lt;=79.99,4,IF(L182&lt;=99.99,16,IF(L182&lt;=199.99,20,IF(L182&lt;=499.99,26,28)))))-L182*1.3%-L182*6%-(L182-O182)*9.25%-L182*3%-L182*3%-1)</f>
        <v/>
      </c>
      <c r="Q182" s="22">
        <f>IF(AND(K182&lt;&gt;"",H182&gt;0),(H182-K182)/H182,"")</f>
        <v/>
      </c>
      <c r="R182" s="19" t="inlineStr">
        <is>
          <t>909481504866304</t>
        </is>
      </c>
      <c r="S182" s="23" t="n">
        <v>46144.3875</v>
      </c>
      <c r="T182" s="23" t="n">
        <v>46295.4375</v>
      </c>
      <c r="U182" s="19" t="inlineStr">
        <is>
          <t>100942</t>
        </is>
      </c>
      <c r="V182" t="inlineStr">
        <is>
          <t>KIT-TIURAN-1AEROSSOL-1SABONETE-1SOLUÇÃO-30ML</t>
        </is>
      </c>
      <c r="W182" t="inlineStr">
        <is>
          <t>SKU idêntico na Olist · CUSTO ZERADO na Olist (conferido hoje)</t>
        </is>
      </c>
      <c r="Y182" t="inlineStr">
        <is>
          <t>ok</t>
        </is>
      </c>
    </row>
    <row r="183" ht="15" customFormat="1" customHeight="1" s="14">
      <c r="A183" s="19" t="inlineStr">
        <is>
          <t>Jacartta</t>
        </is>
      </c>
      <c r="B183" s="19" t="inlineStr">
        <is>
          <t>Tiuran Aerossol 125ml Contra Sarna Fungo Cães e Gatos Duprat</t>
        </is>
      </c>
      <c r="C183" s="19" t="inlineStr">
        <is>
          <t>Sem variação</t>
        </is>
      </c>
      <c r="D183" s="19" t="inlineStr">
        <is>
          <t>TIURAN-AEROSOL-125ML</t>
        </is>
      </c>
      <c r="E183" s="19" t="inlineStr">
        <is>
          <t>22894623217</t>
        </is>
      </c>
      <c r="F183" s="19" t="inlineStr">
        <is>
          <t>0</t>
        </is>
      </c>
      <c r="G183" s="19" t="inlineStr">
        <is>
          <t>NORMAL</t>
        </is>
      </c>
      <c r="H183" s="20" t="n">
        <v>99.90000000000001</v>
      </c>
      <c r="I183" s="20" t="n">
        <v>40.99</v>
      </c>
      <c r="J183" s="21" t="inlineStr">
        <is>
          <t>SIM</t>
        </is>
      </c>
      <c r="K183" s="20" t="n">
        <v>40.99</v>
      </c>
      <c r="L183" s="35">
        <f>IF(K183&lt;&gt;"",K183,I183)</f>
        <v/>
      </c>
      <c r="M183" s="30" t="n"/>
      <c r="N183" s="30" t="n"/>
      <c r="O183" s="29" t="n"/>
      <c r="P183" s="80">
        <f>IF($O183="","",L183-O183-(L183*IF(L183&lt;=79.99,20%,14%)+IF(L183&lt;=79.99,4,IF(L183&lt;=99.99,16,IF(L183&lt;=199.99,20,IF(L183&lt;=499.99,26,28)))))-L183*1.3%-L183*6%-(L183-O183)*9.25%-L183*3%-L183*3%-1)</f>
        <v/>
      </c>
      <c r="Q183" s="22">
        <f>IF(AND(K183&lt;&gt;"",H183&gt;0),(H183-K183)/H183,"")</f>
        <v/>
      </c>
      <c r="R183" s="19" t="inlineStr">
        <is>
          <t>909481504866304</t>
        </is>
      </c>
      <c r="S183" s="23" t="n">
        <v>46144.3875</v>
      </c>
      <c r="T183" s="23" t="n">
        <v>46295.4375</v>
      </c>
      <c r="U183" s="19" t="inlineStr">
        <is>
          <t>100942</t>
        </is>
      </c>
      <c r="V183" t="inlineStr">
        <is>
          <t>TIURAN-AEROSOL-125ML</t>
        </is>
      </c>
      <c r="W183" t="inlineStr">
        <is>
          <t>SKU idêntico na Olist · CUSTO ZERADO na Olist (conferido hoje)</t>
        </is>
      </c>
      <c r="Y183" t="inlineStr">
        <is>
          <t>ok</t>
        </is>
      </c>
    </row>
    <row r="184" ht="15" customFormat="1" customHeight="1" s="19">
      <c r="A184" s="14" t="inlineStr">
        <is>
          <t>Jacartta</t>
        </is>
      </c>
      <c r="B184" s="14" t="inlineStr">
        <is>
          <t>Tiuran Solucao 100ml - Duprat sarnicida e fungicida</t>
        </is>
      </c>
      <c r="C184" s="14" t="inlineStr">
        <is>
          <t>Sem variação</t>
        </is>
      </c>
      <c r="D184" s="14" t="inlineStr">
        <is>
          <t>TIURAN-SOLUCAO-100 ML</t>
        </is>
      </c>
      <c r="E184" s="14" t="inlineStr">
        <is>
          <t>22994628114</t>
        </is>
      </c>
      <c r="F184" s="14" t="inlineStr">
        <is>
          <t>0</t>
        </is>
      </c>
      <c r="G184" s="14" t="inlineStr">
        <is>
          <t>NORMAL</t>
        </is>
      </c>
      <c r="H184" s="15" t="n">
        <v>79.90000000000001</v>
      </c>
      <c r="I184" s="15" t="n">
        <v>31.08</v>
      </c>
      <c r="J184" s="16" t="inlineStr">
        <is>
          <t>SIM</t>
        </is>
      </c>
      <c r="K184" s="15" t="n">
        <v>31.08</v>
      </c>
      <c r="L184" s="35">
        <f>IF(K184&lt;&gt;"",K184,I184)</f>
        <v/>
      </c>
      <c r="M184" s="84" t="n">
        <v>1</v>
      </c>
      <c r="N184" s="85" t="n">
        <v>13.8</v>
      </c>
      <c r="O184" s="80">
        <f>ROUND(M184*N184,2)</f>
        <v/>
      </c>
      <c r="P184" s="80">
        <f>IF($O184="","",L184-O184-(L184*IF(L184&lt;=79.99,20%,14%)+IF(L184&lt;=79.99,4,IF(L184&lt;=99.99,16,IF(L184&lt;=199.99,20,IF(L184&lt;=499.99,26,28)))))-L184*1.3%-L184*6%-(L184-O184)*9.25%-L184*3%-L184*3%-1)</f>
        <v/>
      </c>
      <c r="Q184" s="17">
        <f>IF(AND(K184&lt;&gt;"",H184&gt;0),(H184-K184)/H184,"")</f>
        <v/>
      </c>
      <c r="R184" s="14" t="inlineStr">
        <is>
          <t>909481504866304</t>
        </is>
      </c>
      <c r="S184" s="18" t="n">
        <v>46144.3875</v>
      </c>
      <c r="T184" s="18" t="n">
        <v>46295.4375</v>
      </c>
      <c r="U184" s="14" t="inlineStr">
        <is>
          <t>100942</t>
        </is>
      </c>
      <c r="V184" t="inlineStr">
        <is>
          <t>212969</t>
        </is>
      </c>
      <c r="W184" t="inlineStr">
        <is>
          <t>venda casada (1 pedido)</t>
        </is>
      </c>
      <c r="X184" t="n">
        <v>1</v>
      </c>
      <c r="Y184" t="inlineStr">
        <is>
          <t>⚠ evidência fraca (1 pedido)</t>
        </is>
      </c>
    </row>
    <row r="185" ht="15" customFormat="1" customHeight="1" s="14">
      <c r="A185" s="19" t="inlineStr">
        <is>
          <t>Jacartta</t>
        </is>
      </c>
      <c r="B185" s="19" t="inlineStr">
        <is>
          <t>Triflex Solução Otológica 100 ml – Limpeza de Ouvidos para Cães e Gatos | Duprat</t>
        </is>
      </c>
      <c r="C185" s="19" t="inlineStr">
        <is>
          <t>Sem variação</t>
        </is>
      </c>
      <c r="D185" s="19" t="inlineStr">
        <is>
          <t>TRIFLEX-100 ML</t>
        </is>
      </c>
      <c r="E185" s="19" t="inlineStr">
        <is>
          <t>23599119511</t>
        </is>
      </c>
      <c r="F185" s="19" t="inlineStr">
        <is>
          <t>0</t>
        </is>
      </c>
      <c r="G185" s="19" t="inlineStr">
        <is>
          <t>NORMAL</t>
        </is>
      </c>
      <c r="H185" s="20" t="n">
        <v>89.90000000000001</v>
      </c>
      <c r="I185" s="20" t="n">
        <v>31.95</v>
      </c>
      <c r="J185" s="21" t="inlineStr">
        <is>
          <t>SIM</t>
        </is>
      </c>
      <c r="K185" s="20" t="n">
        <v>31.95</v>
      </c>
      <c r="L185" s="35">
        <f>IF(K185&lt;&gt;"",K185,I185)</f>
        <v/>
      </c>
      <c r="M185" s="81" t="n">
        <v>1</v>
      </c>
      <c r="N185" s="82" t="n">
        <v>11.8</v>
      </c>
      <c r="O185" s="80">
        <f>ROUND(M185*N185,2)</f>
        <v/>
      </c>
      <c r="P185" s="80">
        <f>IF($O185="","",L185-O185-(L185*IF(L185&lt;=79.99,20%,14%)+IF(L185&lt;=79.99,4,IF(L185&lt;=99.99,16,IF(L185&lt;=199.99,20,IF(L185&lt;=499.99,26,28)))))-L185*1.3%-L185*6%-(L185-O185)*9.25%-L185*3%-L185*3%-1)</f>
        <v/>
      </c>
      <c r="Q185" s="22">
        <f>IF(AND(K185&lt;&gt;"",H185&gt;0),(H185-K185)/H185,"")</f>
        <v/>
      </c>
      <c r="R185" s="19" t="inlineStr">
        <is>
          <t>909481504866304</t>
        </is>
      </c>
      <c r="S185" s="23" t="n">
        <v>46144.3875</v>
      </c>
      <c r="T185" s="23" t="n">
        <v>46295.4375</v>
      </c>
      <c r="U185" s="19" t="inlineStr">
        <is>
          <t>100942</t>
        </is>
      </c>
      <c r="V185" t="inlineStr">
        <is>
          <t>213415</t>
        </is>
      </c>
      <c r="W185" t="inlineStr">
        <is>
          <t>SKU do de-para</t>
        </is>
      </c>
      <c r="X185" t="n">
        <v>4</v>
      </c>
      <c r="Y185" t="inlineStr">
        <is>
          <t>ok</t>
        </is>
      </c>
    </row>
    <row r="186" ht="15" customFormat="1" customHeight="1" s="19">
      <c r="A186" s="14" t="inlineStr">
        <is>
          <t>Jacartta</t>
        </is>
      </c>
      <c r="B186" s="14" t="inlineStr">
        <is>
          <t>Kit Potes de Vidro 370ml Hermético Marmita Fit com Tampa 4 Travas</t>
        </is>
      </c>
      <c r="C186" s="14" t="inlineStr">
        <is>
          <t>5 Potes,Azul</t>
        </is>
      </c>
      <c r="D186" s="14" t="inlineStr">
        <is>
          <t>KIT5-370ML-AZUL</t>
        </is>
      </c>
      <c r="E186" s="14" t="inlineStr">
        <is>
          <t>23994504847</t>
        </is>
      </c>
      <c r="F186" s="14" t="inlineStr">
        <is>
          <t>209180481799</t>
        </is>
      </c>
      <c r="G186" s="14" t="inlineStr">
        <is>
          <t>NORMAL</t>
        </is>
      </c>
      <c r="H186" s="15" t="n">
        <v>99.90000000000001</v>
      </c>
      <c r="I186" s="15" t="n">
        <v>44.89</v>
      </c>
      <c r="J186" s="16" t="inlineStr">
        <is>
          <t>SIM</t>
        </is>
      </c>
      <c r="K186" s="15" t="n">
        <v>44.89</v>
      </c>
      <c r="L186" s="35">
        <f>IF(K186&lt;&gt;"",K186,I186)</f>
        <v/>
      </c>
      <c r="M186" s="33" t="n">
        <v>5</v>
      </c>
      <c r="N186" s="28" t="n">
        <v>4.45</v>
      </c>
      <c r="O186" s="29">
        <f>N186*M186</f>
        <v/>
      </c>
      <c r="P186" s="80">
        <f>IF($O186="","",L186-O186-(L186*IF(L186&lt;=79.99,20%,14%)+IF(L186&lt;=79.99,4,IF(L186&lt;=99.99,16,IF(L186&lt;=199.99,20,IF(L186&lt;=499.99,26,28)))))-L186*1.3%-L186*6%-(L186-O186)*9.25%-L186*3%-L186*3%-1)</f>
        <v/>
      </c>
      <c r="Q186" s="17">
        <f>IF(AND(K186&lt;&gt;"",H186&gt;0),(H186-K186)/H186,"")</f>
        <v/>
      </c>
      <c r="R186" s="14" t="inlineStr">
        <is>
          <t>478386871025791</t>
        </is>
      </c>
      <c r="S186" s="18" t="n">
        <v>46209.64583333334</v>
      </c>
      <c r="T186" s="18" t="n">
        <v>46326.99930555555</v>
      </c>
      <c r="U186" s="14" t="inlineStr">
        <is>
          <t>101220</t>
        </is>
      </c>
      <c r="V186" t="inlineStr">
        <is>
          <t>213876</t>
        </is>
      </c>
      <c r="W186" t="inlineStr">
        <is>
          <t>venda casada (269 pedidos) · QTD/custo manuais mantidos · ATENÇÃO: Olist hoje diz 3.93</t>
        </is>
      </c>
      <c r="X186" t="n">
        <v>269</v>
      </c>
      <c r="Y186" t="inlineStr">
        <is>
          <t>ok</t>
        </is>
      </c>
    </row>
    <row r="187" ht="15" customFormat="1" customHeight="1" s="14">
      <c r="A187" s="19" t="inlineStr">
        <is>
          <t>Jacartta</t>
        </is>
      </c>
      <c r="B187" s="19" t="inlineStr">
        <is>
          <t>Kit Potes de Vidro 370ml Hermético Marmita Fit com Tampa 4 Travas</t>
        </is>
      </c>
      <c r="C187" s="19" t="inlineStr">
        <is>
          <t>5 Potes,Branco</t>
        </is>
      </c>
      <c r="D187" s="19" t="inlineStr">
        <is>
          <t>KIT5-370ML-BRANCO</t>
        </is>
      </c>
      <c r="E187" s="19" t="inlineStr">
        <is>
          <t>23994504847</t>
        </is>
      </c>
      <c r="F187" s="19" t="inlineStr">
        <is>
          <t>209180481805</t>
        </is>
      </c>
      <c r="G187" s="19" t="inlineStr">
        <is>
          <t>NORMAL</t>
        </is>
      </c>
      <c r="H187" s="20" t="n">
        <v>99.90000000000001</v>
      </c>
      <c r="I187" s="20" t="n">
        <v>44.89</v>
      </c>
      <c r="J187" s="21" t="inlineStr">
        <is>
          <t>SIM</t>
        </is>
      </c>
      <c r="K187" s="20" t="n">
        <v>44.89</v>
      </c>
      <c r="L187" s="35">
        <f>IF(K187&lt;&gt;"",K187,I187)</f>
        <v/>
      </c>
      <c r="M187" s="32" t="n">
        <v>5</v>
      </c>
      <c r="N187" s="28" t="n">
        <v>4.45</v>
      </c>
      <c r="O187" s="29">
        <f>N187*M187</f>
        <v/>
      </c>
      <c r="P187" s="80">
        <f>IF($O187="","",L187-O187-(L187*IF(L187&lt;=79.99,20%,14%)+IF(L187&lt;=79.99,4,IF(L187&lt;=99.99,16,IF(L187&lt;=199.99,20,IF(L187&lt;=499.99,26,28)))))-L187*1.3%-L187*6%-(L187-O187)*9.25%-L187*3%-L187*3%-1)</f>
        <v/>
      </c>
      <c r="Q187" s="22">
        <f>IF(AND(K187&lt;&gt;"",H187&gt;0),(H187-K187)/H187,"")</f>
        <v/>
      </c>
      <c r="R187" s="19" t="inlineStr">
        <is>
          <t>478386871025791</t>
        </is>
      </c>
      <c r="S187" s="23" t="n">
        <v>46209.64583333334</v>
      </c>
      <c r="T187" s="23" t="n">
        <v>46326.99930555555</v>
      </c>
      <c r="U187" s="19" t="inlineStr">
        <is>
          <t>101220</t>
        </is>
      </c>
      <c r="V187" t="inlineStr">
        <is>
          <t>213875</t>
        </is>
      </c>
      <c r="W187" t="inlineStr">
        <is>
          <t>venda casada (944 pedidos) · QTD/custo manuais mantidos · ATENÇÃO: Olist hoje diz 3.93</t>
        </is>
      </c>
      <c r="X187" t="n">
        <v>944</v>
      </c>
      <c r="Y187" t="inlineStr">
        <is>
          <t>ok</t>
        </is>
      </c>
    </row>
    <row r="188" ht="15" customFormat="1" customHeight="1" s="19">
      <c r="A188" s="14" t="inlineStr">
        <is>
          <t>Jacartta</t>
        </is>
      </c>
      <c r="B188" s="14" t="inlineStr">
        <is>
          <t>Kit Potes de Vidro 370ml Hermético Marmita Fit com Tampa 4 Travas</t>
        </is>
      </c>
      <c r="C188" s="14" t="inlineStr">
        <is>
          <t>5 Potes,Sortido</t>
        </is>
      </c>
      <c r="D188" s="14" t="inlineStr">
        <is>
          <t>KIT5-370ML-SORTIDO</t>
        </is>
      </c>
      <c r="E188" s="14" t="inlineStr">
        <is>
          <t>23994504847</t>
        </is>
      </c>
      <c r="F188" s="14" t="inlineStr">
        <is>
          <t>209180481800</t>
        </is>
      </c>
      <c r="G188" s="14" t="inlineStr">
        <is>
          <t>NORMAL</t>
        </is>
      </c>
      <c r="H188" s="15" t="n">
        <v>99.90000000000001</v>
      </c>
      <c r="I188" s="15" t="n">
        <v>44.89</v>
      </c>
      <c r="J188" s="16" t="inlineStr">
        <is>
          <t>SIM</t>
        </is>
      </c>
      <c r="K188" s="15" t="n">
        <v>44.89</v>
      </c>
      <c r="L188" s="35">
        <f>IF(K188&lt;&gt;"",K188,I188)</f>
        <v/>
      </c>
      <c r="M188" s="33" t="n">
        <v>5</v>
      </c>
      <c r="N188" s="28" t="n">
        <v>4.45</v>
      </c>
      <c r="O188" s="29">
        <f>N188*M188</f>
        <v/>
      </c>
      <c r="P188" s="80">
        <f>IF($O188="","",L188-O188-(L188*IF(L188&lt;=79.99,20%,14%)+IF(L188&lt;=79.99,4,IF(L188&lt;=99.99,16,IF(L188&lt;=199.99,20,IF(L188&lt;=499.99,26,28)))))-L188*1.3%-L188*6%-(L188-O188)*9.25%-L188*3%-L188*3%-1)</f>
        <v/>
      </c>
      <c r="Q188" s="17">
        <f>IF(AND(K188&lt;&gt;"",H188&gt;0),(H188-K188)/H188,"")</f>
        <v/>
      </c>
      <c r="R188" s="14" t="inlineStr">
        <is>
          <t>478386871025791</t>
        </is>
      </c>
      <c r="S188" s="18" t="n">
        <v>46209.64583333334</v>
      </c>
      <c r="T188" s="18" t="n">
        <v>46326.99930555555</v>
      </c>
      <c r="U188" s="14" t="inlineStr">
        <is>
          <t>101220</t>
        </is>
      </c>
      <c r="V188" t="inlineStr">
        <is>
          <t>213875</t>
        </is>
      </c>
      <c r="W188" t="inlineStr">
        <is>
          <t>venda casada (112 pedidos) · QTD/custo manuais mantidos · ATENÇÃO: Olist hoje diz 3.93</t>
        </is>
      </c>
      <c r="X188" t="n">
        <v>112</v>
      </c>
      <c r="Y188" t="inlineStr">
        <is>
          <t>ok</t>
        </is>
      </c>
    </row>
    <row r="189" ht="15" customFormat="1" customHeight="1" s="14">
      <c r="A189" s="19" t="inlineStr">
        <is>
          <t>Jacartta</t>
        </is>
      </c>
      <c r="B189" s="19" t="inlineStr">
        <is>
          <t>Kit Potes de Vidro 370ml Hermético Marmita Fit com Tampa 4 Travas</t>
        </is>
      </c>
      <c r="C189" s="19" t="inlineStr">
        <is>
          <t>5 Potes,Vermelho</t>
        </is>
      </c>
      <c r="D189" s="19" t="inlineStr">
        <is>
          <t>KIT5-370ML-VM</t>
        </is>
      </c>
      <c r="E189" s="19" t="inlineStr">
        <is>
          <t>23994504847</t>
        </is>
      </c>
      <c r="F189" s="19" t="inlineStr">
        <is>
          <t>331179480132</t>
        </is>
      </c>
      <c r="G189" s="19" t="inlineStr">
        <is>
          <t>NORMAL</t>
        </is>
      </c>
      <c r="H189" s="20" t="n">
        <v>99.90000000000001</v>
      </c>
      <c r="I189" s="20" t="n">
        <v>44.89</v>
      </c>
      <c r="J189" s="21" t="inlineStr">
        <is>
          <t>SIM</t>
        </is>
      </c>
      <c r="K189" s="20" t="n">
        <v>44.89</v>
      </c>
      <c r="L189" s="35">
        <f>IF(K189&lt;&gt;"",K189,I189)</f>
        <v/>
      </c>
      <c r="M189" s="32" t="n">
        <v>5</v>
      </c>
      <c r="N189" s="28" t="n">
        <v>4.45</v>
      </c>
      <c r="O189" s="29">
        <f>N189*M189</f>
        <v/>
      </c>
      <c r="P189" s="80">
        <f>IF($O189="","",L189-O189-(L189*IF(L189&lt;=79.99,20%,14%)+IF(L189&lt;=79.99,4,IF(L189&lt;=99.99,16,IF(L189&lt;=199.99,20,IF(L189&lt;=499.99,26,28)))))-L189*1.3%-L189*6%-(L189-O189)*9.25%-L189*3%-L189*3%-1)</f>
        <v/>
      </c>
      <c r="Q189" s="22">
        <f>IF(AND(K189&lt;&gt;"",H189&gt;0),(H189-K189)/H189,"")</f>
        <v/>
      </c>
      <c r="R189" s="19" t="inlineStr">
        <is>
          <t>478386871025791</t>
        </is>
      </c>
      <c r="S189" s="23" t="n">
        <v>46209.64583333334</v>
      </c>
      <c r="T189" s="23" t="n">
        <v>46326.99930555555</v>
      </c>
      <c r="U189" s="19" t="inlineStr">
        <is>
          <t>101220</t>
        </is>
      </c>
      <c r="V189" t="inlineStr">
        <is>
          <t>215789</t>
        </is>
      </c>
      <c r="W189" t="inlineStr">
        <is>
          <t>venda casada (182 pedidos) · QTD/custo manuais mantidos · ATENÇÃO: Olist hoje diz 3.86</t>
        </is>
      </c>
      <c r="X189" t="n">
        <v>182</v>
      </c>
      <c r="Y189" t="inlineStr">
        <is>
          <t>ok</t>
        </is>
      </c>
    </row>
    <row r="190" ht="15" customFormat="1" customHeight="1" s="19">
      <c r="A190" s="19" t="inlineStr">
        <is>
          <t>Jacartta</t>
        </is>
      </c>
      <c r="B190" s="19" t="inlineStr">
        <is>
          <t>Tapete Higiênico 50 Unidades Espaço De Bicho  50x60 cm Envio Imediato</t>
        </is>
      </c>
      <c r="C190" s="19" t="inlineStr">
        <is>
          <t>Sem variação</t>
        </is>
      </c>
      <c r="D190" s="19" t="inlineStr">
        <is>
          <t>50UNI-TAPETE-EPCBICHO-60X50</t>
        </is>
      </c>
      <c r="E190" s="19" t="inlineStr">
        <is>
          <t>18498022391</t>
        </is>
      </c>
      <c r="F190" s="19" t="inlineStr">
        <is>
          <t>0</t>
        </is>
      </c>
      <c r="G190" s="19" t="inlineStr">
        <is>
          <t>NORMAL</t>
        </is>
      </c>
      <c r="H190" s="20" t="n">
        <v>79.90000000000001</v>
      </c>
      <c r="I190" s="20" t="n">
        <v>43.9</v>
      </c>
      <c r="J190" s="21" t="inlineStr">
        <is>
          <t>SIM</t>
        </is>
      </c>
      <c r="K190" s="20" t="n">
        <v>43.9</v>
      </c>
      <c r="L190" s="35">
        <f>IF(K190&lt;&gt;"",K190,I190)</f>
        <v/>
      </c>
      <c r="M190" s="81" t="n">
        <v>1</v>
      </c>
      <c r="N190" s="82" t="n">
        <v>29.12</v>
      </c>
      <c r="O190" s="83">
        <f>ROUND(M190*N190,2)</f>
        <v/>
      </c>
      <c r="P190" s="80">
        <f>IF($O190="","",L190-O190-(L190*IF(L190&lt;=79.99,20%,14%)+IF(L190&lt;=79.99,4,IF(L190&lt;=99.99,16,IF(L190&lt;=199.99,20,IF(L190&lt;=499.99,26,28)))))-L190*1.3%-L190*6%-(L190-O190)*9.25%-L190*3%-L190*3%-1)</f>
        <v/>
      </c>
      <c r="Q190" s="22">
        <f>IF(AND(K190&lt;&gt;"",H190&gt;0),(H190-K190)/H190,"")</f>
        <v/>
      </c>
      <c r="R190" s="19" t="inlineStr">
        <is>
          <t>909481068642304</t>
        </is>
      </c>
      <c r="S190" s="23" t="n">
        <v>46144.38680555556</v>
      </c>
      <c r="T190" s="23" t="n">
        <v>46295.4375</v>
      </c>
      <c r="U190" s="19" t="inlineStr">
        <is>
          <t>100926</t>
        </is>
      </c>
      <c r="V190" t="inlineStr">
        <is>
          <t>213169</t>
        </is>
      </c>
      <c r="W190" t="inlineStr">
        <is>
          <t>venda casada (469 pedidos) · custo do KIT 213847 (1× 213169)</t>
        </is>
      </c>
      <c r="X190" t="n">
        <v>469</v>
      </c>
      <c r="Y190" t="inlineStr">
        <is>
          <t>ok</t>
        </is>
      </c>
    </row>
    <row r="191" ht="15" customFormat="1" customHeight="1" s="14">
      <c r="A191" s="19" t="inlineStr">
        <is>
          <t>Espaço De Bicho</t>
        </is>
      </c>
      <c r="B191" s="19" t="inlineStr">
        <is>
          <t>Areia Para Gatos Ultra Dry 4KG Grãos Esférico Finos/Médiso/Grossos Ipetballs</t>
        </is>
      </c>
      <c r="C191" s="19" t="inlineStr">
        <is>
          <t>Grãos Finos</t>
        </is>
      </c>
      <c r="D191" s="19" t="inlineStr">
        <is>
          <t>AREIA-BENTONITA-4KG-GF</t>
        </is>
      </c>
      <c r="E191" s="19" t="inlineStr">
        <is>
          <t>58256322714</t>
        </is>
      </c>
      <c r="F191" s="19" t="inlineStr">
        <is>
          <t>229438963512</t>
        </is>
      </c>
      <c r="G191" s="19" t="inlineStr">
        <is>
          <t>NORMAL</t>
        </is>
      </c>
      <c r="H191" s="20" t="n">
        <v>99.90000000000001</v>
      </c>
      <c r="I191" s="20" t="n">
        <v>34.9</v>
      </c>
      <c r="J191" s="21" t="inlineStr">
        <is>
          <t>SIM</t>
        </is>
      </c>
      <c r="K191" s="20" t="n">
        <v>34.9</v>
      </c>
      <c r="L191" s="35">
        <f>IF(K191&lt;&gt;"",K191,I191)</f>
        <v/>
      </c>
      <c r="M191" s="32" t="n">
        <v>1</v>
      </c>
      <c r="N191" s="30" t="n">
        <v>15.42</v>
      </c>
      <c r="O191" s="31">
        <f>N191*M191</f>
        <v/>
      </c>
      <c r="P191" s="80">
        <f>IF($O191="","",L191-O191-(L191*IF(L191&lt;=79.99,20%,14%)+IF(L191&lt;=79.99,4,IF(L191&lt;=99.99,16,IF(L191&lt;=199.99,20,IF(L191&lt;=499.99,26,28)))))-L191*1.3%-L191*6%-(L191-O191)*9.25%-L191*3%-L191*3%-1)</f>
        <v/>
      </c>
      <c r="Q191" s="22">
        <f>IF(AND(K191&lt;&gt;"",H191&gt;0),(H191-K191)/H191,"")</f>
        <v/>
      </c>
      <c r="R191" s="19" t="inlineStr">
        <is>
          <t>909477973245952</t>
        </is>
      </c>
      <c r="S191" s="23" t="n">
        <v>46144.38263888889</v>
      </c>
      <c r="T191" s="23" t="n">
        <v>46295.4375</v>
      </c>
      <c r="U191" s="19" t="inlineStr">
        <is>
          <t>100923</t>
        </is>
      </c>
      <c r="V191" t="inlineStr">
        <is>
          <t>215304</t>
        </is>
      </c>
      <c r="W191" t="inlineStr">
        <is>
          <t>venda casada (1 pedido) · QTD/custo manuais mantidos</t>
        </is>
      </c>
      <c r="X191" t="n">
        <v>1</v>
      </c>
      <c r="Y191" t="inlineStr">
        <is>
          <t>⚠ evidência fraca (1 pedido)</t>
        </is>
      </c>
    </row>
    <row r="192" ht="15" customFormat="1" customHeight="1" s="19">
      <c r="A192" s="14" t="inlineStr">
        <is>
          <t>Espaço De Bicho</t>
        </is>
      </c>
      <c r="B192" s="14" t="inlineStr">
        <is>
          <t>Areia Para Gatos Ultra Dry 4KG Grãos Esférico Finos/Médiso/Grossos Ipetballs</t>
        </is>
      </c>
      <c r="C192" s="14" t="inlineStr">
        <is>
          <t>Grãos Grossos</t>
        </is>
      </c>
      <c r="D192" s="14" t="inlineStr">
        <is>
          <t>AREIA-BENTONITA-4KG-GG</t>
        </is>
      </c>
      <c r="E192" s="14" t="inlineStr">
        <is>
          <t>58256322714</t>
        </is>
      </c>
      <c r="F192" s="14" t="inlineStr">
        <is>
          <t>229438963514</t>
        </is>
      </c>
      <c r="G192" s="14" t="inlineStr">
        <is>
          <t>NORMAL</t>
        </is>
      </c>
      <c r="H192" s="15" t="n">
        <v>99.90000000000001</v>
      </c>
      <c r="I192" s="15" t="n">
        <v>34.9</v>
      </c>
      <c r="J192" s="16" t="inlineStr">
        <is>
          <t>SIM</t>
        </is>
      </c>
      <c r="K192" s="15" t="n">
        <v>34.9</v>
      </c>
      <c r="L192" s="35">
        <f>IF(K192&lt;&gt;"",K192,I192)</f>
        <v/>
      </c>
      <c r="M192" s="32" t="n">
        <v>1</v>
      </c>
      <c r="N192" s="30" t="n">
        <v>15.42</v>
      </c>
      <c r="O192" s="31">
        <f>N192*M192</f>
        <v/>
      </c>
      <c r="P192" s="80">
        <f>IF($O192="","",L192-O192-(L192*IF(L192&lt;=79.99,20%,14%)+IF(L192&lt;=79.99,4,IF(L192&lt;=99.99,16,IF(L192&lt;=199.99,20,IF(L192&lt;=499.99,26,28)))))-L192*1.3%-L192*6%-(L192-O192)*9.25%-L192*3%-L192*3%-1)</f>
        <v/>
      </c>
      <c r="Q192" s="17">
        <f>IF(AND(K192&lt;&gt;"",H192&gt;0),(H192-K192)/H192,"")</f>
        <v/>
      </c>
      <c r="R192" s="14" t="inlineStr">
        <is>
          <t>909477973245952</t>
        </is>
      </c>
      <c r="S192" s="18" t="n">
        <v>46144.38263888889</v>
      </c>
      <c r="T192" s="18" t="n">
        <v>46295.4375</v>
      </c>
      <c r="U192" s="14" t="inlineStr">
        <is>
          <t>100923</t>
        </is>
      </c>
      <c r="V192" t="inlineStr">
        <is>
          <t>215304</t>
        </is>
      </c>
      <c r="W192" t="inlineStr">
        <is>
          <t>herdado do anúncio · QTD/custo manuais mantidos</t>
        </is>
      </c>
      <c r="Y192" t="inlineStr">
        <is>
          <t>ok</t>
        </is>
      </c>
    </row>
    <row r="193" ht="15" customFormat="1" customHeight="1" s="14">
      <c r="A193" s="19" t="inlineStr">
        <is>
          <t>Espaço De Bicho</t>
        </is>
      </c>
      <c r="B193" s="19" t="inlineStr">
        <is>
          <t>Areia Para Gatos Ultra Dry 4KG Grãos Esférico Finos/Médiso/Grossos Ipetballs</t>
        </is>
      </c>
      <c r="C193" s="19" t="inlineStr">
        <is>
          <t>Grãos Médios</t>
        </is>
      </c>
      <c r="D193" s="19" t="inlineStr">
        <is>
          <t>AREIA-BENTONITA-4KG-GM</t>
        </is>
      </c>
      <c r="E193" s="19" t="inlineStr">
        <is>
          <t>58256322714</t>
        </is>
      </c>
      <c r="F193" s="19" t="inlineStr">
        <is>
          <t>229438963513</t>
        </is>
      </c>
      <c r="G193" s="19" t="inlineStr">
        <is>
          <t>NORMAL</t>
        </is>
      </c>
      <c r="H193" s="20" t="n">
        <v>99.90000000000001</v>
      </c>
      <c r="I193" s="20" t="n">
        <v>34.9</v>
      </c>
      <c r="J193" s="21" t="inlineStr">
        <is>
          <t>SIM</t>
        </is>
      </c>
      <c r="K193" s="20" t="n">
        <v>34.9</v>
      </c>
      <c r="L193" s="35">
        <f>IF(K193&lt;&gt;"",K193,I193)</f>
        <v/>
      </c>
      <c r="M193" s="32" t="n">
        <v>1</v>
      </c>
      <c r="N193" s="30" t="n">
        <v>15.42</v>
      </c>
      <c r="O193" s="31">
        <f>N193*M193</f>
        <v/>
      </c>
      <c r="P193" s="80">
        <f>IF($O193="","",L193-O193-(L193*IF(L193&lt;=79.99,20%,14%)+IF(L193&lt;=79.99,4,IF(L193&lt;=99.99,16,IF(L193&lt;=199.99,20,IF(L193&lt;=499.99,26,28)))))-L193*1.3%-L193*6%-(L193-O193)*9.25%-L193*3%-L193*3%-1)</f>
        <v/>
      </c>
      <c r="Q193" s="22">
        <f>IF(AND(K193&lt;&gt;"",H193&gt;0),(H193-K193)/H193,"")</f>
        <v/>
      </c>
      <c r="R193" s="19" t="inlineStr">
        <is>
          <t>909477973245952</t>
        </is>
      </c>
      <c r="S193" s="23" t="n">
        <v>46144.38263888889</v>
      </c>
      <c r="T193" s="23" t="n">
        <v>46295.4375</v>
      </c>
      <c r="U193" s="19" t="inlineStr">
        <is>
          <t>100923</t>
        </is>
      </c>
      <c r="V193" t="inlineStr">
        <is>
          <t>215304</t>
        </is>
      </c>
      <c r="W193" t="inlineStr">
        <is>
          <t>herdado do anúncio · QTD/custo manuais mantidos</t>
        </is>
      </c>
      <c r="Y193" t="inlineStr">
        <is>
          <t>ok</t>
        </is>
      </c>
    </row>
    <row r="194" ht="15" customFormat="1" customHeight="1" s="19">
      <c r="A194" s="19" t="inlineStr">
        <is>
          <t>Espaço De Bicho</t>
        </is>
      </c>
      <c r="B194" s="19" t="inlineStr">
        <is>
          <t>Kit Tapete Higiênico Fralda Cachorro Pet Good Pad 60x60 60un</t>
        </is>
      </c>
      <c r="C194" s="19" t="inlineStr">
        <is>
          <t>Sem variação</t>
        </is>
      </c>
      <c r="D194" s="19" t="inlineStr">
        <is>
          <t>0770_1</t>
        </is>
      </c>
      <c r="E194" s="19" t="inlineStr">
        <is>
          <t>18539079446</t>
        </is>
      </c>
      <c r="F194" s="19" t="inlineStr">
        <is>
          <t>0</t>
        </is>
      </c>
      <c r="G194" s="19" t="inlineStr">
        <is>
          <t>NORMAL</t>
        </is>
      </c>
      <c r="H194" s="20" t="n">
        <v>199.9</v>
      </c>
      <c r="I194" s="20" t="n">
        <v>69.90000000000001</v>
      </c>
      <c r="J194" s="21" t="inlineStr">
        <is>
          <t>SIM</t>
        </is>
      </c>
      <c r="K194" s="20" t="n">
        <v>69.90000000000001</v>
      </c>
      <c r="L194" s="35">
        <f>IF(K194&lt;&gt;"",K194,I194)</f>
        <v/>
      </c>
      <c r="M194" s="81" t="n">
        <v>2</v>
      </c>
      <c r="N194" s="82" t="n">
        <v>18.75</v>
      </c>
      <c r="O194" s="83">
        <f>ROUND(M194*N194,2)</f>
        <v/>
      </c>
      <c r="P194" s="80">
        <f>IF($O194="","",L194-O194-(L194*IF(L194&lt;=79.99,20%,14%)+IF(L194&lt;=79.99,4,IF(L194&lt;=99.99,16,IF(L194&lt;=199.99,20,IF(L194&lt;=499.99,26,28)))))-L194*1.3%-L194*6%-(L194-O194)*9.25%-L194*3%-L194*3%-1)</f>
        <v/>
      </c>
      <c r="Q194" s="22">
        <f>IF(AND(K194&lt;&gt;"",H194&gt;0),(H194-K194)/H194,"")</f>
        <v/>
      </c>
      <c r="R194" s="19" t="inlineStr">
        <is>
          <t>909477973245952</t>
        </is>
      </c>
      <c r="S194" s="23" t="n">
        <v>46144.38263888889</v>
      </c>
      <c r="T194" s="23" t="n">
        <v>46295.4375</v>
      </c>
      <c r="U194" s="19" t="inlineStr">
        <is>
          <t>100926</t>
        </is>
      </c>
      <c r="V194" t="inlineStr">
        <is>
          <t>212960</t>
        </is>
      </c>
      <c r="W194" t="inlineStr">
        <is>
          <t>venda casada (134 pedidos) · custo do KIT 213831 (2× 212960)</t>
        </is>
      </c>
      <c r="X194" t="n">
        <v>134</v>
      </c>
      <c r="Y194" t="inlineStr">
        <is>
          <t>ok</t>
        </is>
      </c>
    </row>
    <row r="195" ht="15" customFormat="1" customHeight="1" s="14">
      <c r="A195" s="14" t="inlineStr">
        <is>
          <t>Espaço De Bicho</t>
        </is>
      </c>
      <c r="B195" s="14" t="inlineStr">
        <is>
          <t>Tapete Higienico  - Espaço de Bicho P/ Cães E Gatos 60x60 Com 30 uni</t>
        </is>
      </c>
      <c r="C195" s="14" t="inlineStr">
        <is>
          <t>Sem variação</t>
        </is>
      </c>
      <c r="D195" s="14" t="inlineStr">
        <is>
          <t>0837</t>
        </is>
      </c>
      <c r="E195" s="14" t="inlineStr">
        <is>
          <t>21572563432</t>
        </is>
      </c>
      <c r="F195" s="14" t="inlineStr">
        <is>
          <t>0</t>
        </is>
      </c>
      <c r="G195" s="14" t="inlineStr">
        <is>
          <t>NORMAL</t>
        </is>
      </c>
      <c r="H195" s="15" t="n">
        <v>52.9</v>
      </c>
      <c r="I195" s="15" t="n">
        <v>36.9</v>
      </c>
      <c r="J195" s="16" t="inlineStr">
        <is>
          <t>SIM</t>
        </is>
      </c>
      <c r="K195" s="15" t="n">
        <v>36.9</v>
      </c>
      <c r="L195" s="35">
        <f>IF(K195&lt;&gt;"",K195,I195)</f>
        <v/>
      </c>
      <c r="M195" s="84" t="n">
        <v>1</v>
      </c>
      <c r="N195" s="85" t="n">
        <v>19.58</v>
      </c>
      <c r="O195" s="80">
        <f>ROUND(M195*N195,2)</f>
        <v/>
      </c>
      <c r="P195" s="80">
        <f>IF($O195="","",L195-O195-(L195*IF(L195&lt;=79.99,20%,14%)+IF(L195&lt;=79.99,4,IF(L195&lt;=99.99,16,IF(L195&lt;=199.99,20,IF(L195&lt;=499.99,26,28)))))-L195*1.3%-L195*6%-(L195-O195)*9.25%-L195*3%-L195*3%-1)</f>
        <v/>
      </c>
      <c r="Q195" s="17">
        <f>IF(AND(K195&lt;&gt;"",H195&gt;0),(H195-K195)/H195,"")</f>
        <v/>
      </c>
      <c r="R195" s="14" t="inlineStr">
        <is>
          <t>909475783836672</t>
        </is>
      </c>
      <c r="S195" s="18" t="n">
        <v>46144.37916666667</v>
      </c>
      <c r="T195" s="18" t="n">
        <v>46295.4375</v>
      </c>
      <c r="U195" s="14" t="inlineStr">
        <is>
          <t>100926</t>
        </is>
      </c>
      <c r="V195" t="inlineStr">
        <is>
          <t>212952</t>
        </is>
      </c>
      <c r="W195" t="inlineStr">
        <is>
          <t>venda casada (2220 pedidos) · custo do KIT 213841 (1× 212952)</t>
        </is>
      </c>
      <c r="X195" t="n">
        <v>2220</v>
      </c>
      <c r="Y195" t="inlineStr">
        <is>
          <t>ok</t>
        </is>
      </c>
    </row>
    <row r="196" ht="15" customFormat="1" customHeight="1" s="19">
      <c r="A196" s="19" t="inlineStr">
        <is>
          <t>Espaço De Bicho</t>
        </is>
      </c>
      <c r="B196" s="19" t="inlineStr">
        <is>
          <t>Tapete Higiênico Espaço De Bicho 50 Unidades 50x60 cm Envio Imediato</t>
        </is>
      </c>
      <c r="C196" s="19" t="inlineStr">
        <is>
          <t>Sem variação</t>
        </is>
      </c>
      <c r="D196" s="19" t="inlineStr">
        <is>
          <t>1621</t>
        </is>
      </c>
      <c r="E196" s="19" t="inlineStr">
        <is>
          <t>22698073313</t>
        </is>
      </c>
      <c r="F196" s="19" t="inlineStr">
        <is>
          <t>0</t>
        </is>
      </c>
      <c r="G196" s="19" t="inlineStr">
        <is>
          <t>NORMAL</t>
        </is>
      </c>
      <c r="H196" s="20" t="n">
        <v>79.90000000000001</v>
      </c>
      <c r="I196" s="20" t="n">
        <v>49.9</v>
      </c>
      <c r="J196" s="21" t="inlineStr">
        <is>
          <t>SIM</t>
        </is>
      </c>
      <c r="K196" s="20" t="n">
        <v>49.9</v>
      </c>
      <c r="L196" s="35">
        <f>IF(K196&lt;&gt;"",K196,I196)</f>
        <v/>
      </c>
      <c r="M196" s="81" t="n">
        <v>1</v>
      </c>
      <c r="N196" s="82" t="n">
        <v>29.12</v>
      </c>
      <c r="O196" s="83">
        <f>ROUND(M196*N196,2)</f>
        <v/>
      </c>
      <c r="P196" s="80">
        <f>IF($O196="","",L196-O196-(L196*IF(L196&lt;=79.99,20%,14%)+IF(L196&lt;=79.99,4,IF(L196&lt;=99.99,16,IF(L196&lt;=199.99,20,IF(L196&lt;=499.99,26,28)))))-L196*1.3%-L196*6%-(L196-O196)*9.25%-L196*3%-L196*3%-1)</f>
        <v/>
      </c>
      <c r="Q196" s="22">
        <f>IF(AND(K196&lt;&gt;"",H196&gt;0),(H196-K196)/H196,"")</f>
        <v/>
      </c>
      <c r="R196" s="19" t="inlineStr">
        <is>
          <t>909475783836672</t>
        </is>
      </c>
      <c r="S196" s="23" t="n">
        <v>46144.37916666667</v>
      </c>
      <c r="T196" s="23" t="n">
        <v>46295.4375</v>
      </c>
      <c r="U196" s="19" t="inlineStr">
        <is>
          <t>100926</t>
        </is>
      </c>
      <c r="V196" t="inlineStr">
        <is>
          <t>213169</t>
        </is>
      </c>
      <c r="W196" t="inlineStr">
        <is>
          <t>venda casada (2450 pedidos) · custo do KIT 213847 (1× 213169)</t>
        </is>
      </c>
      <c r="X196" t="n">
        <v>2450</v>
      </c>
      <c r="Y196" t="inlineStr">
        <is>
          <t>ok</t>
        </is>
      </c>
    </row>
    <row r="197" ht="15" customFormat="1" customHeight="1" s="14">
      <c r="A197" s="19" t="inlineStr">
        <is>
          <t>Espaço De Bicho</t>
        </is>
      </c>
      <c r="B197" s="19" t="inlineStr">
        <is>
          <t>Kit 100 Tapetes Higiênicos Espaço De Bicho Para Cães 50x60cm Envio Imediato</t>
        </is>
      </c>
      <c r="C197" s="19" t="inlineStr">
        <is>
          <t>Sem variação</t>
        </is>
      </c>
      <c r="D197" s="19" t="inlineStr">
        <is>
          <t>1622</t>
        </is>
      </c>
      <c r="E197" s="19" t="inlineStr">
        <is>
          <t>22293586223</t>
        </is>
      </c>
      <c r="F197" s="19" t="inlineStr">
        <is>
          <t>0</t>
        </is>
      </c>
      <c r="G197" s="19" t="inlineStr">
        <is>
          <t>NORMAL</t>
        </is>
      </c>
      <c r="H197" s="20" t="n">
        <v>150.9</v>
      </c>
      <c r="I197" s="20" t="n">
        <v>99.90000000000001</v>
      </c>
      <c r="J197" s="21" t="inlineStr">
        <is>
          <t>SIM</t>
        </is>
      </c>
      <c r="K197" s="20" t="n">
        <v>99.90000000000001</v>
      </c>
      <c r="L197" s="35">
        <f>IF(K197&lt;&gt;"",K197,I197)</f>
        <v/>
      </c>
      <c r="M197" s="81" t="n">
        <v>2</v>
      </c>
      <c r="N197" s="82" t="n">
        <v>29.12</v>
      </c>
      <c r="O197" s="83">
        <f>ROUND(M197*N197,2)</f>
        <v/>
      </c>
      <c r="P197" s="80">
        <f>IF($O197="","",L197-O197-(L197*IF(L197&lt;=79.99,20%,14%)+IF(L197&lt;=79.99,4,IF(L197&lt;=99.99,16,IF(L197&lt;=199.99,20,IF(L197&lt;=499.99,26,28)))))-L197*1.3%-L197*6%-(L197-O197)*9.25%-L197*3%-L197*3%-1)</f>
        <v/>
      </c>
      <c r="Q197" s="22">
        <f>IF(AND(K197&lt;&gt;"",H197&gt;0),(H197-K197)/H197,"")</f>
        <v/>
      </c>
      <c r="R197" s="19" t="inlineStr">
        <is>
          <t>909475783836672</t>
        </is>
      </c>
      <c r="S197" s="23" t="n">
        <v>46144.37916666667</v>
      </c>
      <c r="T197" s="23" t="n">
        <v>46295.4375</v>
      </c>
      <c r="U197" s="19" t="inlineStr">
        <is>
          <t>100926</t>
        </is>
      </c>
      <c r="V197" t="inlineStr">
        <is>
          <t>213169</t>
        </is>
      </c>
      <c r="W197" t="inlineStr">
        <is>
          <t>venda casada (2174 pedidos) · custo do KIT 213849 (2× 213169)</t>
        </is>
      </c>
      <c r="X197" t="n">
        <v>2174</v>
      </c>
      <c r="Y197" t="inlineStr">
        <is>
          <t>ok</t>
        </is>
      </c>
    </row>
    <row r="198" ht="15" customFormat="1" customHeight="1" s="19">
      <c r="A198" s="14" t="inlineStr">
        <is>
          <t>Jacartta</t>
        </is>
      </c>
      <c r="B198" s="14" t="inlineStr">
        <is>
          <t>Tapete Higiênico Espaço De Bicho 100 Unidades Para Cães 50x60cm Envio Imediato</t>
        </is>
      </c>
      <c r="C198" s="14" t="inlineStr">
        <is>
          <t>Sem variação</t>
        </is>
      </c>
      <c r="D198" s="14" t="inlineStr">
        <is>
          <t>100UNI-TAPETE-EPCBICHO-60X50</t>
        </is>
      </c>
      <c r="E198" s="14" t="inlineStr">
        <is>
          <t>21497994347</t>
        </is>
      </c>
      <c r="F198" s="14" t="inlineStr">
        <is>
          <t>0</t>
        </is>
      </c>
      <c r="G198" s="14" t="inlineStr">
        <is>
          <t>NORMAL</t>
        </is>
      </c>
      <c r="H198" s="15" t="n">
        <v>150.9</v>
      </c>
      <c r="I198" s="15" t="n">
        <v>119.9</v>
      </c>
      <c r="J198" s="16" t="inlineStr">
        <is>
          <t>SIM</t>
        </is>
      </c>
      <c r="K198" s="15" t="n">
        <v>119.9</v>
      </c>
      <c r="L198" s="35">
        <f>IF(K198&lt;&gt;"",K198,I198)</f>
        <v/>
      </c>
      <c r="M198" s="84" t="n">
        <v>2</v>
      </c>
      <c r="N198" s="85" t="n">
        <v>29.12</v>
      </c>
      <c r="O198" s="80">
        <f>ROUND(M198*N198,2)</f>
        <v/>
      </c>
      <c r="P198" s="80">
        <f>IF($O198="","",L198-O198-(L198*IF(L198&lt;=79.99,20%,14%)+IF(L198&lt;=79.99,4,IF(L198&lt;=99.99,16,IF(L198&lt;=199.99,20,IF(L198&lt;=499.99,26,28)))))-L198*1.3%-L198*6%-(L198-O198)*9.25%-L198*3%-L198*3%-1)</f>
        <v/>
      </c>
      <c r="Q198" s="17">
        <f>IF(AND(K198&lt;&gt;"",H198&gt;0),(H198-K198)/H198,"")</f>
        <v/>
      </c>
      <c r="R198" s="14" t="inlineStr">
        <is>
          <t>909481504866304</t>
        </is>
      </c>
      <c r="S198" s="18" t="n">
        <v>46144.3875</v>
      </c>
      <c r="T198" s="18" t="n">
        <v>46295.4375</v>
      </c>
      <c r="U198" s="14" t="inlineStr">
        <is>
          <t>100926</t>
        </is>
      </c>
      <c r="V198" t="inlineStr">
        <is>
          <t>213169</t>
        </is>
      </c>
      <c r="W198" t="inlineStr">
        <is>
          <t>venda casada (33 pedidos) · custo do KIT 213849 (2× 213169)</t>
        </is>
      </c>
      <c r="X198" t="n">
        <v>33</v>
      </c>
      <c r="Y198" t="inlineStr">
        <is>
          <t>ok</t>
        </is>
      </c>
    </row>
    <row r="199" ht="15" customFormat="1" customHeight="1" s="14">
      <c r="A199" s="19" t="inlineStr">
        <is>
          <t>Espaço De Bicho</t>
        </is>
      </c>
      <c r="B199" s="19" t="inlineStr">
        <is>
          <t>Areia Higiênica Biodegradável Espaço de Bicho Grãos Finos 4kg – Milho e Mandioca (100% Natural)</t>
        </is>
      </c>
      <c r="C199" s="19" t="inlineStr">
        <is>
          <t>4KG</t>
        </is>
      </c>
      <c r="D199" s="19" t="inlineStr">
        <is>
          <t>AREIA-EDB-4KG-GF</t>
        </is>
      </c>
      <c r="E199" s="19" t="inlineStr">
        <is>
          <t>23294747653</t>
        </is>
      </c>
      <c r="F199" s="19" t="inlineStr">
        <is>
          <t>189183333654</t>
        </is>
      </c>
      <c r="G199" s="19" t="inlineStr">
        <is>
          <t>NORMAL</t>
        </is>
      </c>
      <c r="H199" s="20" t="n">
        <v>99.90000000000001</v>
      </c>
      <c r="I199" s="20" t="n">
        <v>46.9</v>
      </c>
      <c r="J199" s="21" t="inlineStr">
        <is>
          <t>SIM</t>
        </is>
      </c>
      <c r="K199" s="20" t="n">
        <v>46.9</v>
      </c>
      <c r="L199" s="35">
        <f>IF(K199&lt;&gt;"",K199,I199)</f>
        <v/>
      </c>
      <c r="M199" s="32" t="n">
        <v>1</v>
      </c>
      <c r="N199" s="30" t="n">
        <v>22.36</v>
      </c>
      <c r="O199" s="31">
        <f>N199*M199</f>
        <v/>
      </c>
      <c r="P199" s="80">
        <f>IF($O199="","",L199-O199-(L199*IF(L199&lt;=79.99,20%,14%)+IF(L199&lt;=79.99,4,IF(L199&lt;=99.99,16,IF(L199&lt;=199.99,20,IF(L199&lt;=499.99,26,28)))))-L199*1.3%-L199*6%-(L199-O199)*9.25%-L199*3%-L199*3%-1)</f>
        <v/>
      </c>
      <c r="Q199" s="22">
        <f>IF(AND(K199&lt;&gt;"",H199&gt;0),(H199-K199)/H199,"")</f>
        <v/>
      </c>
      <c r="R199" s="19" t="inlineStr">
        <is>
          <t>488116129583228</t>
        </is>
      </c>
      <c r="S199" s="23" t="n">
        <v>46236.5</v>
      </c>
      <c r="T199" s="23" t="n">
        <v>46360.99930555555</v>
      </c>
      <c r="U199" s="19" t="inlineStr">
        <is>
          <t>100923</t>
        </is>
      </c>
      <c r="V199" t="inlineStr">
        <is>
          <t>215511</t>
        </is>
      </c>
      <c r="W199" t="inlineStr">
        <is>
          <t>venda casada (1033 pedidos) · QTD/custo manuais mantidos · ATENÇÃO: Olist hoje diz 28.27</t>
        </is>
      </c>
      <c r="X199" t="n">
        <v>1033</v>
      </c>
      <c r="Y199" t="inlineStr">
        <is>
          <t>ok</t>
        </is>
      </c>
    </row>
    <row r="200" ht="15" customFormat="1" customHeight="1" s="19">
      <c r="A200" s="19" t="inlineStr">
        <is>
          <t>Jacartta</t>
        </is>
      </c>
      <c r="B200" s="19" t="inlineStr">
        <is>
          <t>Areia Higiênica Biodegradável Espaço do Bicho Grãos Finos 4kg – Milho e Mandioca (100% Natural)</t>
        </is>
      </c>
      <c r="C200" s="19" t="inlineStr">
        <is>
          <t>4KG,Grãos Finos</t>
        </is>
      </c>
      <c r="D200" s="19" t="inlineStr">
        <is>
          <t>AREIA-EDB-4KG-GF</t>
        </is>
      </c>
      <c r="E200" s="19" t="inlineStr">
        <is>
          <t>58202029766</t>
        </is>
      </c>
      <c r="F200" s="19" t="inlineStr">
        <is>
          <t>219186161449</t>
        </is>
      </c>
      <c r="G200" s="19" t="inlineStr">
        <is>
          <t>NORMAL</t>
        </is>
      </c>
      <c r="H200" s="20" t="n">
        <v>79.90000000000001</v>
      </c>
      <c r="I200" s="20" t="n">
        <v>45.9</v>
      </c>
      <c r="J200" s="21" t="inlineStr">
        <is>
          <t>SIM</t>
        </is>
      </c>
      <c r="K200" s="20" t="n">
        <v>45.9</v>
      </c>
      <c r="L200" s="35">
        <f>IF(K200&lt;&gt;"",K200,I200)</f>
        <v/>
      </c>
      <c r="M200" s="32" t="n">
        <v>1</v>
      </c>
      <c r="N200" s="30" t="n">
        <v>22.36</v>
      </c>
      <c r="O200" s="31">
        <f>N200*M200</f>
        <v/>
      </c>
      <c r="P200" s="80">
        <f>IF($O200="","",L200-O200-(L200*IF(L200&lt;=79.99,20%,14%)+IF(L200&lt;=79.99,4,IF(L200&lt;=99.99,16,IF(L200&lt;=199.99,20,IF(L200&lt;=499.99,26,28)))))-L200*1.3%-L200*6%-(L200-O200)*9.25%-L200*3%-L200*3%-1)</f>
        <v/>
      </c>
      <c r="Q200" s="22">
        <f>IF(AND(K200&lt;&gt;"",H200&gt;0),(H200-K200)/H200,"")</f>
        <v/>
      </c>
      <c r="R200" s="19" t="inlineStr">
        <is>
          <t>488117194936589</t>
        </is>
      </c>
      <c r="S200" s="23" t="n">
        <v>46236.5</v>
      </c>
      <c r="T200" s="23" t="n">
        <v>46361.54166666666</v>
      </c>
      <c r="U200" s="19" t="inlineStr">
        <is>
          <t>100923</t>
        </is>
      </c>
      <c r="V200" t="inlineStr">
        <is>
          <t>215511</t>
        </is>
      </c>
      <c r="W200" t="inlineStr">
        <is>
          <t>venda casada (1595 pedidos) · QTD/custo manuais mantidos · ATENÇÃO: Olist hoje diz 28.27</t>
        </is>
      </c>
      <c r="X200" t="n">
        <v>1595</v>
      </c>
      <c r="Y200" t="inlineStr">
        <is>
          <t>ok</t>
        </is>
      </c>
    </row>
    <row r="201" ht="15" customFormat="1" customHeight="1" s="14">
      <c r="A201" s="14" t="inlineStr">
        <is>
          <t>Espaço De Bicho</t>
        </is>
      </c>
      <c r="B201" s="14" t="inlineStr">
        <is>
          <t>Tapete Higiênico Espaço De Bicho Para Cães 50x60cm 30 Unidades - Envio Imediato</t>
        </is>
      </c>
      <c r="C201" s="14" t="inlineStr">
        <is>
          <t>Sem variação</t>
        </is>
      </c>
      <c r="D201" s="14" t="inlineStr">
        <is>
          <t>1620</t>
        </is>
      </c>
      <c r="E201" s="14" t="inlineStr">
        <is>
          <t>22598073120</t>
        </is>
      </c>
      <c r="F201" s="14" t="inlineStr">
        <is>
          <t>0</t>
        </is>
      </c>
      <c r="G201" s="14" t="inlineStr">
        <is>
          <t>NORMAL</t>
        </is>
      </c>
      <c r="H201" s="15" t="n">
        <v>49.9</v>
      </c>
      <c r="I201" s="15" t="n">
        <v>39.89</v>
      </c>
      <c r="J201" s="16" t="inlineStr">
        <is>
          <t>SIM</t>
        </is>
      </c>
      <c r="K201" s="15" t="n">
        <v>39.89</v>
      </c>
      <c r="L201" s="35">
        <f>IF(K201&lt;&gt;"",K201,I201)</f>
        <v/>
      </c>
      <c r="M201" s="84" t="n">
        <v>1</v>
      </c>
      <c r="N201" s="85" t="n">
        <v>15.87</v>
      </c>
      <c r="O201" s="80">
        <f>ROUND(M201*N201,2)</f>
        <v/>
      </c>
      <c r="P201" s="80">
        <f>IF($O201="","",L201-O201-(L201*IF(L201&lt;=79.99,20%,14%)+IF(L201&lt;=79.99,4,IF(L201&lt;=99.99,16,IF(L201&lt;=199.99,20,IF(L201&lt;=499.99,26,28)))))-L201*1.3%-L201*6%-(L201-O201)*9.25%-L201*3%-L201*3%-1)</f>
        <v/>
      </c>
      <c r="Q201" s="17">
        <f>IF(AND(K201&lt;&gt;"",H201&gt;0),(H201-K201)/H201,"")</f>
        <v/>
      </c>
      <c r="R201" s="14" t="inlineStr">
        <is>
          <t>909475783836672</t>
        </is>
      </c>
      <c r="S201" s="18" t="n">
        <v>46144.37916666667</v>
      </c>
      <c r="T201" s="18" t="n">
        <v>46295.4375</v>
      </c>
      <c r="U201" s="14" t="inlineStr">
        <is>
          <t>100926</t>
        </is>
      </c>
      <c r="V201" t="inlineStr">
        <is>
          <t>213168</t>
        </is>
      </c>
      <c r="W201" t="inlineStr">
        <is>
          <t>venda casada (299 pedidos) · custo do KIT 213846 (1× 213168)</t>
        </is>
      </c>
      <c r="X201" t="n">
        <v>299</v>
      </c>
      <c r="Y201" t="inlineStr">
        <is>
          <t>ok</t>
        </is>
      </c>
    </row>
    <row r="202" ht="15" customFormat="1" customHeight="1" s="19">
      <c r="A202" s="14" t="inlineStr">
        <is>
          <t>Espaço De Bicho</t>
        </is>
      </c>
      <c r="B202" s="14" t="inlineStr">
        <is>
          <t>10x SENSPERT CINOMOSE</t>
        </is>
      </c>
      <c r="C202" s="14" t="inlineStr">
        <is>
          <t>Sem variação</t>
        </is>
      </c>
      <c r="D202" s="14" t="inlineStr">
        <is>
          <t>0030</t>
        </is>
      </c>
      <c r="E202" s="14" t="inlineStr">
        <is>
          <t>56114672124</t>
        </is>
      </c>
      <c r="F202" s="14" t="inlineStr">
        <is>
          <t>0</t>
        </is>
      </c>
      <c r="G202" s="14" t="inlineStr">
        <is>
          <t>NORMAL</t>
        </is>
      </c>
      <c r="H202" s="15" t="n">
        <v>699.9</v>
      </c>
      <c r="I202" s="15" t="n">
        <v>699.9</v>
      </c>
      <c r="J202" s="16" t="inlineStr">
        <is>
          <t>NÃO</t>
        </is>
      </c>
      <c r="K202" s="15" t="n"/>
      <c r="L202" s="35">
        <f>IF(K202&lt;&gt;"",K202,I202)</f>
        <v/>
      </c>
      <c r="M202" s="84" t="n">
        <v>1</v>
      </c>
      <c r="N202" s="85" t="n">
        <v>26.5</v>
      </c>
      <c r="O202" s="80">
        <f>ROUND(M202*N202,2)</f>
        <v/>
      </c>
      <c r="P202" s="80">
        <f>IF($O202="","",L202-O202-(L202*IF(L202&lt;=79.99,20%,14%)+IF(L202&lt;=79.99,4,IF(L202&lt;=99.99,16,IF(L202&lt;=199.99,20,IF(L202&lt;=499.99,26,28)))))-L202*1.3%-L202*6%-(L202-O202)*9.25%-L202*3%-L202*3%-1)</f>
        <v/>
      </c>
      <c r="Q202" s="17">
        <f>IF(AND(K202&lt;&gt;"",H202&gt;0),(H202-K202)/H202,"")</f>
        <v/>
      </c>
      <c r="R202" s="14" t="inlineStr"/>
      <c r="S202" s="18" t="n"/>
      <c r="T202" s="18" t="n"/>
      <c r="U202" s="14" t="inlineStr">
        <is>
          <t>100942</t>
        </is>
      </c>
      <c r="V202" t="inlineStr">
        <is>
          <t>213487</t>
        </is>
      </c>
      <c r="W202" t="inlineStr">
        <is>
          <t>SKU do de-para</t>
        </is>
      </c>
      <c r="X202" t="n">
        <v>9</v>
      </c>
      <c r="Y202" t="inlineStr">
        <is>
          <t>ok</t>
        </is>
      </c>
    </row>
    <row r="203" ht="15" customFormat="1" customHeight="1" s="14">
      <c r="A203" s="19" t="inlineStr">
        <is>
          <t>Espaço De Bicho</t>
        </is>
      </c>
      <c r="B203" s="19" t="inlineStr">
        <is>
          <t>2 Alcance Anti Vespa Marimbondo Abelha Mangava 400ml Labgard</t>
        </is>
      </c>
      <c r="C203" s="19" t="inlineStr">
        <is>
          <t>Sem variação</t>
        </is>
      </c>
      <c r="D203" s="19" t="inlineStr">
        <is>
          <t>0302</t>
        </is>
      </c>
      <c r="E203" s="19" t="inlineStr">
        <is>
          <t>52464664404</t>
        </is>
      </c>
      <c r="F203" s="19" t="inlineStr">
        <is>
          <t>0</t>
        </is>
      </c>
      <c r="G203" s="19" t="inlineStr">
        <is>
          <t>NORMAL</t>
        </is>
      </c>
      <c r="H203" s="20" t="n">
        <v>163.8</v>
      </c>
      <c r="I203" s="20" t="n">
        <v>163.8</v>
      </c>
      <c r="J203" s="21" t="inlineStr">
        <is>
          <t>NÃO</t>
        </is>
      </c>
      <c r="K203" s="20" t="n"/>
      <c r="L203" s="35">
        <f>IF(K203&lt;&gt;"",K203,I203)</f>
        <v/>
      </c>
      <c r="M203" s="30" t="n"/>
      <c r="N203" s="30" t="n"/>
      <c r="O203" s="31" t="n"/>
      <c r="P203" s="80">
        <f>IF($O203="","",L203-O203-(L203*IF(L203&lt;=79.99,20%,14%)+IF(L203&lt;=79.99,4,IF(L203&lt;=99.99,16,IF(L203&lt;=199.99,20,IF(L203&lt;=499.99,26,28)))))-L203*1.3%-L203*6%-(L203-O203)*9.25%-L203*3%-L203*3%-1)</f>
        <v/>
      </c>
      <c r="Q203" s="22">
        <f>IF(AND(K203&lt;&gt;"",H203&gt;0),(H203-K203)/H203,"")</f>
        <v/>
      </c>
      <c r="R203" s="19" t="inlineStr"/>
      <c r="S203" s="23" t="n"/>
      <c r="T203" s="23" t="n"/>
      <c r="U203" s="19" t="inlineStr">
        <is>
          <t>100942</t>
        </is>
      </c>
      <c r="W203" t="inlineStr">
        <is>
          <t>sem correspondência</t>
        </is>
      </c>
      <c r="Y203" t="inlineStr"/>
    </row>
    <row r="204" ht="15" customFormat="1" customHeight="1" s="19">
      <c r="A204" s="14" t="inlineStr">
        <is>
          <t>Espaço De Bicho</t>
        </is>
      </c>
      <c r="B204" s="14" t="inlineStr">
        <is>
          <t>2x Tapete Higiênico Fralda Good Pad  30 Un</t>
        </is>
      </c>
      <c r="C204" s="14" t="inlineStr">
        <is>
          <t>Sem variação</t>
        </is>
      </c>
      <c r="D204" s="14" t="inlineStr">
        <is>
          <t>0770_2</t>
        </is>
      </c>
      <c r="E204" s="14" t="inlineStr">
        <is>
          <t>20639078912</t>
        </is>
      </c>
      <c r="F204" s="14" t="inlineStr">
        <is>
          <t>0</t>
        </is>
      </c>
      <c r="G204" s="14" t="inlineStr">
        <is>
          <t>NORMAL</t>
        </is>
      </c>
      <c r="H204" s="15" t="n">
        <v>189.9</v>
      </c>
      <c r="I204" s="15" t="n">
        <v>79.90000000000001</v>
      </c>
      <c r="J204" s="16" t="inlineStr">
        <is>
          <t>SIM</t>
        </is>
      </c>
      <c r="K204" s="15" t="n">
        <v>79.90000000000001</v>
      </c>
      <c r="L204" s="35">
        <f>IF(K204&lt;&gt;"",K204,I204)</f>
        <v/>
      </c>
      <c r="M204" s="28" t="n"/>
      <c r="N204" s="28" t="n"/>
      <c r="O204" s="29" t="n"/>
      <c r="P204" s="80">
        <f>IF($O204="","",L204-O204-(L204*IF(L204&lt;=79.99,20%,14%)+IF(L204&lt;=79.99,4,IF(L204&lt;=99.99,16,IF(L204&lt;=199.99,20,IF(L204&lt;=499.99,26,28)))))-L204*1.3%-L204*6%-(L204-O204)*9.25%-L204*3%-L204*3%-1)</f>
        <v/>
      </c>
      <c r="Q204" s="17">
        <f>IF(AND(K204&lt;&gt;"",H204&gt;0),(H204-K204)/H204,"")</f>
        <v/>
      </c>
      <c r="R204" s="14" t="inlineStr">
        <is>
          <t>909477973245952</t>
        </is>
      </c>
      <c r="S204" s="18" t="n">
        <v>46144.38263888889</v>
      </c>
      <c r="T204" s="18" t="n">
        <v>46295.4375</v>
      </c>
      <c r="U204" s="14" t="inlineStr">
        <is>
          <t>100926</t>
        </is>
      </c>
      <c r="W204" t="inlineStr">
        <is>
          <t>sem correspondência</t>
        </is>
      </c>
      <c r="Y204" t="inlineStr"/>
    </row>
    <row r="205" ht="15" customFormat="1" customHeight="1" s="14">
      <c r="A205" s="19" t="inlineStr">
        <is>
          <t>Espaço De Bicho</t>
        </is>
      </c>
      <c r="B205" s="19" t="inlineStr">
        <is>
          <t>3 Rolos Removedor De Pelos Pet de Gato e Cachorro Removedor de pelos</t>
        </is>
      </c>
      <c r="C205" s="19" t="inlineStr">
        <is>
          <t>1 UNIDADE</t>
        </is>
      </c>
      <c r="D205" s="19" t="inlineStr">
        <is>
          <t>1-ROLO-REMOVEDOR</t>
        </is>
      </c>
      <c r="E205" s="19" t="inlineStr">
        <is>
          <t>54964685255</t>
        </is>
      </c>
      <c r="F205" s="19" t="inlineStr">
        <is>
          <t>262815678258</t>
        </is>
      </c>
      <c r="G205" s="19" t="inlineStr">
        <is>
          <t>NORMAL</t>
        </is>
      </c>
      <c r="H205" s="20" t="n">
        <v>89.90000000000001</v>
      </c>
      <c r="I205" s="20" t="n">
        <v>24.9</v>
      </c>
      <c r="J205" s="21" t="inlineStr">
        <is>
          <t>SIM</t>
        </is>
      </c>
      <c r="K205" s="20" t="n">
        <v>24.9</v>
      </c>
      <c r="L205" s="35">
        <f>IF(K205&lt;&gt;"",K205,I205)</f>
        <v/>
      </c>
      <c r="M205" s="30" t="n"/>
      <c r="N205" s="30" t="n"/>
      <c r="O205" s="29" t="n"/>
      <c r="P205" s="80">
        <f>IF($O205="","",L205-O205-(L205*IF(L205&lt;=79.99,20%,14%)+IF(L205&lt;=79.99,4,IF(L205&lt;=99.99,16,IF(L205&lt;=199.99,20,IF(L205&lt;=499.99,26,28)))))-L205*1.3%-L205*6%-(L205-O205)*9.25%-L205*3%-L205*3%-1)</f>
        <v/>
      </c>
      <c r="Q205" s="22">
        <f>IF(AND(K205&lt;&gt;"",H205&gt;0),(H205-K205)/H205,"")</f>
        <v/>
      </c>
      <c r="R205" s="19" t="inlineStr">
        <is>
          <t>909477973245952</t>
        </is>
      </c>
      <c r="S205" s="23" t="n">
        <v>46144.38263888889</v>
      </c>
      <c r="T205" s="23" t="n">
        <v>46295.4375</v>
      </c>
      <c r="U205" s="19" t="inlineStr">
        <is>
          <t>100929</t>
        </is>
      </c>
      <c r="W205" t="inlineStr">
        <is>
          <t>sem correspondência</t>
        </is>
      </c>
      <c r="Y205" t="inlineStr"/>
    </row>
    <row r="206" ht="15" customFormat="1" customHeight="1" s="19">
      <c r="A206" s="19" t="inlineStr">
        <is>
          <t>Espaço De Bicho</t>
        </is>
      </c>
      <c r="B206" s="19" t="inlineStr">
        <is>
          <t>3 Rolos Removedor De Pelos Pet de Gato e Cachorro Removedor de pelos</t>
        </is>
      </c>
      <c r="C206" s="19" t="inlineStr">
        <is>
          <t>3 UNIDADES</t>
        </is>
      </c>
      <c r="D206" s="19" t="inlineStr">
        <is>
          <t>3-ROLO-REMOVEDOR</t>
        </is>
      </c>
      <c r="E206" s="19" t="inlineStr">
        <is>
          <t>54964685255</t>
        </is>
      </c>
      <c r="F206" s="19" t="inlineStr">
        <is>
          <t>262815678260</t>
        </is>
      </c>
      <c r="G206" s="19" t="inlineStr">
        <is>
          <t>NORMAL</t>
        </is>
      </c>
      <c r="H206" s="20" t="n">
        <v>89.90000000000001</v>
      </c>
      <c r="I206" s="20" t="n">
        <v>54.9</v>
      </c>
      <c r="J206" s="21" t="inlineStr">
        <is>
          <t>SIM</t>
        </is>
      </c>
      <c r="K206" s="20" t="n">
        <v>54.9</v>
      </c>
      <c r="L206" s="35">
        <f>IF(K206&lt;&gt;"",K206,I206)</f>
        <v/>
      </c>
      <c r="M206" s="30" t="n"/>
      <c r="N206" s="30" t="n"/>
      <c r="O206" s="29" t="n"/>
      <c r="P206" s="80">
        <f>IF($O206="","",L206-O206-(L206*IF(L206&lt;=79.99,20%,14%)+IF(L206&lt;=79.99,4,IF(L206&lt;=99.99,16,IF(L206&lt;=199.99,20,IF(L206&lt;=499.99,26,28)))))-L206*1.3%-L206*6%-(L206-O206)*9.25%-L206*3%-L206*3%-1)</f>
        <v/>
      </c>
      <c r="Q206" s="22">
        <f>IF(AND(K206&lt;&gt;"",H206&gt;0),(H206-K206)/H206,"")</f>
        <v/>
      </c>
      <c r="R206" s="19" t="inlineStr">
        <is>
          <t>909477973245952</t>
        </is>
      </c>
      <c r="S206" s="23" t="n">
        <v>46144.38263888889</v>
      </c>
      <c r="T206" s="23" t="n">
        <v>46295.4375</v>
      </c>
      <c r="U206" s="19" t="inlineStr">
        <is>
          <t>100929</t>
        </is>
      </c>
      <c r="W206" t="inlineStr">
        <is>
          <t>sem correspondência</t>
        </is>
      </c>
      <c r="Y206" t="inlineStr"/>
    </row>
    <row r="207" ht="15" customFormat="1" customHeight="1" s="14">
      <c r="A207" s="14" t="inlineStr">
        <is>
          <t>Espaço De Bicho</t>
        </is>
      </c>
      <c r="B207" s="14" t="inlineStr">
        <is>
          <t>3x Suplemento Articulação Cães E Gatos Super Artro - 500mg</t>
        </is>
      </c>
      <c r="C207" s="14" t="inlineStr">
        <is>
          <t>Sem variação</t>
        </is>
      </c>
      <c r="D207" s="14" t="inlineStr">
        <is>
          <t>0877</t>
        </is>
      </c>
      <c r="E207" s="14" t="inlineStr">
        <is>
          <t>19877014562</t>
        </is>
      </c>
      <c r="F207" s="14" t="inlineStr">
        <is>
          <t>0</t>
        </is>
      </c>
      <c r="G207" s="14" t="inlineStr">
        <is>
          <t>NORMAL</t>
        </is>
      </c>
      <c r="H207" s="15" t="n">
        <v>131.8</v>
      </c>
      <c r="I207" s="15" t="n">
        <v>131.8</v>
      </c>
      <c r="J207" s="16" t="inlineStr">
        <is>
          <t>NÃO</t>
        </is>
      </c>
      <c r="K207" s="15" t="n"/>
      <c r="L207" s="35">
        <f>IF(K207&lt;&gt;"",K207,I207)</f>
        <v/>
      </c>
      <c r="M207" s="28" t="n"/>
      <c r="N207" s="28" t="n"/>
      <c r="O207" s="29" t="n"/>
      <c r="P207" s="80">
        <f>IF($O207="","",L207-O207-(L207*IF(L207&lt;=79.99,20%,14%)+IF(L207&lt;=79.99,4,IF(L207&lt;=99.99,16,IF(L207&lt;=199.99,20,IF(L207&lt;=499.99,26,28)))))-L207*1.3%-L207*6%-(L207-O207)*9.25%-L207*3%-L207*3%-1)</f>
        <v/>
      </c>
      <c r="Q207" s="17">
        <f>IF(AND(K207&lt;&gt;"",H207&gt;0),(H207-K207)/H207,"")</f>
        <v/>
      </c>
      <c r="R207" s="14" t="inlineStr"/>
      <c r="S207" s="18" t="n"/>
      <c r="T207" s="18" t="n"/>
      <c r="U207" s="14" t="inlineStr">
        <is>
          <t>100944</t>
        </is>
      </c>
      <c r="W207" t="inlineStr">
        <is>
          <t>sem correspondência</t>
        </is>
      </c>
      <c r="Y207" t="inlineStr"/>
    </row>
    <row r="208" ht="15" customFormat="1" customHeight="1" s="19">
      <c r="A208" s="14" t="inlineStr">
        <is>
          <t>Espaço De Bicho</t>
        </is>
      </c>
      <c r="B208" s="14" t="inlineStr">
        <is>
          <t>Adubo Fertilizante Mineral Forth Rosa Do Deserto 3kg/400g</t>
        </is>
      </c>
      <c r="C208" s="14" t="inlineStr">
        <is>
          <t>400G</t>
        </is>
      </c>
      <c r="D208" s="14" t="inlineStr">
        <is>
          <t>ADUBO-FORTH-ROSA-400G</t>
        </is>
      </c>
      <c r="E208" s="14" t="inlineStr">
        <is>
          <t>22593696013</t>
        </is>
      </c>
      <c r="F208" s="14" t="inlineStr">
        <is>
          <t>169406379211</t>
        </is>
      </c>
      <c r="G208" s="14" t="inlineStr">
        <is>
          <t>NORMAL</t>
        </is>
      </c>
      <c r="H208" s="15" t="n">
        <v>49.9</v>
      </c>
      <c r="I208" s="15" t="n">
        <v>14.9</v>
      </c>
      <c r="J208" s="16" t="inlineStr">
        <is>
          <t>SIM</t>
        </is>
      </c>
      <c r="K208" s="15" t="n">
        <v>14.9</v>
      </c>
      <c r="L208" s="35">
        <f>IF(K208&lt;&gt;"",K208,I208)</f>
        <v/>
      </c>
      <c r="M208" s="84" t="n">
        <v>1</v>
      </c>
      <c r="N208" s="85" t="n">
        <v>8.289999999999999</v>
      </c>
      <c r="O208" s="80">
        <f>ROUND(M208*N208,2)</f>
        <v/>
      </c>
      <c r="P208" s="80">
        <f>IF($O208="","",L208-O208-(L208*IF(L208&lt;=79.99,20%,14%)+IF(L208&lt;=79.99,4,IF(L208&lt;=99.99,16,IF(L208&lt;=199.99,20,IF(L208&lt;=499.99,26,28)))))-L208*1.3%-L208*6%-(L208-O208)*9.25%-L208*3%-L208*3%-1)</f>
        <v/>
      </c>
      <c r="Q208" s="17">
        <f>IF(AND(K208&lt;&gt;"",H208&gt;0),(H208-K208)/H208,"")</f>
        <v/>
      </c>
      <c r="R208" s="14" t="inlineStr">
        <is>
          <t>909477973245952</t>
        </is>
      </c>
      <c r="S208" s="18" t="n">
        <v>46144.38263888889</v>
      </c>
      <c r="T208" s="18" t="n">
        <v>46295.4375</v>
      </c>
      <c r="U208" s="14" t="inlineStr">
        <is>
          <t>101179</t>
        </is>
      </c>
      <c r="V208" t="inlineStr">
        <is>
          <t>213559</t>
        </is>
      </c>
      <c r="W208" t="inlineStr">
        <is>
          <t>venda casada (106 pedidos)</t>
        </is>
      </c>
      <c r="X208" t="n">
        <v>106</v>
      </c>
      <c r="Y208" t="inlineStr">
        <is>
          <t>ok</t>
        </is>
      </c>
    </row>
    <row r="209" ht="15" customFormat="1" customHeight="1" s="14">
      <c r="A209" s="19" t="inlineStr">
        <is>
          <t>Espaço De Bicho</t>
        </is>
      </c>
      <c r="B209" s="19" t="inlineStr">
        <is>
          <t>Alicate cortador de unha cachorros para cães pets dog profissionais</t>
        </is>
      </c>
      <c r="C209" s="19" t="inlineStr">
        <is>
          <t>Preto/Vermelho</t>
        </is>
      </c>
      <c r="D209" s="19" t="inlineStr">
        <is>
          <t>ALICATE-PET-PT/VM</t>
        </is>
      </c>
      <c r="E209" s="19" t="inlineStr">
        <is>
          <t>58253934568</t>
        </is>
      </c>
      <c r="F209" s="19" t="inlineStr">
        <is>
          <t>238799885043</t>
        </is>
      </c>
      <c r="G209" s="19" t="inlineStr">
        <is>
          <t>NORMAL</t>
        </is>
      </c>
      <c r="H209" s="20" t="n">
        <v>59.9</v>
      </c>
      <c r="I209" s="20" t="n">
        <v>19.89</v>
      </c>
      <c r="J209" s="21" t="inlineStr">
        <is>
          <t>SIM</t>
        </is>
      </c>
      <c r="K209" s="20" t="n">
        <v>19.89</v>
      </c>
      <c r="L209" s="35">
        <f>IF(K209&lt;&gt;"",K209,I209)</f>
        <v/>
      </c>
      <c r="M209" s="81" t="n">
        <v>1</v>
      </c>
      <c r="N209" s="82" t="n">
        <v>3.28</v>
      </c>
      <c r="O209" s="80">
        <f>ROUND(M209*N209,2)</f>
        <v/>
      </c>
      <c r="P209" s="80">
        <f>IF($O209="","",L209-O209-(L209*IF(L209&lt;=79.99,20%,14%)+IF(L209&lt;=79.99,4,IF(L209&lt;=99.99,16,IF(L209&lt;=199.99,20,IF(L209&lt;=499.99,26,28)))))-L209*1.3%-L209*6%-(L209-O209)*9.25%-L209*3%-L209*3%-1)</f>
        <v/>
      </c>
      <c r="Q209" s="22">
        <f>IF(AND(K209&lt;&gt;"",H209&gt;0),(H209-K209)/H209,"")</f>
        <v/>
      </c>
      <c r="R209" s="19" t="inlineStr">
        <is>
          <t>909477973245952</t>
        </is>
      </c>
      <c r="S209" s="23" t="n">
        <v>46144.38263888889</v>
      </c>
      <c r="T209" s="23" t="n">
        <v>46295.4375</v>
      </c>
      <c r="U209" s="19" t="inlineStr">
        <is>
          <t>100931</t>
        </is>
      </c>
      <c r="V209" t="inlineStr">
        <is>
          <t>215132</t>
        </is>
      </c>
      <c r="W209" t="inlineStr">
        <is>
          <t>venda casada (11 pedidos)</t>
        </is>
      </c>
      <c r="X209" t="n">
        <v>11</v>
      </c>
      <c r="Y209" t="inlineStr">
        <is>
          <t>ok</t>
        </is>
      </c>
    </row>
    <row r="210" ht="15" customFormat="1" customHeight="1" s="19">
      <c r="A210" s="14" t="inlineStr">
        <is>
          <t>Espaço De Bicho</t>
        </is>
      </c>
      <c r="B210" s="14" t="inlineStr">
        <is>
          <t>Amino 3r Pássaros 10ml Lavizoo Suplemento Vitamínico</t>
        </is>
      </c>
      <c r="C210" s="14" t="inlineStr">
        <is>
          <t>1UNI</t>
        </is>
      </c>
      <c r="D210" s="14" t="inlineStr">
        <is>
          <t>AMINO3R-10ML</t>
        </is>
      </c>
      <c r="E210" s="14" t="inlineStr">
        <is>
          <t>18997746825</t>
        </is>
      </c>
      <c r="F210" s="14" t="inlineStr">
        <is>
          <t>189163470248</t>
        </is>
      </c>
      <c r="G210" s="14" t="inlineStr">
        <is>
          <t>NORMAL</t>
        </is>
      </c>
      <c r="H210" s="15" t="n">
        <v>69.90000000000001</v>
      </c>
      <c r="I210" s="15" t="n">
        <v>69.90000000000001</v>
      </c>
      <c r="J210" s="16" t="inlineStr">
        <is>
          <t>NÃO</t>
        </is>
      </c>
      <c r="K210" s="15" t="n"/>
      <c r="L210" s="35">
        <f>IF(K210&lt;&gt;"",K210,I210)</f>
        <v/>
      </c>
      <c r="M210" s="28" t="n"/>
      <c r="N210" s="28" t="n"/>
      <c r="O210" s="29" t="n"/>
      <c r="P210" s="80">
        <f>IF($O210="","",L210-O210-(L210*IF(L210&lt;=79.99,20%,14%)+IF(L210&lt;=79.99,4,IF(L210&lt;=99.99,16,IF(L210&lt;=199.99,20,IF(L210&lt;=499.99,26,28)))))-L210*1.3%-L210*6%-(L210-O210)*9.25%-L210*3%-L210*3%-1)</f>
        <v/>
      </c>
      <c r="Q210" s="17">
        <f>IF(AND(K210&lt;&gt;"",H210&gt;0),(H210-K210)/H210,"")</f>
        <v/>
      </c>
      <c r="R210" s="14" t="inlineStr"/>
      <c r="S210" s="18" t="n"/>
      <c r="T210" s="18" t="n"/>
      <c r="U210" s="14" t="inlineStr">
        <is>
          <t>100944</t>
        </is>
      </c>
      <c r="W210" t="inlineStr">
        <is>
          <t>sem correspondência</t>
        </is>
      </c>
      <c r="Y210" t="inlineStr"/>
    </row>
    <row r="211" ht="15" customFormat="1" customHeight="1" s="14">
      <c r="A211" s="19" t="inlineStr">
        <is>
          <t>Espaço De Bicho</t>
        </is>
      </c>
      <c r="B211" s="19" t="inlineStr">
        <is>
          <t>Amino 3r Pássaros 10ml Lavizoo Suplemento Vitamínico</t>
        </is>
      </c>
      <c r="C211" s="19" t="inlineStr">
        <is>
          <t>2UNI</t>
        </is>
      </c>
      <c r="D211" s="19" t="inlineStr">
        <is>
          <t>KIT2-AMINO3R-10ML</t>
        </is>
      </c>
      <c r="E211" s="19" t="inlineStr">
        <is>
          <t>18997746825</t>
        </is>
      </c>
      <c r="F211" s="19" t="inlineStr">
        <is>
          <t>189163470249</t>
        </is>
      </c>
      <c r="G211" s="19" t="inlineStr">
        <is>
          <t>NORMAL</t>
        </is>
      </c>
      <c r="H211" s="20" t="n">
        <v>69.90000000000001</v>
      </c>
      <c r="I211" s="20" t="n">
        <v>69.90000000000001</v>
      </c>
      <c r="J211" s="21" t="inlineStr">
        <is>
          <t>NÃO</t>
        </is>
      </c>
      <c r="K211" s="20" t="n"/>
      <c r="L211" s="35">
        <f>IF(K211&lt;&gt;"",K211,I211)</f>
        <v/>
      </c>
      <c r="M211" s="30" t="n"/>
      <c r="N211" s="30" t="n"/>
      <c r="O211" s="31" t="n"/>
      <c r="P211" s="80">
        <f>IF($O211="","",L211-O211-(L211*IF(L211&lt;=79.99,20%,14%)+IF(L211&lt;=79.99,4,IF(L211&lt;=99.99,16,IF(L211&lt;=199.99,20,IF(L211&lt;=499.99,26,28)))))-L211*1.3%-L211*6%-(L211-O211)*9.25%-L211*3%-L211*3%-1)</f>
        <v/>
      </c>
      <c r="Q211" s="22">
        <f>IF(AND(K211&lt;&gt;"",H211&gt;0),(H211-K211)/H211,"")</f>
        <v/>
      </c>
      <c r="R211" s="19" t="inlineStr"/>
      <c r="S211" s="23" t="n"/>
      <c r="T211" s="23" t="n"/>
      <c r="U211" s="19" t="inlineStr">
        <is>
          <t>100944</t>
        </is>
      </c>
      <c r="W211" t="inlineStr">
        <is>
          <t>sem correspondência</t>
        </is>
      </c>
      <c r="Y211" t="inlineStr"/>
    </row>
    <row r="212" ht="15" customFormat="1" customHeight="1" s="19">
      <c r="A212" s="14" t="inlineStr">
        <is>
          <t>Espaço De Bicho</t>
        </is>
      </c>
      <c r="B212" s="14" t="inlineStr">
        <is>
          <t>Amino 3r Pássaros 10ml Lavizoo Suplemento Vitamínico</t>
        </is>
      </c>
      <c r="C212" s="14" t="inlineStr">
        <is>
          <t>3UNI</t>
        </is>
      </c>
      <c r="D212" s="14" t="inlineStr">
        <is>
          <t>KIT3-AMINO3R-10ML</t>
        </is>
      </c>
      <c r="E212" s="14" t="inlineStr">
        <is>
          <t>18997746825</t>
        </is>
      </c>
      <c r="F212" s="14" t="inlineStr">
        <is>
          <t>189163470250</t>
        </is>
      </c>
      <c r="G212" s="14" t="inlineStr">
        <is>
          <t>NORMAL</t>
        </is>
      </c>
      <c r="H212" s="15" t="n">
        <v>69.90000000000001</v>
      </c>
      <c r="I212" s="15" t="n">
        <v>69.90000000000001</v>
      </c>
      <c r="J212" s="16" t="inlineStr">
        <is>
          <t>NÃO</t>
        </is>
      </c>
      <c r="K212" s="15" t="n"/>
      <c r="L212" s="35">
        <f>IF(K212&lt;&gt;"",K212,I212)</f>
        <v/>
      </c>
      <c r="M212" s="28" t="n"/>
      <c r="N212" s="28" t="n"/>
      <c r="O212" s="29" t="n"/>
      <c r="P212" s="80">
        <f>IF($O212="","",L212-O212-(L212*IF(L212&lt;=79.99,20%,14%)+IF(L212&lt;=79.99,4,IF(L212&lt;=99.99,16,IF(L212&lt;=199.99,20,IF(L212&lt;=499.99,26,28)))))-L212*1.3%-L212*6%-(L212-O212)*9.25%-L212*3%-L212*3%-1)</f>
        <v/>
      </c>
      <c r="Q212" s="17">
        <f>IF(AND(K212&lt;&gt;"",H212&gt;0),(H212-K212)/H212,"")</f>
        <v/>
      </c>
      <c r="R212" s="14" t="inlineStr"/>
      <c r="S212" s="18" t="n"/>
      <c r="T212" s="18" t="n"/>
      <c r="U212" s="14" t="inlineStr">
        <is>
          <t>100944</t>
        </is>
      </c>
      <c r="W212" t="inlineStr">
        <is>
          <t>sem correspondência</t>
        </is>
      </c>
      <c r="Y212" t="inlineStr"/>
    </row>
    <row r="213" ht="15" customFormat="1" customHeight="1" s="14">
      <c r="A213" s="19" t="inlineStr">
        <is>
          <t>Espaço De Bicho</t>
        </is>
      </c>
      <c r="B213" s="19" t="inlineStr">
        <is>
          <t>Anti-Inflamatório Alcort Para Cachorros Com 10 Comprimidos De 5mg</t>
        </is>
      </c>
      <c r="C213" s="19" t="inlineStr">
        <is>
          <t>20mg</t>
        </is>
      </c>
      <c r="D213" s="19" t="inlineStr">
        <is>
          <t>ALCORT-20MG-10COMP</t>
        </is>
      </c>
      <c r="E213" s="19" t="inlineStr">
        <is>
          <t>22799241855</t>
        </is>
      </c>
      <c r="F213" s="19" t="inlineStr">
        <is>
          <t>109871690919</t>
        </is>
      </c>
      <c r="G213" s="19" t="inlineStr">
        <is>
          <t>NORMAL</t>
        </is>
      </c>
      <c r="H213" s="20" t="n">
        <v>99.90000000000001</v>
      </c>
      <c r="I213" s="20" t="n">
        <v>99.90000000000001</v>
      </c>
      <c r="J213" s="21" t="inlineStr">
        <is>
          <t>NÃO</t>
        </is>
      </c>
      <c r="K213" s="20" t="n"/>
      <c r="L213" s="35">
        <f>IF(K213&lt;&gt;"",K213,I213)</f>
        <v/>
      </c>
      <c r="M213" s="30" t="n"/>
      <c r="N213" s="30" t="n"/>
      <c r="O213" s="31" t="n"/>
      <c r="P213" s="80">
        <f>IF($O213="","",L213-O213-(L213*IF(L213&lt;=79.99,20%,14%)+IF(L213&lt;=79.99,4,IF(L213&lt;=99.99,16,IF(L213&lt;=199.99,20,IF(L213&lt;=499.99,26,28)))))-L213*1.3%-L213*6%-(L213-O213)*9.25%-L213*3%-L213*3%-1)</f>
        <v/>
      </c>
      <c r="Q213" s="22">
        <f>IF(AND(K213&lt;&gt;"",H213&gt;0),(H213-K213)/H213,"")</f>
        <v/>
      </c>
      <c r="R213" s="19" t="inlineStr"/>
      <c r="S213" s="23" t="n"/>
      <c r="T213" s="23" t="n"/>
      <c r="U213" s="19" t="inlineStr">
        <is>
          <t>100942</t>
        </is>
      </c>
      <c r="V213" t="inlineStr">
        <is>
          <t>ALCORT-5MG-10COMP</t>
        </is>
      </c>
      <c r="W213" t="inlineStr">
        <is>
          <t>herdado do anúncio · CUSTO ZERADO na Olist (conferido hoje)</t>
        </is>
      </c>
      <c r="Y213" t="inlineStr">
        <is>
          <t>ok</t>
        </is>
      </c>
    </row>
    <row r="214" ht="15" customFormat="1" customHeight="1" s="19">
      <c r="A214" s="19" t="inlineStr">
        <is>
          <t>Espaço De Bicho</t>
        </is>
      </c>
      <c r="B214" s="19" t="inlineStr">
        <is>
          <t>Antiemético Duprat Emetim Oral para Cães e Gatos 60ml</t>
        </is>
      </c>
      <c r="C214" s="19" t="inlineStr">
        <is>
          <t>Sem variação</t>
        </is>
      </c>
      <c r="D214" s="19" t="inlineStr">
        <is>
          <t>EMETIM-SOLUCAOORAL-60 ML</t>
        </is>
      </c>
      <c r="E214" s="19" t="inlineStr">
        <is>
          <t>22799054860</t>
        </is>
      </c>
      <c r="F214" s="19" t="inlineStr">
        <is>
          <t>0</t>
        </is>
      </c>
      <c r="G214" s="19" t="inlineStr">
        <is>
          <t>NORMAL</t>
        </is>
      </c>
      <c r="H214" s="20" t="n">
        <v>89.90000000000001</v>
      </c>
      <c r="I214" s="20" t="n">
        <v>89.90000000000001</v>
      </c>
      <c r="J214" s="21" t="inlineStr">
        <is>
          <t>NÃO</t>
        </is>
      </c>
      <c r="K214" s="20" t="n"/>
      <c r="L214" s="35">
        <f>IF(K214&lt;&gt;"",K214,I214)</f>
        <v/>
      </c>
      <c r="M214" s="30" t="n"/>
      <c r="N214" s="30" t="n"/>
      <c r="O214" s="31" t="n"/>
      <c r="P214" s="80">
        <f>IF($O214="","",L214-O214-(L214*IF(L214&lt;=79.99,20%,14%)+IF(L214&lt;=79.99,4,IF(L214&lt;=99.99,16,IF(L214&lt;=199.99,20,IF(L214&lt;=499.99,26,28)))))-L214*1.3%-L214*6%-(L214-O214)*9.25%-L214*3%-L214*3%-1)</f>
        <v/>
      </c>
      <c r="Q214" s="22">
        <f>IF(AND(K214&lt;&gt;"",H214&gt;0),(H214-K214)/H214,"")</f>
        <v/>
      </c>
      <c r="R214" s="19" t="inlineStr"/>
      <c r="S214" s="23" t="n"/>
      <c r="T214" s="23" t="n"/>
      <c r="U214" s="19" t="inlineStr">
        <is>
          <t>100942</t>
        </is>
      </c>
      <c r="W214" t="inlineStr">
        <is>
          <t>sem correspondência</t>
        </is>
      </c>
      <c r="Y214" t="inlineStr"/>
    </row>
    <row r="215" ht="15" customFormat="1" customHeight="1" s="14">
      <c r="A215" s="14" t="inlineStr">
        <is>
          <t>Espaço De Bicho</t>
        </is>
      </c>
      <c r="B215" s="14" t="inlineStr">
        <is>
          <t>Antimicótico Duprat Dufulvin Oral para Cães e Gatos 250ml</t>
        </is>
      </c>
      <c r="C215" s="14" t="inlineStr">
        <is>
          <t>Sem variação</t>
        </is>
      </c>
      <c r="D215" s="14" t="inlineStr">
        <is>
          <t>DUFULVIN-250ML</t>
        </is>
      </c>
      <c r="E215" s="14" t="inlineStr">
        <is>
          <t>23494957433</t>
        </is>
      </c>
      <c r="F215" s="14" t="inlineStr">
        <is>
          <t>0</t>
        </is>
      </c>
      <c r="G215" s="14" t="inlineStr">
        <is>
          <t>NORMAL</t>
        </is>
      </c>
      <c r="H215" s="15" t="n">
        <v>99.90000000000001</v>
      </c>
      <c r="I215" s="15" t="n">
        <v>69.90000000000001</v>
      </c>
      <c r="J215" s="16" t="inlineStr">
        <is>
          <t>SIM</t>
        </is>
      </c>
      <c r="K215" s="15" t="n">
        <v>69.90000000000001</v>
      </c>
      <c r="L215" s="35">
        <f>IF(K215&lt;&gt;"",K215,I215)</f>
        <v/>
      </c>
      <c r="M215" s="28" t="n"/>
      <c r="N215" s="28" t="n"/>
      <c r="O215" s="29" t="n"/>
      <c r="P215" s="80">
        <f>IF($O215="","",L215-O215-(L215*IF(L215&lt;=79.99,20%,14%)+IF(L215&lt;=79.99,4,IF(L215&lt;=99.99,16,IF(L215&lt;=199.99,20,IF(L215&lt;=499.99,26,28)))))-L215*1.3%-L215*6%-(L215-O215)*9.25%-L215*3%-L215*3%-1)</f>
        <v/>
      </c>
      <c r="Q215" s="17">
        <f>IF(AND(K215&lt;&gt;"",H215&gt;0),(H215-K215)/H215,"")</f>
        <v/>
      </c>
      <c r="R215" s="14" t="inlineStr">
        <is>
          <t>909477973245952</t>
        </is>
      </c>
      <c r="S215" s="18" t="n">
        <v>46144.38263888889</v>
      </c>
      <c r="T215" s="18" t="n">
        <v>46295.4375</v>
      </c>
      <c r="U215" s="14" t="inlineStr">
        <is>
          <t>100930</t>
        </is>
      </c>
      <c r="W215" t="inlineStr">
        <is>
          <t>sem correspondência</t>
        </is>
      </c>
      <c r="Y215" t="inlineStr"/>
    </row>
    <row r="216" ht="15" customFormat="1" customHeight="1" s="19">
      <c r="A216" s="19" t="inlineStr">
        <is>
          <t>Espaço De Bicho</t>
        </is>
      </c>
      <c r="B216" s="19" t="inlineStr">
        <is>
          <t>Antimicótico Duprat Dufulvin Oral para Cães e Gatos 250ml</t>
        </is>
      </c>
      <c r="C216" s="19" t="inlineStr">
        <is>
          <t>Sem variação</t>
        </is>
      </c>
      <c r="D216" s="19" t="inlineStr">
        <is>
          <t>DUFULVIN-250ML</t>
        </is>
      </c>
      <c r="E216" s="19" t="inlineStr">
        <is>
          <t>23094532130</t>
        </is>
      </c>
      <c r="F216" s="19" t="inlineStr">
        <is>
          <t>0</t>
        </is>
      </c>
      <c r="G216" s="19" t="inlineStr">
        <is>
          <t>NORMAL</t>
        </is>
      </c>
      <c r="H216" s="20" t="n">
        <v>99.90000000000001</v>
      </c>
      <c r="I216" s="20" t="n">
        <v>99.90000000000001</v>
      </c>
      <c r="J216" s="21" t="inlineStr">
        <is>
          <t>NÃO</t>
        </is>
      </c>
      <c r="K216" s="20" t="n"/>
      <c r="L216" s="35">
        <f>IF(K216&lt;&gt;"",K216,I216)</f>
        <v/>
      </c>
      <c r="M216" s="30" t="n"/>
      <c r="N216" s="30" t="n"/>
      <c r="O216" s="31" t="n"/>
      <c r="P216" s="80">
        <f>IF($O216="","",L216-O216-(L216*IF(L216&lt;=79.99,20%,14%)+IF(L216&lt;=79.99,4,IF(L216&lt;=99.99,16,IF(L216&lt;=199.99,20,IF(L216&lt;=499.99,26,28)))))-L216*1.3%-L216*6%-(L216-O216)*9.25%-L216*3%-L216*3%-1)</f>
        <v/>
      </c>
      <c r="Q216" s="22">
        <f>IF(AND(K216&lt;&gt;"",H216&gt;0),(H216-K216)/H216,"")</f>
        <v/>
      </c>
      <c r="R216" s="19" t="inlineStr"/>
      <c r="S216" s="23" t="n"/>
      <c r="T216" s="23" t="n"/>
      <c r="U216" s="19" t="inlineStr">
        <is>
          <t>100942</t>
        </is>
      </c>
      <c r="W216" t="inlineStr">
        <is>
          <t>sem correspondência</t>
        </is>
      </c>
      <c r="Y216" t="inlineStr"/>
    </row>
    <row r="217" ht="15" customFormat="1" customHeight="1" s="14">
      <c r="A217" s="14" t="inlineStr">
        <is>
          <t>Espaço De Bicho</t>
        </is>
      </c>
      <c r="B217" s="14" t="inlineStr">
        <is>
          <t>Antiparasitário Nexgard Spectra P Para Cães de 2kg a 60kg- 1 Comprimido</t>
        </is>
      </c>
      <c r="C217" s="14" t="inlineStr">
        <is>
          <t>Nexgard Spectra 15 a 30kg</t>
        </is>
      </c>
      <c r="D217" s="14" t="inlineStr">
        <is>
          <t>NEXGARD-SPECTRA-15-30</t>
        </is>
      </c>
      <c r="E217" s="14" t="inlineStr">
        <is>
          <t>55264936699</t>
        </is>
      </c>
      <c r="F217" s="14" t="inlineStr">
        <is>
          <t>391282815702</t>
        </is>
      </c>
      <c r="G217" s="14" t="inlineStr">
        <is>
          <t>NORMAL</t>
        </is>
      </c>
      <c r="H217" s="15" t="n">
        <v>150.9</v>
      </c>
      <c r="I217" s="15" t="n">
        <v>150.9</v>
      </c>
      <c r="J217" s="16" t="inlineStr">
        <is>
          <t>NÃO</t>
        </is>
      </c>
      <c r="K217" s="15" t="n"/>
      <c r="L217" s="35">
        <f>IF(K217&lt;&gt;"",K217,I217)</f>
        <v/>
      </c>
      <c r="M217" s="28" t="n"/>
      <c r="N217" s="28" t="n"/>
      <c r="O217" s="29" t="n"/>
      <c r="P217" s="80">
        <f>IF($O217="","",L217-O217-(L217*IF(L217&lt;=79.99,20%,14%)+IF(L217&lt;=79.99,4,IF(L217&lt;=99.99,16,IF(L217&lt;=199.99,20,IF(L217&lt;=499.99,26,28)))))-L217*1.3%-L217*6%-(L217-O217)*9.25%-L217*3%-L217*3%-1)</f>
        <v/>
      </c>
      <c r="Q217" s="17">
        <f>IF(AND(K217&lt;&gt;"",H217&gt;0),(H217-K217)/H217,"")</f>
        <v/>
      </c>
      <c r="R217" s="14" t="inlineStr"/>
      <c r="S217" s="18" t="n"/>
      <c r="T217" s="18" t="n"/>
      <c r="U217" s="14" t="inlineStr">
        <is>
          <t>100942</t>
        </is>
      </c>
      <c r="W217" t="inlineStr">
        <is>
          <t>sem correspondência</t>
        </is>
      </c>
      <c r="Y217" t="inlineStr"/>
    </row>
    <row r="218" ht="15" customFormat="1" customHeight="1" s="19">
      <c r="A218" s="19" t="inlineStr">
        <is>
          <t>Espaço De Bicho</t>
        </is>
      </c>
      <c r="B218" s="19" t="inlineStr">
        <is>
          <t>Antiparasitário Nexgard Spectra P Para Cães de 2kg a 60kg- 1 Comprimido</t>
        </is>
      </c>
      <c r="C218" s="19" t="inlineStr">
        <is>
          <t>Nexgard Spectra 2 a 3,5kg</t>
        </is>
      </c>
      <c r="D218" s="19" t="inlineStr">
        <is>
          <t>NEXGARD-SPECTRA-2-3,5</t>
        </is>
      </c>
      <c r="E218" s="19" t="inlineStr">
        <is>
          <t>55264936699</t>
        </is>
      </c>
      <c r="F218" s="19" t="inlineStr">
        <is>
          <t>391282815699</t>
        </is>
      </c>
      <c r="G218" s="19" t="inlineStr">
        <is>
          <t>NORMAL</t>
        </is>
      </c>
      <c r="H218" s="20" t="n">
        <v>99.90000000000001</v>
      </c>
      <c r="I218" s="20" t="n">
        <v>99.90000000000001</v>
      </c>
      <c r="J218" s="21" t="inlineStr">
        <is>
          <t>NÃO</t>
        </is>
      </c>
      <c r="K218" s="20" t="n"/>
      <c r="L218" s="35">
        <f>IF(K218&lt;&gt;"",K218,I218)</f>
        <v/>
      </c>
      <c r="M218" s="30" t="n"/>
      <c r="N218" s="30" t="n"/>
      <c r="O218" s="31" t="n"/>
      <c r="P218" s="80">
        <f>IF($O218="","",L218-O218-(L218*IF(L218&lt;=79.99,20%,14%)+IF(L218&lt;=79.99,4,IF(L218&lt;=99.99,16,IF(L218&lt;=199.99,20,IF(L218&lt;=499.99,26,28)))))-L218*1.3%-L218*6%-(L218-O218)*9.25%-L218*3%-L218*3%-1)</f>
        <v/>
      </c>
      <c r="Q218" s="22">
        <f>IF(AND(K218&lt;&gt;"",H218&gt;0),(H218-K218)/H218,"")</f>
        <v/>
      </c>
      <c r="R218" s="19" t="inlineStr"/>
      <c r="S218" s="23" t="n"/>
      <c r="T218" s="23" t="n"/>
      <c r="U218" s="19" t="inlineStr">
        <is>
          <t>100942</t>
        </is>
      </c>
      <c r="W218" t="inlineStr">
        <is>
          <t>sem correspondência</t>
        </is>
      </c>
      <c r="Y218" t="inlineStr"/>
    </row>
    <row r="219" ht="15" customFormat="1" customHeight="1" s="14">
      <c r="A219" s="14" t="inlineStr">
        <is>
          <t>Espaço De Bicho</t>
        </is>
      </c>
      <c r="B219" s="14" t="inlineStr">
        <is>
          <t>Antiparasitário Nexgard Spectra P Para Cães de 2kg a 60kg- 1 Comprimido</t>
        </is>
      </c>
      <c r="C219" s="14" t="inlineStr">
        <is>
          <t>Nexgard Spectra 3,6 a 7,5kg</t>
        </is>
      </c>
      <c r="D219" s="14" t="inlineStr">
        <is>
          <t>NEXGARD-SPECTRA-3,6-7,5</t>
        </is>
      </c>
      <c r="E219" s="14" t="inlineStr">
        <is>
          <t>55264936699</t>
        </is>
      </c>
      <c r="F219" s="14" t="inlineStr">
        <is>
          <t>391282815700</t>
        </is>
      </c>
      <c r="G219" s="14" t="inlineStr">
        <is>
          <t>NORMAL</t>
        </is>
      </c>
      <c r="H219" s="15" t="n">
        <v>99.90000000000001</v>
      </c>
      <c r="I219" s="15" t="n">
        <v>99.90000000000001</v>
      </c>
      <c r="J219" s="16" t="inlineStr">
        <is>
          <t>NÃO</t>
        </is>
      </c>
      <c r="K219" s="15" t="n"/>
      <c r="L219" s="35">
        <f>IF(K219&lt;&gt;"",K219,I219)</f>
        <v/>
      </c>
      <c r="M219" s="28" t="n"/>
      <c r="N219" s="28" t="n"/>
      <c r="O219" s="29" t="n"/>
      <c r="P219" s="80">
        <f>IF($O219="","",L219-O219-(L219*IF(L219&lt;=79.99,20%,14%)+IF(L219&lt;=79.99,4,IF(L219&lt;=99.99,16,IF(L219&lt;=199.99,20,IF(L219&lt;=499.99,26,28)))))-L219*1.3%-L219*6%-(L219-O219)*9.25%-L219*3%-L219*3%-1)</f>
        <v/>
      </c>
      <c r="Q219" s="17">
        <f>IF(AND(K219&lt;&gt;"",H219&gt;0),(H219-K219)/H219,"")</f>
        <v/>
      </c>
      <c r="R219" s="14" t="inlineStr"/>
      <c r="S219" s="18" t="n"/>
      <c r="T219" s="18" t="n"/>
      <c r="U219" s="14" t="inlineStr">
        <is>
          <t>100942</t>
        </is>
      </c>
      <c r="W219" t="inlineStr">
        <is>
          <t>sem correspondência</t>
        </is>
      </c>
      <c r="Y219" t="inlineStr"/>
    </row>
    <row r="220" ht="15" customFormat="1" customHeight="1" s="19">
      <c r="A220" s="19" t="inlineStr">
        <is>
          <t>Espaço De Bicho</t>
        </is>
      </c>
      <c r="B220" s="19" t="inlineStr">
        <is>
          <t>Antiparasitário Nexgard Spectra P Para Cães de 2kg a 60kg- 1 Comprimido</t>
        </is>
      </c>
      <c r="C220" s="19" t="inlineStr">
        <is>
          <t>Nexgard Spectra 30 a 60kg</t>
        </is>
      </c>
      <c r="D220" s="19" t="inlineStr">
        <is>
          <t>NEXGARD-SPECTRA-30-60</t>
        </is>
      </c>
      <c r="E220" s="19" t="inlineStr">
        <is>
          <t>55264936699</t>
        </is>
      </c>
      <c r="F220" s="19" t="inlineStr">
        <is>
          <t>391282815703</t>
        </is>
      </c>
      <c r="G220" s="19" t="inlineStr">
        <is>
          <t>NORMAL</t>
        </is>
      </c>
      <c r="H220" s="20" t="n">
        <v>150.9</v>
      </c>
      <c r="I220" s="20" t="n">
        <v>150.9</v>
      </c>
      <c r="J220" s="21" t="inlineStr">
        <is>
          <t>NÃO</t>
        </is>
      </c>
      <c r="K220" s="20" t="n"/>
      <c r="L220" s="35">
        <f>IF(K220&lt;&gt;"",K220,I220)</f>
        <v/>
      </c>
      <c r="M220" s="30" t="n"/>
      <c r="N220" s="30" t="n"/>
      <c r="O220" s="31" t="n"/>
      <c r="P220" s="80">
        <f>IF($O220="","",L220-O220-(L220*IF(L220&lt;=79.99,20%,14%)+IF(L220&lt;=79.99,4,IF(L220&lt;=99.99,16,IF(L220&lt;=199.99,20,IF(L220&lt;=499.99,26,28)))))-L220*1.3%-L220*6%-(L220-O220)*9.25%-L220*3%-L220*3%-1)</f>
        <v/>
      </c>
      <c r="Q220" s="22">
        <f>IF(AND(K220&lt;&gt;"",H220&gt;0),(H220-K220)/H220,"")</f>
        <v/>
      </c>
      <c r="R220" s="19" t="inlineStr"/>
      <c r="S220" s="23" t="n"/>
      <c r="T220" s="23" t="n"/>
      <c r="U220" s="19" t="inlineStr">
        <is>
          <t>100942</t>
        </is>
      </c>
      <c r="W220" t="inlineStr">
        <is>
          <t>sem correspondência</t>
        </is>
      </c>
      <c r="Y220" t="inlineStr"/>
    </row>
    <row r="221" ht="15" customFormat="1" customHeight="1" s="14">
      <c r="A221" s="14" t="inlineStr">
        <is>
          <t>Espaço De Bicho</t>
        </is>
      </c>
      <c r="B221" s="14" t="inlineStr">
        <is>
          <t>Antiparasitário Nexgard Spectra P Para Cães de 2kg a 60kg- 1 Comprimido</t>
        </is>
      </c>
      <c r="C221" s="14" t="inlineStr">
        <is>
          <t>Nexgard Spectra 7,5 a 15kg</t>
        </is>
      </c>
      <c r="D221" s="14" t="inlineStr">
        <is>
          <t>NEXGARD-SPECTRA-7,5-15</t>
        </is>
      </c>
      <c r="E221" s="14" t="inlineStr">
        <is>
          <t>55264936699</t>
        </is>
      </c>
      <c r="F221" s="14" t="inlineStr">
        <is>
          <t>391282815701</t>
        </is>
      </c>
      <c r="G221" s="14" t="inlineStr">
        <is>
          <t>NORMAL</t>
        </is>
      </c>
      <c r="H221" s="15" t="n">
        <v>120.9</v>
      </c>
      <c r="I221" s="15" t="n">
        <v>120.9</v>
      </c>
      <c r="J221" s="16" t="inlineStr">
        <is>
          <t>NÃO</t>
        </is>
      </c>
      <c r="K221" s="15" t="n"/>
      <c r="L221" s="35">
        <f>IF(K221&lt;&gt;"",K221,I221)</f>
        <v/>
      </c>
      <c r="M221" s="28" t="n"/>
      <c r="N221" s="28" t="n"/>
      <c r="O221" s="29" t="n"/>
      <c r="P221" s="80">
        <f>IF($O221="","",L221-O221-(L221*IF(L221&lt;=79.99,20%,14%)+IF(L221&lt;=79.99,4,IF(L221&lt;=99.99,16,IF(L221&lt;=199.99,20,IF(L221&lt;=499.99,26,28)))))-L221*1.3%-L221*6%-(L221-O221)*9.25%-L221*3%-L221*3%-1)</f>
        <v/>
      </c>
      <c r="Q221" s="17">
        <f>IF(AND(K221&lt;&gt;"",H221&gt;0),(H221-K221)/H221,"")</f>
        <v/>
      </c>
      <c r="R221" s="14" t="inlineStr"/>
      <c r="S221" s="18" t="n"/>
      <c r="T221" s="18" t="n"/>
      <c r="U221" s="14" t="inlineStr">
        <is>
          <t>100942</t>
        </is>
      </c>
      <c r="W221" t="inlineStr">
        <is>
          <t>sem correspondência</t>
        </is>
      </c>
      <c r="Y221" t="inlineStr"/>
    </row>
    <row r="222" ht="15" customFormat="1" customHeight="1" s="19">
      <c r="A222" s="14" t="inlineStr">
        <is>
          <t>Espaço De Bicho</t>
        </is>
      </c>
      <c r="B222" s="14" t="inlineStr">
        <is>
          <t>Antipulgas Invicto 11,4 Kg A 57kg Com 1 Comp</t>
        </is>
      </c>
      <c r="C222" s="14" t="inlineStr">
        <is>
          <t>Sem variação</t>
        </is>
      </c>
      <c r="D222" s="14" t="inlineStr">
        <is>
          <t>010_1</t>
        </is>
      </c>
      <c r="E222" s="14" t="inlineStr">
        <is>
          <t>21469828989</t>
        </is>
      </c>
      <c r="F222" s="14" t="inlineStr">
        <is>
          <t>0</t>
        </is>
      </c>
      <c r="G222" s="14" t="inlineStr">
        <is>
          <t>NORMAL</t>
        </is>
      </c>
      <c r="H222" s="15" t="n">
        <v>17.9</v>
      </c>
      <c r="I222" s="15" t="n">
        <v>17.9</v>
      </c>
      <c r="J222" s="16" t="inlineStr">
        <is>
          <t>NÃO</t>
        </is>
      </c>
      <c r="K222" s="15" t="n"/>
      <c r="L222" s="35">
        <f>IF(K222&lt;&gt;"",K222,I222)</f>
        <v/>
      </c>
      <c r="M222" s="84" t="n">
        <v>1</v>
      </c>
      <c r="N222" s="85" t="n">
        <v>6.52</v>
      </c>
      <c r="O222" s="80">
        <f>ROUND(M222*N222,2)</f>
        <v/>
      </c>
      <c r="P222" s="80">
        <f>IF($O222="","",L222-O222-(L222*IF(L222&lt;=79.99,20%,14%)+IF(L222&lt;=79.99,4,IF(L222&lt;=99.99,16,IF(L222&lt;=199.99,20,IF(L222&lt;=499.99,26,28)))))-L222*1.3%-L222*6%-(L222-O222)*9.25%-L222*3%-L222*3%-1)</f>
        <v/>
      </c>
      <c r="Q222" s="17">
        <f>IF(AND(K222&lt;&gt;"",H222&gt;0),(H222-K222)/H222,"")</f>
        <v/>
      </c>
      <c r="R222" s="14" t="inlineStr"/>
      <c r="S222" s="18" t="n"/>
      <c r="T222" s="18" t="n"/>
      <c r="U222" s="14" t="inlineStr">
        <is>
          <t>100942</t>
        </is>
      </c>
      <c r="V222" t="inlineStr">
        <is>
          <t>213547</t>
        </is>
      </c>
      <c r="W222" t="inlineStr">
        <is>
          <t>venda casada (13 pedidos) · custo do KIT 213690 (1× 213547)</t>
        </is>
      </c>
      <c r="X222" t="n">
        <v>13</v>
      </c>
      <c r="Y222" t="inlineStr">
        <is>
          <t>ok</t>
        </is>
      </c>
    </row>
    <row r="223" ht="15" customFormat="1" customHeight="1" s="14">
      <c r="A223" s="14" t="inlineStr">
        <is>
          <t>Jacartta</t>
        </is>
      </c>
      <c r="B223" s="14" t="inlineStr">
        <is>
          <t>Tapete Higiênico Para Cães Espaço De Bicho  50x60cm 30 Unidades</t>
        </is>
      </c>
      <c r="C223" s="14" t="inlineStr">
        <is>
          <t>Sem variação</t>
        </is>
      </c>
      <c r="D223" s="14" t="inlineStr">
        <is>
          <t>30UNI-TAPETE-EPCBICHO-60X50</t>
        </is>
      </c>
      <c r="E223" s="14" t="inlineStr">
        <is>
          <t>22193586544</t>
        </is>
      </c>
      <c r="F223" s="14" t="inlineStr">
        <is>
          <t>0</t>
        </is>
      </c>
      <c r="G223" s="14" t="inlineStr">
        <is>
          <t>NORMAL</t>
        </is>
      </c>
      <c r="H223" s="15" t="n">
        <v>49.9</v>
      </c>
      <c r="I223" s="15" t="n">
        <v>39.9</v>
      </c>
      <c r="J223" s="16" t="inlineStr">
        <is>
          <t>SIM</t>
        </is>
      </c>
      <c r="K223" s="15" t="n">
        <v>39.9</v>
      </c>
      <c r="L223" s="35">
        <f>IF(K223&lt;&gt;"",K223,I223)</f>
        <v/>
      </c>
      <c r="M223" s="84" t="n">
        <v>1</v>
      </c>
      <c r="N223" s="85" t="n">
        <v>15.87</v>
      </c>
      <c r="O223" s="80">
        <f>ROUND(M223*N223,2)</f>
        <v/>
      </c>
      <c r="P223" s="80">
        <f>IF($O223="","",L223-O223-(L223*IF(L223&lt;=79.99,20%,14%)+IF(L223&lt;=79.99,4,IF(L223&lt;=99.99,16,IF(L223&lt;=199.99,20,IF(L223&lt;=499.99,26,28)))))-L223*1.3%-L223*6%-(L223-O223)*9.25%-L223*3%-L223*3%-1)</f>
        <v/>
      </c>
      <c r="Q223" s="17">
        <f>IF(AND(K223&lt;&gt;"",H223&gt;0),(H223-K223)/H223,"")</f>
        <v/>
      </c>
      <c r="R223" s="14" t="inlineStr">
        <is>
          <t>909481504866304</t>
        </is>
      </c>
      <c r="S223" s="18" t="n">
        <v>46144.3875</v>
      </c>
      <c r="T223" s="18" t="n">
        <v>46295.4375</v>
      </c>
      <c r="U223" s="14" t="inlineStr">
        <is>
          <t>100926</t>
        </is>
      </c>
      <c r="V223" t="inlineStr">
        <is>
          <t>213168</t>
        </is>
      </c>
      <c r="W223" t="inlineStr">
        <is>
          <t>venda casada (25 pedidos) · custo do KIT 213846 (1× 213168)</t>
        </is>
      </c>
      <c r="X223" t="n">
        <v>25</v>
      </c>
      <c r="Y223" t="inlineStr">
        <is>
          <t>ok</t>
        </is>
      </c>
    </row>
    <row r="224" ht="15" customFormat="1" customHeight="1" s="19">
      <c r="A224" s="19" t="inlineStr">
        <is>
          <t>Jacartta</t>
        </is>
      </c>
      <c r="B224" s="19" t="inlineStr">
        <is>
          <t>Promoção tapetes higiênicos para cães good pad 60x60 - com 100 unidades</t>
        </is>
      </c>
      <c r="C224" s="19" t="inlineStr">
        <is>
          <t>Sem variação</t>
        </is>
      </c>
      <c r="D224" s="19" t="inlineStr">
        <is>
          <t>0771</t>
        </is>
      </c>
      <c r="E224" s="19" t="inlineStr">
        <is>
          <t>20325166804</t>
        </is>
      </c>
      <c r="F224" s="19" t="inlineStr">
        <is>
          <t>0</t>
        </is>
      </c>
      <c r="G224" s="19" t="inlineStr">
        <is>
          <t>NORMAL</t>
        </is>
      </c>
      <c r="H224" s="20" t="n">
        <v>199.8</v>
      </c>
      <c r="I224" s="20" t="n">
        <v>129.9</v>
      </c>
      <c r="J224" s="21" t="inlineStr">
        <is>
          <t>SIM</t>
        </is>
      </c>
      <c r="K224" s="20" t="n">
        <v>129.9</v>
      </c>
      <c r="L224" s="35">
        <f>IF(K224&lt;&gt;"",K224,I224)</f>
        <v/>
      </c>
      <c r="M224" s="81" t="n">
        <v>2</v>
      </c>
      <c r="N224" s="82" t="n">
        <v>33.46</v>
      </c>
      <c r="O224" s="83">
        <f>ROUND(M224*N224,2)</f>
        <v/>
      </c>
      <c r="P224" s="80">
        <f>IF($O224="","",L224-O224-(L224*IF(L224&lt;=79.99,20%,14%)+IF(L224&lt;=79.99,4,IF(L224&lt;=99.99,16,IF(L224&lt;=199.99,20,IF(L224&lt;=499.99,26,28)))))-L224*1.3%-L224*6%-(L224-O224)*9.25%-L224*3%-L224*3%-1)</f>
        <v/>
      </c>
      <c r="Q224" s="22">
        <f>IF(AND(K224&lt;&gt;"",H224&gt;0),(H224-K224)/H224,"")</f>
        <v/>
      </c>
      <c r="R224" s="19" t="inlineStr">
        <is>
          <t>909481068642304</t>
        </is>
      </c>
      <c r="S224" s="23" t="n">
        <v>46144.38680555556</v>
      </c>
      <c r="T224" s="23" t="n">
        <v>46295.4375</v>
      </c>
      <c r="U224" s="19" t="inlineStr">
        <is>
          <t>100926</t>
        </is>
      </c>
      <c r="V224" t="inlineStr">
        <is>
          <t>212961</t>
        </is>
      </c>
      <c r="W224" t="inlineStr">
        <is>
          <t>venda casada (29 pedidos) · custo do KIT 212451 (2× 212961)</t>
        </is>
      </c>
      <c r="X224" t="n">
        <v>29</v>
      </c>
      <c r="Y224" t="inlineStr">
        <is>
          <t>ok</t>
        </is>
      </c>
    </row>
    <row r="225" ht="15" customFormat="1" customHeight="1" s="14">
      <c r="A225" s="14" t="inlineStr">
        <is>
          <t>Jacartta</t>
        </is>
      </c>
      <c r="B225" s="14" t="inlineStr">
        <is>
          <t>Tapetes Higiênico Para Cachorro 60x60 - Kit 100 Unidades</t>
        </is>
      </c>
      <c r="C225" s="14" t="inlineStr">
        <is>
          <t>Sem variação</t>
        </is>
      </c>
      <c r="D225" s="14" t="inlineStr">
        <is>
          <t>0771</t>
        </is>
      </c>
      <c r="E225" s="14" t="inlineStr">
        <is>
          <t>16479658292</t>
        </is>
      </c>
      <c r="F225" s="14" t="inlineStr">
        <is>
          <t>0</t>
        </is>
      </c>
      <c r="G225" s="14" t="inlineStr">
        <is>
          <t>NORMAL</t>
        </is>
      </c>
      <c r="H225" s="15" t="n">
        <v>259.9</v>
      </c>
      <c r="I225" s="15" t="n">
        <v>129.9</v>
      </c>
      <c r="J225" s="16" t="inlineStr">
        <is>
          <t>SIM</t>
        </is>
      </c>
      <c r="K225" s="15" t="n">
        <v>129.9</v>
      </c>
      <c r="L225" s="35">
        <f>IF(K225&lt;&gt;"",K225,I225)</f>
        <v/>
      </c>
      <c r="M225" s="84" t="n">
        <v>2</v>
      </c>
      <c r="N225" s="85" t="n">
        <v>33.46</v>
      </c>
      <c r="O225" s="80">
        <f>ROUND(M225*N225,2)</f>
        <v/>
      </c>
      <c r="P225" s="80">
        <f>IF($O225="","",L225-O225-(L225*IF(L225&lt;=79.99,20%,14%)+IF(L225&lt;=79.99,4,IF(L225&lt;=99.99,16,IF(L225&lt;=199.99,20,IF(L225&lt;=499.99,26,28)))))-L225*1.3%-L225*6%-(L225-O225)*9.25%-L225*3%-L225*3%-1)</f>
        <v/>
      </c>
      <c r="Q225" s="17">
        <f>IF(AND(K225&lt;&gt;"",H225&gt;0),(H225-K225)/H225,"")</f>
        <v/>
      </c>
      <c r="R225" s="14" t="inlineStr">
        <is>
          <t>909481068642304</t>
        </is>
      </c>
      <c r="S225" s="18" t="n">
        <v>46144.38680555556</v>
      </c>
      <c r="T225" s="18" t="n">
        <v>46295.4375</v>
      </c>
      <c r="U225" s="14" t="inlineStr">
        <is>
          <t>100926</t>
        </is>
      </c>
      <c r="V225" t="inlineStr">
        <is>
          <t>212961</t>
        </is>
      </c>
      <c r="W225" t="inlineStr">
        <is>
          <t>venda casada (300 pedidos) · custo do KIT 212451 (2× 212961)</t>
        </is>
      </c>
      <c r="X225" t="n">
        <v>300</v>
      </c>
      <c r="Y225" t="inlineStr">
        <is>
          <t>ok</t>
        </is>
      </c>
    </row>
    <row r="226" ht="15" customFormat="1" customHeight="1" s="19">
      <c r="A226" s="14" t="inlineStr">
        <is>
          <t>Espaço De Bicho</t>
        </is>
      </c>
      <c r="B226" s="14" t="inlineStr">
        <is>
          <t>Areia Higiênica Biodegradável Espaço de Bicho Grãos Finos 4kg – Milho e Mandioca (100% Natural)</t>
        </is>
      </c>
      <c r="C226" s="14" t="inlineStr">
        <is>
          <t>8KG</t>
        </is>
      </c>
      <c r="D226" s="14" t="inlineStr">
        <is>
          <t>AREIA-EDB-8KG-GF</t>
        </is>
      </c>
      <c r="E226" s="14" t="inlineStr">
        <is>
          <t>23294747653</t>
        </is>
      </c>
      <c r="F226" s="14" t="inlineStr">
        <is>
          <t>179723359889</t>
        </is>
      </c>
      <c r="G226" s="14" t="inlineStr">
        <is>
          <t>NORMAL</t>
        </is>
      </c>
      <c r="H226" s="15" t="n">
        <v>199.9</v>
      </c>
      <c r="I226" s="15" t="n">
        <v>79.90000000000001</v>
      </c>
      <c r="J226" s="16" t="inlineStr">
        <is>
          <t>SIM</t>
        </is>
      </c>
      <c r="K226" s="15" t="n">
        <v>79.90000000000001</v>
      </c>
      <c r="L226" s="35">
        <f>IF(K226&lt;&gt;"",K226,I226)</f>
        <v/>
      </c>
      <c r="M226" s="33" t="n">
        <v>2</v>
      </c>
      <c r="N226" s="30" t="n">
        <v>22.36</v>
      </c>
      <c r="O226" s="31">
        <f>N226*M226</f>
        <v/>
      </c>
      <c r="P226" s="80">
        <f>IF($O226="","",L226-O226-(L226*IF(L226&lt;=79.99,20%,14%)+IF(L226&lt;=79.99,4,IF(L226&lt;=99.99,16,IF(L226&lt;=199.99,20,IF(L226&lt;=499.99,26,28)))))-L226*1.3%-L226*6%-(L226-O226)*9.25%-L226*3%-L226*3%-1)</f>
        <v/>
      </c>
      <c r="Q226" s="17">
        <f>IF(AND(K226&lt;&gt;"",H226&gt;0),(H226-K226)/H226,"")</f>
        <v/>
      </c>
      <c r="R226" s="14" t="inlineStr">
        <is>
          <t>488116129583228</t>
        </is>
      </c>
      <c r="S226" s="18" t="n">
        <v>46236.5</v>
      </c>
      <c r="T226" s="18" t="n">
        <v>46360.99930555555</v>
      </c>
      <c r="U226" s="14" t="inlineStr">
        <is>
          <t>100923</t>
        </is>
      </c>
      <c r="V226" t="inlineStr">
        <is>
          <t>215511</t>
        </is>
      </c>
      <c r="W226" t="inlineStr">
        <is>
          <t>venda casada (532 pedidos) · QTD/custo manuais mantidos · ATENÇÃO: Olist hoje diz 28.27</t>
        </is>
      </c>
      <c r="X226" t="n">
        <v>532</v>
      </c>
      <c r="Y226" t="inlineStr">
        <is>
          <t>ok</t>
        </is>
      </c>
    </row>
    <row r="227" ht="15" customFormat="1" customHeight="1" s="14">
      <c r="A227" s="14" t="inlineStr">
        <is>
          <t>Espaço De Bicho</t>
        </is>
      </c>
      <c r="B227" s="14" t="inlineStr">
        <is>
          <t>Areia Higiênica Biodegradável Espaço de Bicho Grãos Finos 8kg – Milho e Mandioca (100% Natural)</t>
        </is>
      </c>
      <c r="C227" s="14" t="inlineStr">
        <is>
          <t>8KG,Grãos Finos</t>
        </is>
      </c>
      <c r="D227" s="14" t="inlineStr">
        <is>
          <t>AREIA-EDB-8KG-GF</t>
        </is>
      </c>
      <c r="E227" s="14" t="inlineStr">
        <is>
          <t>58252025446</t>
        </is>
      </c>
      <c r="F227" s="14" t="inlineStr">
        <is>
          <t>119872583371</t>
        </is>
      </c>
      <c r="G227" s="14" t="inlineStr">
        <is>
          <t>NORMAL</t>
        </is>
      </c>
      <c r="H227" s="15" t="n">
        <v>120.9</v>
      </c>
      <c r="I227" s="15" t="n">
        <v>89.90000000000001</v>
      </c>
      <c r="J227" s="16" t="inlineStr">
        <is>
          <t>SIM</t>
        </is>
      </c>
      <c r="K227" s="15" t="n">
        <v>89.90000000000001</v>
      </c>
      <c r="L227" s="35">
        <f>IF(K227&lt;&gt;"",K227,I227)</f>
        <v/>
      </c>
      <c r="M227" s="33" t="n">
        <v>2</v>
      </c>
      <c r="N227" s="30" t="n">
        <v>22.36</v>
      </c>
      <c r="O227" s="31">
        <f>N227*M227</f>
        <v/>
      </c>
      <c r="P227" s="80">
        <f>IF($O227="","",L227-O227-(L227*IF(L227&lt;=79.99,20%,14%)+IF(L227&lt;=79.99,4,IF(L227&lt;=99.99,16,IF(L227&lt;=199.99,20,IF(L227&lt;=499.99,26,28)))))-L227*1.3%-L227*6%-(L227-O227)*9.25%-L227*3%-L227*3%-1)</f>
        <v/>
      </c>
      <c r="Q227" s="17">
        <f>IF(AND(K227&lt;&gt;"",H227&gt;0),(H227-K227)/H227,"")</f>
        <v/>
      </c>
      <c r="R227" s="14" t="inlineStr">
        <is>
          <t>488116129583228</t>
        </is>
      </c>
      <c r="S227" s="18" t="n">
        <v>46236.5</v>
      </c>
      <c r="T227" s="18" t="n">
        <v>46360.99930555555</v>
      </c>
      <c r="U227" s="14" t="inlineStr">
        <is>
          <t>100923</t>
        </is>
      </c>
      <c r="V227" t="inlineStr">
        <is>
          <t>215511</t>
        </is>
      </c>
      <c r="W227" t="inlineStr">
        <is>
          <t>venda casada (415 pedidos) · QTD/custo manuais mantidos · ATENÇÃO: Olist hoje diz 28.27</t>
        </is>
      </c>
      <c r="X227" t="n">
        <v>415</v>
      </c>
      <c r="Y227" t="inlineStr">
        <is>
          <t>ok</t>
        </is>
      </c>
    </row>
    <row r="228" ht="15" customFormat="1" customHeight="1" s="19">
      <c r="A228" s="14" t="inlineStr">
        <is>
          <t>Espaço De Bicho</t>
        </is>
      </c>
      <c r="B228" s="14" t="inlineStr">
        <is>
          <t>Areia Higiênica Biodegradável Espaço do Bicho Grãos Mistos 4kg – Milho e Mandioca (100% Natural)</t>
        </is>
      </c>
      <c r="C228" s="14" t="inlineStr">
        <is>
          <t>8KG</t>
        </is>
      </c>
      <c r="D228" s="14" t="inlineStr">
        <is>
          <t>AREIA-EDB-8KG-GM</t>
        </is>
      </c>
      <c r="E228" s="14" t="inlineStr">
        <is>
          <t>49615170522</t>
        </is>
      </c>
      <c r="F228" s="14" t="inlineStr">
        <is>
          <t>441298984010</t>
        </is>
      </c>
      <c r="G228" s="14" t="inlineStr">
        <is>
          <t>NORMAL</t>
        </is>
      </c>
      <c r="H228" s="15" t="n">
        <v>120.9</v>
      </c>
      <c r="I228" s="15" t="n">
        <v>99.90000000000001</v>
      </c>
      <c r="J228" s="16" t="inlineStr">
        <is>
          <t>SIM</t>
        </is>
      </c>
      <c r="K228" s="15" t="n">
        <v>99.90000000000001</v>
      </c>
      <c r="L228" s="35">
        <f>IF(K228&lt;&gt;"",K228,I228)</f>
        <v/>
      </c>
      <c r="M228" s="33" t="n">
        <v>2</v>
      </c>
      <c r="N228" s="30" t="n">
        <v>22.36</v>
      </c>
      <c r="O228" s="31">
        <f>N228*M228</f>
        <v/>
      </c>
      <c r="P228" s="80">
        <f>IF($O228="","",L228-O228-(L228*IF(L228&lt;=79.99,20%,14%)+IF(L228&lt;=79.99,4,IF(L228&lt;=99.99,16,IF(L228&lt;=199.99,20,IF(L228&lt;=499.99,26,28)))))-L228*1.3%-L228*6%-(L228-O228)*9.25%-L228*3%-L228*3%-1)</f>
        <v/>
      </c>
      <c r="Q228" s="17">
        <f>IF(AND(K228&lt;&gt;"",H228&gt;0),(H228-K228)/H228,"")</f>
        <v/>
      </c>
      <c r="R228" s="14" t="inlineStr">
        <is>
          <t>488116129583228</t>
        </is>
      </c>
      <c r="S228" s="18" t="n">
        <v>46236.5</v>
      </c>
      <c r="T228" s="18" t="n">
        <v>46360.99930555555</v>
      </c>
      <c r="U228" s="14" t="inlineStr">
        <is>
          <t>100923</t>
        </is>
      </c>
      <c r="V228" t="inlineStr">
        <is>
          <t>216211</t>
        </is>
      </c>
      <c r="W228" t="inlineStr">
        <is>
          <t>venda casada (6 pedidos) · QTD/custo manuais mantidos</t>
        </is>
      </c>
      <c r="X228" t="n">
        <v>6</v>
      </c>
      <c r="Y228" t="inlineStr">
        <is>
          <t>ok</t>
        </is>
      </c>
    </row>
    <row r="229" ht="15" customFormat="1" customHeight="1" s="14">
      <c r="A229" s="14" t="inlineStr">
        <is>
          <t>Espaço De Bicho</t>
        </is>
      </c>
      <c r="B229" s="14" t="inlineStr">
        <is>
          <t>Areia Higiênica Biodegradável Espaço do Bicho Grãos Mistos 8kg – Milho e Mandioca (100% Natural)</t>
        </is>
      </c>
      <c r="C229" s="14" t="inlineStr">
        <is>
          <t>8KG</t>
        </is>
      </c>
      <c r="D229" s="14" t="inlineStr">
        <is>
          <t>AREIA-EDB-8KG-GM</t>
        </is>
      </c>
      <c r="E229" s="14" t="inlineStr">
        <is>
          <t>53015155131</t>
        </is>
      </c>
      <c r="F229" s="14" t="inlineStr">
        <is>
          <t>186418444462</t>
        </is>
      </c>
      <c r="G229" s="14" t="inlineStr">
        <is>
          <t>NORMAL</t>
        </is>
      </c>
      <c r="H229" s="15" t="n">
        <v>120.9</v>
      </c>
      <c r="I229" s="15" t="n">
        <v>99.90000000000001</v>
      </c>
      <c r="J229" s="16" t="inlineStr">
        <is>
          <t>SIM</t>
        </is>
      </c>
      <c r="K229" s="15" t="n">
        <v>99.90000000000001</v>
      </c>
      <c r="L229" s="35">
        <f>IF(K229&lt;&gt;"",K229,I229)</f>
        <v/>
      </c>
      <c r="M229" s="33" t="n">
        <v>2</v>
      </c>
      <c r="N229" s="30" t="n">
        <v>22.36</v>
      </c>
      <c r="O229" s="31">
        <f>N229*M229</f>
        <v/>
      </c>
      <c r="P229" s="80">
        <f>IF($O229="","",L229-O229-(L229*IF(L229&lt;=79.99,20%,14%)+IF(L229&lt;=79.99,4,IF(L229&lt;=99.99,16,IF(L229&lt;=199.99,20,IF(L229&lt;=499.99,26,28)))))-L229*1.3%-L229*6%-(L229-O229)*9.25%-L229*3%-L229*3%-1)</f>
        <v/>
      </c>
      <c r="Q229" s="17">
        <f>IF(AND(K229&lt;&gt;"",H229&gt;0),(H229-K229)/H229,"")</f>
        <v/>
      </c>
      <c r="R229" s="14" t="inlineStr">
        <is>
          <t>488116129583228</t>
        </is>
      </c>
      <c r="S229" s="18" t="n">
        <v>46236.5</v>
      </c>
      <c r="T229" s="18" t="n">
        <v>46360.99930555555</v>
      </c>
      <c r="U229" s="14" t="inlineStr">
        <is>
          <t>100923</t>
        </is>
      </c>
      <c r="V229" t="inlineStr">
        <is>
          <t>216211</t>
        </is>
      </c>
      <c r="W229" t="inlineStr">
        <is>
          <t>venda casada (2 pedidos) · QTD/custo manuais mantidos</t>
        </is>
      </c>
      <c r="X229" t="n">
        <v>2</v>
      </c>
      <c r="Y229" t="inlineStr">
        <is>
          <t>ok</t>
        </is>
      </c>
    </row>
    <row r="230" ht="15" customFormat="1" customHeight="1" s="19">
      <c r="A230" s="14" t="inlineStr">
        <is>
          <t>Espaço De Bicho</t>
        </is>
      </c>
      <c r="B230" s="14" t="inlineStr">
        <is>
          <t>Kit 2 Areia Higiênica Biodegradável Grãos Finos Milho e Mandioca (100% Natural)</t>
        </is>
      </c>
      <c r="C230" s="14" t="inlineStr">
        <is>
          <t>Grãos Finos</t>
        </is>
      </c>
      <c r="D230" s="14" t="inlineStr">
        <is>
          <t>KIT2-AREIA-EDB-4KG-GF</t>
        </is>
      </c>
      <c r="E230" s="14" t="inlineStr">
        <is>
          <t>23694823900</t>
        </is>
      </c>
      <c r="F230" s="14" t="inlineStr">
        <is>
          <t>228799496711</t>
        </is>
      </c>
      <c r="G230" s="14" t="inlineStr">
        <is>
          <t>NORMAL</t>
        </is>
      </c>
      <c r="H230" s="15" t="n">
        <v>199.9</v>
      </c>
      <c r="I230" s="15" t="n">
        <v>94.89</v>
      </c>
      <c r="J230" s="16" t="inlineStr">
        <is>
          <t>SIM</t>
        </is>
      </c>
      <c r="K230" s="15" t="n">
        <v>94.89</v>
      </c>
      <c r="L230" s="35">
        <f>IF(K230&lt;&gt;"",K230,I230)</f>
        <v/>
      </c>
      <c r="M230" s="33" t="n">
        <v>2</v>
      </c>
      <c r="N230" s="30" t="n">
        <v>22.36</v>
      </c>
      <c r="O230" s="31">
        <f>N230*M230</f>
        <v/>
      </c>
      <c r="P230" s="80">
        <f>IF($O230="","",L230-O230-(L230*IF(L230&lt;=79.99,20%,14%)+IF(L230&lt;=79.99,4,IF(L230&lt;=99.99,16,IF(L230&lt;=199.99,20,IF(L230&lt;=499.99,26,28)))))-L230*1.3%-L230*6%-(L230-O230)*9.25%-L230*3%-L230*3%-1)</f>
        <v/>
      </c>
      <c r="Q230" s="17">
        <f>IF(AND(K230&lt;&gt;"",H230&gt;0),(H230-K230)/H230,"")</f>
        <v/>
      </c>
      <c r="R230" s="14" t="inlineStr">
        <is>
          <t>488116129583228</t>
        </is>
      </c>
      <c r="S230" s="18" t="n">
        <v>46236.5</v>
      </c>
      <c r="T230" s="18" t="n">
        <v>46360.99930555555</v>
      </c>
      <c r="U230" s="14" t="inlineStr">
        <is>
          <t>100923</t>
        </is>
      </c>
      <c r="W230" t="inlineStr">
        <is>
          <t>ambíguo: 215511 (69%) vs 215512 · QTD/custo manuais mantidos</t>
        </is>
      </c>
      <c r="X230" t="n">
        <v>162</v>
      </c>
      <c r="Y230" t="inlineStr"/>
    </row>
    <row r="231" ht="15" customFormat="1" customHeight="1" s="14">
      <c r="A231" s="14" t="inlineStr">
        <is>
          <t>Espaço De Bicho</t>
        </is>
      </c>
      <c r="B231" s="14" t="inlineStr">
        <is>
          <t>Areia Higiênica Biodegradável Espaço do Bicho Grãos Mistos 4kg – Milho e Mandioca (100% Natural)</t>
        </is>
      </c>
      <c r="C231" s="14" t="inlineStr">
        <is>
          <t>16KG</t>
        </is>
      </c>
      <c r="D231" s="14" t="inlineStr">
        <is>
          <t>AREIA-EDB-16KG-GM</t>
        </is>
      </c>
      <c r="E231" s="14" t="inlineStr">
        <is>
          <t>49615170522</t>
        </is>
      </c>
      <c r="F231" s="14" t="inlineStr">
        <is>
          <t>441298984012</t>
        </is>
      </c>
      <c r="G231" s="14" t="inlineStr">
        <is>
          <t>NORMAL</t>
        </is>
      </c>
      <c r="H231" s="15" t="n">
        <v>299.6</v>
      </c>
      <c r="I231" s="15" t="n">
        <v>299.6</v>
      </c>
      <c r="J231" s="16" t="inlineStr">
        <is>
          <t>NÃO</t>
        </is>
      </c>
      <c r="K231" s="15" t="n"/>
      <c r="L231" s="35">
        <f>IF(K231&lt;&gt;"",K231,I231)</f>
        <v/>
      </c>
      <c r="M231" s="84" t="n">
        <v>2</v>
      </c>
      <c r="N231" s="85" t="n">
        <v>22.36</v>
      </c>
      <c r="O231" s="80">
        <f>ROUND(M231*N231,2)</f>
        <v/>
      </c>
      <c r="P231" s="80">
        <f>IF($O231="","",L231-O231-(L231*IF(L231&lt;=79.99,20%,14%)+IF(L231&lt;=79.99,4,IF(L231&lt;=99.99,16,IF(L231&lt;=199.99,20,IF(L231&lt;=499.99,26,28)))))-L231*1.3%-L231*6%-(L231-O231)*9.25%-L231*3%-L231*3%-1)</f>
        <v/>
      </c>
      <c r="Q231" s="17">
        <f>IF(AND(K231&lt;&gt;"",H231&gt;0),(H231-K231)/H231,"")</f>
        <v/>
      </c>
      <c r="R231" s="14" t="inlineStr"/>
      <c r="S231" s="18" t="n"/>
      <c r="T231" s="18" t="n"/>
      <c r="U231" s="14" t="inlineStr">
        <is>
          <t>100923</t>
        </is>
      </c>
      <c r="V231" t="inlineStr">
        <is>
          <t>216211</t>
        </is>
      </c>
      <c r="W231" t="inlineStr">
        <is>
          <t>herdado do anúncio · custo do KIT 216213 (2× 216211)</t>
        </is>
      </c>
      <c r="Y231" t="inlineStr">
        <is>
          <t>ok</t>
        </is>
      </c>
    </row>
    <row r="232" ht="15" customFormat="1" customHeight="1" s="19">
      <c r="A232" s="19" t="inlineStr">
        <is>
          <t>Espaço De Bicho</t>
        </is>
      </c>
      <c r="B232" s="19" t="inlineStr">
        <is>
          <t>Areia Higiênica Biodegradável Espaço do Bicho Grãos Mistos 4kg – Milho e Mandioca (100% Natural)</t>
        </is>
      </c>
      <c r="C232" s="19" t="inlineStr">
        <is>
          <t>4KG</t>
        </is>
      </c>
      <c r="D232" s="19" t="inlineStr">
        <is>
          <t>AREIA-EDB-4KG-GM</t>
        </is>
      </c>
      <c r="E232" s="19" t="inlineStr">
        <is>
          <t>49615170522</t>
        </is>
      </c>
      <c r="F232" s="19" t="inlineStr">
        <is>
          <t>446298984145</t>
        </is>
      </c>
      <c r="G232" s="19" t="inlineStr">
        <is>
          <t>NORMAL</t>
        </is>
      </c>
      <c r="H232" s="20" t="n">
        <v>79.90000000000001</v>
      </c>
      <c r="I232" s="20" t="n">
        <v>79.90000000000001</v>
      </c>
      <c r="J232" s="21" t="inlineStr">
        <is>
          <t>NÃO</t>
        </is>
      </c>
      <c r="K232" s="20" t="n"/>
      <c r="L232" s="35">
        <f>IF(K232&lt;&gt;"",K232,I232)</f>
        <v/>
      </c>
      <c r="M232" s="81" t="n">
        <v>2</v>
      </c>
      <c r="N232" s="82" t="n">
        <v>22.36</v>
      </c>
      <c r="O232" s="83">
        <f>ROUND(M232*N232,2)</f>
        <v/>
      </c>
      <c r="P232" s="80">
        <f>IF($O232="","",L232-O232-(L232*IF(L232&lt;=79.99,20%,14%)+IF(L232&lt;=79.99,4,IF(L232&lt;=99.99,16,IF(L232&lt;=199.99,20,IF(L232&lt;=499.99,26,28)))))-L232*1.3%-L232*6%-(L232-O232)*9.25%-L232*3%-L232*3%-1)</f>
        <v/>
      </c>
      <c r="Q232" s="22">
        <f>IF(AND(K232&lt;&gt;"",H232&gt;0),(H232-K232)/H232,"")</f>
        <v/>
      </c>
      <c r="R232" s="19" t="inlineStr"/>
      <c r="S232" s="23" t="n"/>
      <c r="T232" s="23" t="n"/>
      <c r="U232" s="19" t="inlineStr">
        <is>
          <t>100923</t>
        </is>
      </c>
      <c r="V232" t="inlineStr">
        <is>
          <t>216211</t>
        </is>
      </c>
      <c r="W232" t="inlineStr">
        <is>
          <t>herdado do anúncio · custo do KIT 216213 (2× 216211)</t>
        </is>
      </c>
      <c r="Y232" t="inlineStr">
        <is>
          <t>ok</t>
        </is>
      </c>
    </row>
    <row r="233" ht="15" customFormat="1" customHeight="1" s="14">
      <c r="A233" s="14" t="inlineStr">
        <is>
          <t>Jacartta</t>
        </is>
      </c>
      <c r="B233" s="14" t="inlineStr">
        <is>
          <t>Areia Higiênica Biodegradável Espaço do Bicho Grãos Finos 4kg – Milho e Mandioca (100% Natural)</t>
        </is>
      </c>
      <c r="C233" s="14" t="inlineStr">
        <is>
          <t>8KG,Grãos Finos</t>
        </is>
      </c>
      <c r="D233" s="14" t="inlineStr">
        <is>
          <t>AREIA-EDB-8KG-GF</t>
        </is>
      </c>
      <c r="E233" s="14" t="inlineStr">
        <is>
          <t>58202029766</t>
        </is>
      </c>
      <c r="F233" s="14" t="inlineStr">
        <is>
          <t>219186161450</t>
        </is>
      </c>
      <c r="G233" s="14" t="inlineStr">
        <is>
          <t>NORMAL</t>
        </is>
      </c>
      <c r="H233" s="15" t="n">
        <v>120.9</v>
      </c>
      <c r="I233" s="15" t="n">
        <v>89.90000000000001</v>
      </c>
      <c r="J233" s="16" t="inlineStr">
        <is>
          <t>SIM</t>
        </is>
      </c>
      <c r="K233" s="15" t="n">
        <v>89.90000000000001</v>
      </c>
      <c r="L233" s="35">
        <f>IF(K233&lt;&gt;"",K233,I233)</f>
        <v/>
      </c>
      <c r="M233" s="33" t="n">
        <v>2</v>
      </c>
      <c r="N233" s="30" t="n">
        <v>22.36</v>
      </c>
      <c r="O233" s="31">
        <f>N233*M233</f>
        <v/>
      </c>
      <c r="P233" s="80">
        <f>IF($O233="","",L233-O233-(L233*IF(L233&lt;=79.99,20%,14%)+IF(L233&lt;=79.99,4,IF(L233&lt;=99.99,16,IF(L233&lt;=199.99,20,IF(L233&lt;=499.99,26,28)))))-L233*1.3%-L233*6%-(L233-O233)*9.25%-L233*3%-L233*3%-1)</f>
        <v/>
      </c>
      <c r="Q233" s="17">
        <f>IF(AND(K233&lt;&gt;"",H233&gt;0),(H233-K233)/H233,"")</f>
        <v/>
      </c>
      <c r="R233" s="14" t="inlineStr">
        <is>
          <t>488117194936589</t>
        </is>
      </c>
      <c r="S233" s="18" t="n">
        <v>46236.5</v>
      </c>
      <c r="T233" s="18" t="n">
        <v>46361.54166666666</v>
      </c>
      <c r="U233" s="14" t="inlineStr">
        <is>
          <t>100923</t>
        </is>
      </c>
      <c r="V233" t="inlineStr">
        <is>
          <t>215511</t>
        </is>
      </c>
      <c r="W233" t="inlineStr">
        <is>
          <t>venda casada (532 pedidos) · QTD/custo manuais mantidos · ATENÇÃO: Olist hoje diz 28.27</t>
        </is>
      </c>
      <c r="X233" t="n">
        <v>532</v>
      </c>
      <c r="Y233" t="inlineStr">
        <is>
          <t>ok</t>
        </is>
      </c>
    </row>
    <row r="234" ht="15" customFormat="1" customHeight="1" s="19">
      <c r="A234" s="14" t="inlineStr">
        <is>
          <t>Jacartta</t>
        </is>
      </c>
      <c r="B234" s="14" t="inlineStr">
        <is>
          <t>Areia Higiênica Biodegradável Espaço do Bicho Grãos Finos 8kg – Milho e Mandioca (100% Natural)</t>
        </is>
      </c>
      <c r="C234" s="14" t="inlineStr">
        <is>
          <t>8KG,Grãos Finos</t>
        </is>
      </c>
      <c r="D234" s="14" t="inlineStr">
        <is>
          <t>AREIA-EDB-8KG-GF</t>
        </is>
      </c>
      <c r="E234" s="14" t="inlineStr">
        <is>
          <t>58202029368</t>
        </is>
      </c>
      <c r="F234" s="14" t="inlineStr">
        <is>
          <t>219618605531</t>
        </is>
      </c>
      <c r="G234" s="14" t="inlineStr">
        <is>
          <t>NORMAL</t>
        </is>
      </c>
      <c r="H234" s="15" t="n">
        <v>120.9</v>
      </c>
      <c r="I234" s="15" t="n">
        <v>99.90000000000001</v>
      </c>
      <c r="J234" s="16" t="inlineStr">
        <is>
          <t>SIM</t>
        </is>
      </c>
      <c r="K234" s="15" t="n">
        <v>99.90000000000001</v>
      </c>
      <c r="L234" s="35">
        <f>IF(K234&lt;&gt;"",K234,I234)</f>
        <v/>
      </c>
      <c r="M234" s="33" t="n">
        <v>2</v>
      </c>
      <c r="N234" s="30" t="n">
        <v>22.36</v>
      </c>
      <c r="O234" s="31">
        <f>N234*M234</f>
        <v/>
      </c>
      <c r="P234" s="80">
        <f>IF($O234="","",L234-O234-(L234*IF(L234&lt;=79.99,20%,14%)+IF(L234&lt;=79.99,4,IF(L234&lt;=99.99,16,IF(L234&lt;=199.99,20,IF(L234&lt;=499.99,26,28)))))-L234*1.3%-L234*6%-(L234-O234)*9.25%-L234*3%-L234*3%-1)</f>
        <v/>
      </c>
      <c r="Q234" s="17">
        <f>IF(AND(K234&lt;&gt;"",H234&gt;0),(H234-K234)/H234,"")</f>
        <v/>
      </c>
      <c r="R234" s="14" t="inlineStr">
        <is>
          <t>488117194936589</t>
        </is>
      </c>
      <c r="S234" s="18" t="n">
        <v>46236.5</v>
      </c>
      <c r="T234" s="18" t="n">
        <v>46361.54166666666</v>
      </c>
      <c r="U234" s="14" t="inlineStr">
        <is>
          <t>100923</t>
        </is>
      </c>
      <c r="V234" t="inlineStr">
        <is>
          <t>215511</t>
        </is>
      </c>
      <c r="W234" t="inlineStr">
        <is>
          <t>venda casada (250 pedidos) · QTD/custo manuais mantidos · ATENÇÃO: Olist hoje diz 28.27</t>
        </is>
      </c>
      <c r="X234" t="n">
        <v>250</v>
      </c>
      <c r="Y234" t="inlineStr">
        <is>
          <t>ok</t>
        </is>
      </c>
    </row>
    <row r="235" ht="15" customFormat="1" customHeight="1" s="14">
      <c r="A235" s="14" t="inlineStr">
        <is>
          <t>Espaço De Bicho</t>
        </is>
      </c>
      <c r="B235" s="14" t="inlineStr">
        <is>
          <t>Tapete Higiênico Espaço De Bicho Shopito Oficial Aroma De Bebê 30 Unidades Envio Imediato</t>
        </is>
      </c>
      <c r="C235" s="14" t="inlineStr">
        <is>
          <t>Sem variação</t>
        </is>
      </c>
      <c r="D235" s="14" t="inlineStr">
        <is>
          <t>1609</t>
        </is>
      </c>
      <c r="E235" s="14" t="inlineStr">
        <is>
          <t>23798154869</t>
        </is>
      </c>
      <c r="F235" s="14" t="inlineStr">
        <is>
          <t>0</t>
        </is>
      </c>
      <c r="G235" s="14" t="inlineStr">
        <is>
          <t>NORMAL</t>
        </is>
      </c>
      <c r="H235" s="15" t="n">
        <v>99.90000000000001</v>
      </c>
      <c r="I235" s="15" t="n">
        <v>64.90000000000001</v>
      </c>
      <c r="J235" s="16" t="inlineStr">
        <is>
          <t>SIM</t>
        </is>
      </c>
      <c r="K235" s="15" t="n">
        <v>64.90000000000001</v>
      </c>
      <c r="L235" s="35">
        <f>IF(K235&lt;&gt;"",K235,I235)</f>
        <v/>
      </c>
      <c r="M235" s="84" t="n">
        <v>1</v>
      </c>
      <c r="N235" s="85" t="n">
        <v>28.64</v>
      </c>
      <c r="O235" s="80">
        <f>ROUND(M235*N235,2)</f>
        <v/>
      </c>
      <c r="P235" s="80">
        <f>IF($O235="","",L235-O235-(L235*IF(L235&lt;=79.99,20%,14%)+IF(L235&lt;=79.99,4,IF(L235&lt;=99.99,16,IF(L235&lt;=199.99,20,IF(L235&lt;=499.99,26,28)))))-L235*1.3%-L235*6%-(L235-O235)*9.25%-L235*3%-L235*3%-1)</f>
        <v/>
      </c>
      <c r="Q235" s="17">
        <f>IF(AND(K235&lt;&gt;"",H235&gt;0),(H235-K235)/H235,"")</f>
        <v/>
      </c>
      <c r="R235" s="14" t="inlineStr">
        <is>
          <t>909474743648256</t>
        </is>
      </c>
      <c r="S235" s="18" t="n">
        <v>46144.37777777778</v>
      </c>
      <c r="T235" s="18" t="n">
        <v>46295.97916666666</v>
      </c>
      <c r="U235" s="14" t="inlineStr">
        <is>
          <t>100926</t>
        </is>
      </c>
      <c r="V235" t="inlineStr">
        <is>
          <t>213173</t>
        </is>
      </c>
      <c r="W235" t="inlineStr">
        <is>
          <t>venda casada (30 pedidos) · custo do KIT 213817 (1× 213173)</t>
        </is>
      </c>
      <c r="X235" t="n">
        <v>30</v>
      </c>
      <c r="Y235" t="inlineStr">
        <is>
          <t>ok</t>
        </is>
      </c>
    </row>
    <row r="236" ht="15" customFormat="1" customHeight="1" s="19">
      <c r="A236" s="14" t="inlineStr">
        <is>
          <t>Espaço De Bicho</t>
        </is>
      </c>
      <c r="B236" s="14" t="inlineStr">
        <is>
          <t>Tapete Higiênico Espaço De Bicho Para Cães 50x60cm 150 Unidades - Envio Imediato</t>
        </is>
      </c>
      <c r="C236" s="14" t="inlineStr">
        <is>
          <t>Sem variação</t>
        </is>
      </c>
      <c r="D236" s="14" t="inlineStr">
        <is>
          <t>1623</t>
        </is>
      </c>
      <c r="E236" s="14" t="inlineStr">
        <is>
          <t>23893144311</t>
        </is>
      </c>
      <c r="F236" s="14" t="inlineStr">
        <is>
          <t>0</t>
        </is>
      </c>
      <c r="G236" s="14" t="inlineStr">
        <is>
          <t>NORMAL</t>
        </is>
      </c>
      <c r="H236" s="15" t="n">
        <v>170.9</v>
      </c>
      <c r="I236" s="15" t="n">
        <v>169.9</v>
      </c>
      <c r="J236" s="16" t="inlineStr">
        <is>
          <t>SIM</t>
        </is>
      </c>
      <c r="K236" s="15" t="n">
        <v>169.9</v>
      </c>
      <c r="L236" s="35">
        <f>IF(K236&lt;&gt;"",K236,I236)</f>
        <v/>
      </c>
      <c r="M236" s="84" t="n">
        <v>3</v>
      </c>
      <c r="N236" s="85" t="n">
        <v>29.12</v>
      </c>
      <c r="O236" s="80">
        <f>ROUND(M236*N236,2)</f>
        <v/>
      </c>
      <c r="P236" s="80">
        <f>IF($O236="","",L236-O236-(L236*IF(L236&lt;=79.99,20%,14%)+IF(L236&lt;=79.99,4,IF(L236&lt;=99.99,16,IF(L236&lt;=199.99,20,IF(L236&lt;=499.99,26,28)))))-L236*1.3%-L236*6%-(L236-O236)*9.25%-L236*3%-L236*3%-1)</f>
        <v/>
      </c>
      <c r="Q236" s="17">
        <f>IF(AND(K236&lt;&gt;"",H236&gt;0),(H236-K236)/H236,"")</f>
        <v/>
      </c>
      <c r="R236" s="14" t="inlineStr">
        <is>
          <t>909477973245952</t>
        </is>
      </c>
      <c r="S236" s="18" t="n">
        <v>46144.38263888889</v>
      </c>
      <c r="T236" s="18" t="n">
        <v>46295.4375</v>
      </c>
      <c r="U236" s="14" t="inlineStr">
        <is>
          <t>100926</t>
        </is>
      </c>
      <c r="V236" t="inlineStr">
        <is>
          <t>213169</t>
        </is>
      </c>
      <c r="W236" t="inlineStr">
        <is>
          <t>venda casada (1 pedido) · custo do KIT 213850 (3× 213169)</t>
        </is>
      </c>
      <c r="X236" t="n">
        <v>1</v>
      </c>
      <c r="Y236" t="inlineStr">
        <is>
          <t>⚠ evidência fraca (1 pedido)</t>
        </is>
      </c>
    </row>
    <row r="237" ht="15" customFormat="1" customHeight="1" s="14">
      <c r="A237" s="19" t="inlineStr">
        <is>
          <t>Jacartta</t>
        </is>
      </c>
      <c r="B237" s="19" t="inlineStr">
        <is>
          <t>Tapete Higiênico Espaço De Bicho Para Cães 50x60cm 150 Unidades - Envio Imediato</t>
        </is>
      </c>
      <c r="C237" s="19" t="inlineStr">
        <is>
          <t>150 Unidades</t>
        </is>
      </c>
      <c r="D237" s="19" t="inlineStr">
        <is>
          <t>1623</t>
        </is>
      </c>
      <c r="E237" s="19" t="inlineStr">
        <is>
          <t>23993586889</t>
        </is>
      </c>
      <c r="F237" s="19" t="inlineStr">
        <is>
          <t>228800728138</t>
        </is>
      </c>
      <c r="G237" s="19" t="inlineStr">
        <is>
          <t>NORMAL</t>
        </is>
      </c>
      <c r="H237" s="20" t="n">
        <v>199.9</v>
      </c>
      <c r="I237" s="20" t="n">
        <v>169.9</v>
      </c>
      <c r="J237" s="21" t="inlineStr">
        <is>
          <t>SIM</t>
        </is>
      </c>
      <c r="K237" s="20" t="n">
        <v>169.9</v>
      </c>
      <c r="L237" s="35">
        <f>IF(K237&lt;&gt;"",K237,I237)</f>
        <v/>
      </c>
      <c r="M237" s="30" t="n"/>
      <c r="N237" s="30" t="n"/>
      <c r="O237" s="31" t="n">
        <v>87.36</v>
      </c>
      <c r="P237" s="80">
        <f>IF($O237="","",L237-O237-(L237*IF(L237&lt;=79.99,20%,14%)+IF(L237&lt;=79.99,4,IF(L237&lt;=99.99,16,IF(L237&lt;=199.99,20,IF(L237&lt;=499.99,26,28)))))-L237*1.3%-L237*6%-(L237-O237)*9.25%-L237*3%-L237*3%-1)</f>
        <v/>
      </c>
      <c r="Q237" s="22">
        <f>IF(AND(K237&lt;&gt;"",H237&gt;0),(H237-K237)/H237,"")</f>
        <v/>
      </c>
      <c r="R237" s="19" t="inlineStr">
        <is>
          <t>909481504866304</t>
        </is>
      </c>
      <c r="S237" s="23" t="n">
        <v>46144.3875</v>
      </c>
      <c r="T237" s="23" t="n">
        <v>46295.4375</v>
      </c>
      <c r="U237" s="19" t="inlineStr">
        <is>
          <t>100926</t>
        </is>
      </c>
      <c r="V237" t="inlineStr">
        <is>
          <t>1623</t>
        </is>
      </c>
      <c r="W237" t="inlineStr">
        <is>
          <t>SKU idêntico na Olist · CUSTO ZERADO na Olist (conferido hoje) · custo preexistente (busca por texto) mantido</t>
        </is>
      </c>
      <c r="Y237" t="inlineStr">
        <is>
          <t>ok</t>
        </is>
      </c>
    </row>
    <row r="238" ht="15" customFormat="1" customHeight="1" s="19">
      <c r="A238" s="19" t="inlineStr">
        <is>
          <t>Jacartta</t>
        </is>
      </c>
      <c r="B238" s="19" t="inlineStr">
        <is>
          <t>Tapete Higiênico Ultra Espaço De Bicho 30unid. 80x60cm Aroma Lavanda</t>
        </is>
      </c>
      <c r="C238" s="19" t="inlineStr">
        <is>
          <t>Sem variação</t>
        </is>
      </c>
      <c r="D238" s="19" t="inlineStr">
        <is>
          <t>729</t>
        </is>
      </c>
      <c r="E238" s="19" t="inlineStr">
        <is>
          <t>22597087310</t>
        </is>
      </c>
      <c r="F238" s="19" t="inlineStr">
        <is>
          <t>0</t>
        </is>
      </c>
      <c r="G238" s="19" t="inlineStr">
        <is>
          <t>NORMAL</t>
        </is>
      </c>
      <c r="H238" s="20" t="n">
        <v>199.9</v>
      </c>
      <c r="I238" s="20" t="n">
        <v>61.9</v>
      </c>
      <c r="J238" s="21" t="inlineStr">
        <is>
          <t>SIM</t>
        </is>
      </c>
      <c r="K238" s="20" t="n">
        <v>61.9</v>
      </c>
      <c r="L238" s="35">
        <f>IF(K238&lt;&gt;"",K238,I238)</f>
        <v/>
      </c>
      <c r="M238" s="81" t="n">
        <v>1</v>
      </c>
      <c r="N238" s="82" t="n">
        <v>30.99</v>
      </c>
      <c r="O238" s="83">
        <f>ROUND(M238*N238,2)</f>
        <v/>
      </c>
      <c r="P238" s="80">
        <f>IF($O238="","",L238-O238-(L238*IF(L238&lt;=79.99,20%,14%)+IF(L238&lt;=79.99,4,IF(L238&lt;=99.99,16,IF(L238&lt;=199.99,20,IF(L238&lt;=499.99,26,28)))))-L238*1.3%-L238*6%-(L238-O238)*9.25%-L238*3%-L238*3%-1)</f>
        <v/>
      </c>
      <c r="Q238" s="22">
        <f>IF(AND(K238&lt;&gt;"",H238&gt;0),(H238-K238)/H238,"")</f>
        <v/>
      </c>
      <c r="R238" s="19" t="inlineStr">
        <is>
          <t>909481253191680</t>
        </is>
      </c>
      <c r="S238" s="23" t="n">
        <v>46144.38680555556</v>
      </c>
      <c r="T238" s="23" t="n">
        <v>46295.4375</v>
      </c>
      <c r="U238" s="19" t="inlineStr">
        <is>
          <t>100926</t>
        </is>
      </c>
      <c r="V238" t="inlineStr">
        <is>
          <t>212965</t>
        </is>
      </c>
      <c r="W238" t="inlineStr">
        <is>
          <t>venda casada (861 pedidos) · custo do KIT 213799 (1× 212965)</t>
        </is>
      </c>
      <c r="X238" t="n">
        <v>861</v>
      </c>
      <c r="Y238" t="inlineStr">
        <is>
          <t>ok</t>
        </is>
      </c>
    </row>
    <row r="239" ht="15" customFormat="1" customHeight="1" s="14">
      <c r="A239" s="14" t="inlineStr">
        <is>
          <t>Espaço De Bicho</t>
        </is>
      </c>
      <c r="B239" s="14" t="inlineStr">
        <is>
          <t>Tapete Higiênico Ultra Espaço De Bicho 30unid. 80x60cm Aroma Lavanda</t>
        </is>
      </c>
      <c r="C239" s="14" t="inlineStr">
        <is>
          <t>Sem variação</t>
        </is>
      </c>
      <c r="D239" s="14" t="inlineStr">
        <is>
          <t>729</t>
        </is>
      </c>
      <c r="E239" s="14" t="inlineStr">
        <is>
          <t>23392585917</t>
        </is>
      </c>
      <c r="F239" s="14" t="inlineStr">
        <is>
          <t>0</t>
        </is>
      </c>
      <c r="G239" s="14" t="inlineStr">
        <is>
          <t>NORMAL</t>
        </is>
      </c>
      <c r="H239" s="15" t="n">
        <v>199.9</v>
      </c>
      <c r="I239" s="15" t="n">
        <v>59.9</v>
      </c>
      <c r="J239" s="16" t="inlineStr">
        <is>
          <t>SIM</t>
        </is>
      </c>
      <c r="K239" s="15" t="n">
        <v>59.9</v>
      </c>
      <c r="L239" s="35">
        <f>IF(K239&lt;&gt;"",K239,I239)</f>
        <v/>
      </c>
      <c r="M239" s="84" t="n">
        <v>1</v>
      </c>
      <c r="N239" s="85" t="n">
        <v>30.99</v>
      </c>
      <c r="O239" s="80">
        <f>ROUND(M239*N239,2)</f>
        <v/>
      </c>
      <c r="P239" s="80">
        <f>IF($O239="","",L239-O239-(L239*IF(L239&lt;=79.99,20%,14%)+IF(L239&lt;=79.99,4,IF(L239&lt;=99.99,16,IF(L239&lt;=199.99,20,IF(L239&lt;=499.99,26,28)))))-L239*1.3%-L239*6%-(L239-O239)*9.25%-L239*3%-L239*3%-1)</f>
        <v/>
      </c>
      <c r="Q239" s="17">
        <f>IF(AND(K239&lt;&gt;"",H239&gt;0),(H239-K239)/H239,"")</f>
        <v/>
      </c>
      <c r="R239" s="14" t="inlineStr">
        <is>
          <t>909477973245952</t>
        </is>
      </c>
      <c r="S239" s="18" t="n">
        <v>46144.38263888889</v>
      </c>
      <c r="T239" s="18" t="n">
        <v>46295.4375</v>
      </c>
      <c r="U239" s="14" t="inlineStr">
        <is>
          <t>100926</t>
        </is>
      </c>
      <c r="V239" t="inlineStr">
        <is>
          <t>212965</t>
        </is>
      </c>
      <c r="W239" t="inlineStr">
        <is>
          <t>venda casada (506 pedidos) · custo do KIT 213799 (1× 212965)</t>
        </is>
      </c>
      <c r="X239" t="n">
        <v>506</v>
      </c>
      <c r="Y239" t="inlineStr">
        <is>
          <t>ok</t>
        </is>
      </c>
    </row>
    <row r="240" ht="15" customFormat="1" customHeight="1" s="19">
      <c r="A240" s="19" t="inlineStr">
        <is>
          <t>Espaço De Bicho</t>
        </is>
      </c>
      <c r="B240" s="19" t="inlineStr">
        <is>
          <t>Tapete Higiênico Ultra Pads 80x60cm Aroma Lavanda Com 30un</t>
        </is>
      </c>
      <c r="C240" s="19" t="inlineStr">
        <is>
          <t>Sem variação</t>
        </is>
      </c>
      <c r="D240" s="19" t="inlineStr">
        <is>
          <t>0792</t>
        </is>
      </c>
      <c r="E240" s="19" t="inlineStr">
        <is>
          <t>18050820281</t>
        </is>
      </c>
      <c r="F240" s="19" t="inlineStr">
        <is>
          <t>0</t>
        </is>
      </c>
      <c r="G240" s="19" t="inlineStr">
        <is>
          <t>NORMAL</t>
        </is>
      </c>
      <c r="H240" s="20" t="n">
        <v>99.90000000000001</v>
      </c>
      <c r="I240" s="20" t="n">
        <v>61.89</v>
      </c>
      <c r="J240" s="21" t="inlineStr">
        <is>
          <t>SIM</t>
        </is>
      </c>
      <c r="K240" s="20" t="n">
        <v>61.89</v>
      </c>
      <c r="L240" s="35">
        <f>IF(K240&lt;&gt;"",K240,I240)</f>
        <v/>
      </c>
      <c r="M240" s="81" t="n">
        <v>1</v>
      </c>
      <c r="N240" s="82" t="n">
        <v>29.19</v>
      </c>
      <c r="O240" s="80">
        <f>ROUND(M240*N240,2)</f>
        <v/>
      </c>
      <c r="P240" s="80">
        <f>IF($O240="","",L240-O240-(L240*IF(L240&lt;=79.99,20%,14%)+IF(L240&lt;=79.99,4,IF(L240&lt;=99.99,16,IF(L240&lt;=199.99,20,IF(L240&lt;=499.99,26,28)))))-L240*1.3%-L240*6%-(L240-O240)*9.25%-L240*3%-L240*3%-1)</f>
        <v/>
      </c>
      <c r="Q240" s="22">
        <f>IF(AND(K240&lt;&gt;"",H240&gt;0),(H240-K240)/H240,"")</f>
        <v/>
      </c>
      <c r="R240" s="19" t="inlineStr">
        <is>
          <t>909476899504128</t>
        </is>
      </c>
      <c r="S240" s="23" t="n">
        <v>46144.38125</v>
      </c>
      <c r="T240" s="23" t="n">
        <v>46295.4375</v>
      </c>
      <c r="U240" s="19" t="inlineStr">
        <is>
          <t>100926</t>
        </is>
      </c>
      <c r="V240" t="inlineStr">
        <is>
          <t>212967</t>
        </is>
      </c>
      <c r="W240" t="inlineStr">
        <is>
          <t>venda casada (40 pedidos) · custo do KIT 213807 (1× 212967)</t>
        </is>
      </c>
      <c r="X240" t="n">
        <v>40</v>
      </c>
      <c r="Y240" t="inlineStr">
        <is>
          <t>ok</t>
        </is>
      </c>
    </row>
    <row r="241" ht="15" customFormat="1" customHeight="1" s="14">
      <c r="A241" s="14" t="inlineStr">
        <is>
          <t>Espaço De Bicho</t>
        </is>
      </c>
      <c r="B241" s="14" t="inlineStr">
        <is>
          <t>Aurivet Otológica 13g Pomada Tratamento De Otites Vetnil</t>
        </is>
      </c>
      <c r="C241" s="14" t="inlineStr">
        <is>
          <t>Sem variação</t>
        </is>
      </c>
      <c r="D241" s="14" t="inlineStr">
        <is>
          <t>POMADA-AURIVET-13G</t>
        </is>
      </c>
      <c r="E241" s="14" t="inlineStr">
        <is>
          <t>21199864722</t>
        </is>
      </c>
      <c r="F241" s="14" t="inlineStr">
        <is>
          <t>0</t>
        </is>
      </c>
      <c r="G241" s="14" t="inlineStr">
        <is>
          <t>NORMAL</t>
        </is>
      </c>
      <c r="H241" s="15" t="n">
        <v>150.9</v>
      </c>
      <c r="I241" s="15" t="n">
        <v>150.9</v>
      </c>
      <c r="J241" s="16" t="inlineStr">
        <is>
          <t>NÃO</t>
        </is>
      </c>
      <c r="K241" s="15" t="n"/>
      <c r="L241" s="35">
        <f>IF(K241&lt;&gt;"",K241,I241)</f>
        <v/>
      </c>
      <c r="M241" s="28" t="n"/>
      <c r="N241" s="28" t="n"/>
      <c r="O241" s="29" t="n"/>
      <c r="P241" s="80">
        <f>IF($O241="","",L241-O241-(L241*IF(L241&lt;=79.99,20%,14%)+IF(L241&lt;=79.99,4,IF(L241&lt;=99.99,16,IF(L241&lt;=199.99,20,IF(L241&lt;=499.99,26,28)))))-L241*1.3%-L241*6%-(L241-O241)*9.25%-L241*3%-L241*3%-1)</f>
        <v/>
      </c>
      <c r="Q241" s="17">
        <f>IF(AND(K241&lt;&gt;"",H241&gt;0),(H241-K241)/H241,"")</f>
        <v/>
      </c>
      <c r="R241" s="14" t="inlineStr"/>
      <c r="S241" s="18" t="n"/>
      <c r="T241" s="18" t="n"/>
      <c r="U241" s="14" t="inlineStr">
        <is>
          <t>100942</t>
        </is>
      </c>
      <c r="W241" t="inlineStr">
        <is>
          <t>sem correspondência</t>
        </is>
      </c>
      <c r="Y241" t="inlineStr"/>
    </row>
    <row r="242" ht="15" customFormat="1" customHeight="1" s="19">
      <c r="A242" s="14" t="inlineStr">
        <is>
          <t>Espaço De Bicho</t>
        </is>
      </c>
      <c r="B242" s="14" t="inlineStr">
        <is>
          <t>Brinquedo Interativo P/ Gatos Varinha Arranhador Pena Ratinho</t>
        </is>
      </c>
      <c r="C242" s="14" t="inlineStr">
        <is>
          <t>PENA EMITE SOM</t>
        </is>
      </c>
      <c r="D242" s="14" t="inlineStr">
        <is>
          <t>BRINQUEDO-PENA-C/SOM</t>
        </is>
      </c>
      <c r="E242" s="14" t="inlineStr">
        <is>
          <t>19197811676</t>
        </is>
      </c>
      <c r="F242" s="14" t="inlineStr">
        <is>
          <t>189598953413</t>
        </is>
      </c>
      <c r="G242" s="14" t="inlineStr">
        <is>
          <t>NORMAL</t>
        </is>
      </c>
      <c r="H242" s="15" t="n">
        <v>59.9</v>
      </c>
      <c r="I242" s="15" t="n">
        <v>24.89</v>
      </c>
      <c r="J242" s="16" t="inlineStr">
        <is>
          <t>SIM</t>
        </is>
      </c>
      <c r="K242" s="15" t="n">
        <v>24.89</v>
      </c>
      <c r="L242" s="35">
        <f>IF(K242&lt;&gt;"",K242,I242)</f>
        <v/>
      </c>
      <c r="M242" s="84" t="n">
        <v>1</v>
      </c>
      <c r="N242" s="85" t="n">
        <v>12.2</v>
      </c>
      <c r="O242" s="80">
        <f>ROUND(M242*N242,2)</f>
        <v/>
      </c>
      <c r="P242" s="80">
        <f>IF($O242="","",L242-O242-(L242*IF(L242&lt;=79.99,20%,14%)+IF(L242&lt;=79.99,4,IF(L242&lt;=99.99,16,IF(L242&lt;=199.99,20,IF(L242&lt;=499.99,26,28)))))-L242*1.3%-L242*6%-(L242-O242)*9.25%-L242*3%-L242*3%-1)</f>
        <v/>
      </c>
      <c r="Q242" s="17">
        <f>IF(AND(K242&lt;&gt;"",H242&gt;0),(H242-K242)/H242,"")</f>
        <v/>
      </c>
      <c r="R242" s="14" t="inlineStr">
        <is>
          <t>909477973245952</t>
        </is>
      </c>
      <c r="S242" s="18" t="n">
        <v>46144.38263888889</v>
      </c>
      <c r="T242" s="18" t="n">
        <v>46295.4375</v>
      </c>
      <c r="U242" s="14" t="inlineStr">
        <is>
          <t>101678</t>
        </is>
      </c>
      <c r="V242" t="inlineStr">
        <is>
          <t>213557</t>
        </is>
      </c>
      <c r="W242" t="inlineStr">
        <is>
          <t>venda casada (3 pedidos)</t>
        </is>
      </c>
      <c r="X242" t="n">
        <v>3</v>
      </c>
      <c r="Y242" t="inlineStr">
        <is>
          <t>ok</t>
        </is>
      </c>
    </row>
    <row r="243" ht="15" customFormat="1" customHeight="1" s="14">
      <c r="A243" s="19" t="inlineStr">
        <is>
          <t>Espaço De Bicho</t>
        </is>
      </c>
      <c r="B243" s="19" t="inlineStr">
        <is>
          <t>Brinquedo Mordedor Osso Bamboo Sabor Bacon Limpeza Dentes Tartaro Truqys</t>
        </is>
      </c>
      <c r="C243" s="19" t="inlineStr">
        <is>
          <t>Forquilha Grande</t>
        </is>
      </c>
      <c r="D243" s="19" t="inlineStr">
        <is>
          <t>0335</t>
        </is>
      </c>
      <c r="E243" s="19" t="inlineStr">
        <is>
          <t>22196102653</t>
        </is>
      </c>
      <c r="F243" s="19" t="inlineStr">
        <is>
          <t>159766308979</t>
        </is>
      </c>
      <c r="G243" s="19" t="inlineStr">
        <is>
          <t>NORMAL</t>
        </is>
      </c>
      <c r="H243" s="20" t="n">
        <v>44.9</v>
      </c>
      <c r="I243" s="20" t="n">
        <v>32.9</v>
      </c>
      <c r="J243" s="21" t="inlineStr">
        <is>
          <t>SIM</t>
        </is>
      </c>
      <c r="K243" s="20" t="n">
        <v>32.9</v>
      </c>
      <c r="L243" s="35">
        <f>IF(K243&lt;&gt;"",K243,I243)</f>
        <v/>
      </c>
      <c r="M243" s="81" t="n">
        <v>1</v>
      </c>
      <c r="N243" s="82" t="n">
        <v>9.93</v>
      </c>
      <c r="O243" s="80">
        <f>ROUND(M243*N243,2)</f>
        <v/>
      </c>
      <c r="P243" s="80">
        <f>IF($O243="","",L243-O243-(L243*IF(L243&lt;=79.99,20%,14%)+IF(L243&lt;=79.99,4,IF(L243&lt;=99.99,16,IF(L243&lt;=199.99,20,IF(L243&lt;=499.99,26,28)))))-L243*1.3%-L243*6%-(L243-O243)*9.25%-L243*3%-L243*3%-1)</f>
        <v/>
      </c>
      <c r="Q243" s="22">
        <f>IF(AND(K243&lt;&gt;"",H243&gt;0),(H243-K243)/H243,"")</f>
        <v/>
      </c>
      <c r="R243" s="19" t="inlineStr">
        <is>
          <t>909477973245952</t>
        </is>
      </c>
      <c r="S243" s="23" t="n">
        <v>46144.38263888889</v>
      </c>
      <c r="T243" s="23" t="n">
        <v>46295.4375</v>
      </c>
      <c r="U243" s="19" t="inlineStr">
        <is>
          <t>101926</t>
        </is>
      </c>
      <c r="V243" t="inlineStr">
        <is>
          <t>215142</t>
        </is>
      </c>
      <c r="W243" t="inlineStr">
        <is>
          <t>venda casada (2 pedidos)</t>
        </is>
      </c>
      <c r="X243" t="n">
        <v>2</v>
      </c>
      <c r="Y243" t="inlineStr">
        <is>
          <t>ok</t>
        </is>
      </c>
    </row>
    <row r="244" ht="15" customFormat="1" customHeight="1" s="19">
      <c r="A244" s="14" t="inlineStr">
        <is>
          <t>Espaço De Bicho</t>
        </is>
      </c>
      <c r="B244" s="14" t="inlineStr">
        <is>
          <t>Brinquedo Mordedor Osso Bamboo Sabor Bacon Limpeza Dentes Tartaro Truqys</t>
        </is>
      </c>
      <c r="C244" s="14" t="inlineStr">
        <is>
          <t>Forquilha Pequena</t>
        </is>
      </c>
      <c r="D244" s="14" t="inlineStr">
        <is>
          <t>0334</t>
        </is>
      </c>
      <c r="E244" s="14" t="inlineStr">
        <is>
          <t>22196102653</t>
        </is>
      </c>
      <c r="F244" s="14" t="inlineStr">
        <is>
          <t>159766308978</t>
        </is>
      </c>
      <c r="G244" s="14" t="inlineStr">
        <is>
          <t>NORMAL</t>
        </is>
      </c>
      <c r="H244" s="15" t="n">
        <v>44.9</v>
      </c>
      <c r="I244" s="15" t="n">
        <v>44.9</v>
      </c>
      <c r="J244" s="16" t="inlineStr">
        <is>
          <t>NÃO</t>
        </is>
      </c>
      <c r="K244" s="15" t="n"/>
      <c r="L244" s="35">
        <f>IF(K244&lt;&gt;"",K244,I244)</f>
        <v/>
      </c>
      <c r="M244" s="28" t="n"/>
      <c r="N244" s="28" t="n"/>
      <c r="O244" s="29" t="n"/>
      <c r="P244" s="80">
        <f>IF($O244="","",L244-O244-(L244*IF(L244&lt;=79.99,20%,14%)+IF(L244&lt;=79.99,4,IF(L244&lt;=99.99,16,IF(L244&lt;=199.99,20,IF(L244&lt;=499.99,26,28)))))-L244*1.3%-L244*6%-(L244-O244)*9.25%-L244*3%-L244*3%-1)</f>
        <v/>
      </c>
      <c r="Q244" s="17">
        <f>IF(AND(K244&lt;&gt;"",H244&gt;0),(H244-K244)/H244,"")</f>
        <v/>
      </c>
      <c r="R244" s="14" t="inlineStr"/>
      <c r="S244" s="18" t="n"/>
      <c r="T244" s="18" t="n"/>
      <c r="U244" s="14" t="inlineStr">
        <is>
          <t>101926</t>
        </is>
      </c>
      <c r="W244" t="inlineStr">
        <is>
          <t>sem correspondência</t>
        </is>
      </c>
      <c r="Y244" t="inlineStr"/>
    </row>
    <row r="245" ht="15" customFormat="1" customHeight="1" s="14">
      <c r="A245" s="19" t="inlineStr">
        <is>
          <t>Espaço De Bicho</t>
        </is>
      </c>
      <c r="B245" s="19" t="inlineStr">
        <is>
          <t>Brinquedo Mordedor Osso Bamboo Sabor Bacon Limpeza Dentes Tartaro Truqys</t>
        </is>
      </c>
      <c r="C245" s="19" t="inlineStr">
        <is>
          <t>Osso Grande</t>
        </is>
      </c>
      <c r="D245" s="19" t="inlineStr">
        <is>
          <t>0333</t>
        </is>
      </c>
      <c r="E245" s="19" t="inlineStr">
        <is>
          <t>22196102653</t>
        </is>
      </c>
      <c r="F245" s="19" t="inlineStr">
        <is>
          <t>159766308984</t>
        </is>
      </c>
      <c r="G245" s="19" t="inlineStr">
        <is>
          <t>NORMAL</t>
        </is>
      </c>
      <c r="H245" s="20" t="n">
        <v>44.9</v>
      </c>
      <c r="I245" s="20" t="n">
        <v>21.9</v>
      </c>
      <c r="J245" s="21" t="inlineStr">
        <is>
          <t>SIM</t>
        </is>
      </c>
      <c r="K245" s="20" t="n">
        <v>21.9</v>
      </c>
      <c r="L245" s="35">
        <f>IF(K245&lt;&gt;"",K245,I245)</f>
        <v/>
      </c>
      <c r="M245" s="30" t="n"/>
      <c r="N245" s="30" t="n"/>
      <c r="O245" s="29" t="n"/>
      <c r="P245" s="80">
        <f>IF($O245="","",L245-O245-(L245*IF(L245&lt;=79.99,20%,14%)+IF(L245&lt;=79.99,4,IF(L245&lt;=99.99,16,IF(L245&lt;=199.99,20,IF(L245&lt;=499.99,26,28)))))-L245*1.3%-L245*6%-(L245-O245)*9.25%-L245*3%-L245*3%-1)</f>
        <v/>
      </c>
      <c r="Q245" s="22">
        <f>IF(AND(K245&lt;&gt;"",H245&gt;0),(H245-K245)/H245,"")</f>
        <v/>
      </c>
      <c r="R245" s="19" t="inlineStr">
        <is>
          <t>909477973245952</t>
        </is>
      </c>
      <c r="S245" s="23" t="n">
        <v>46144.38263888889</v>
      </c>
      <c r="T245" s="23" t="n">
        <v>46295.4375</v>
      </c>
      <c r="U245" s="19" t="inlineStr">
        <is>
          <t>101926</t>
        </is>
      </c>
      <c r="W245" t="inlineStr">
        <is>
          <t>sem correspondência</t>
        </is>
      </c>
      <c r="Y245" t="inlineStr"/>
    </row>
    <row r="246" ht="15" customFormat="1" customHeight="1" s="19">
      <c r="A246" s="19" t="inlineStr">
        <is>
          <t>Espaço De Bicho</t>
        </is>
      </c>
      <c r="B246" s="19" t="inlineStr">
        <is>
          <t>Brinquedo Mordedor Osso Bamboo Sabor Bacon Limpeza Dentes Tartaro Truqys</t>
        </is>
      </c>
      <c r="C246" s="19" t="inlineStr">
        <is>
          <t>Peixe</t>
        </is>
      </c>
      <c r="D246" s="19" t="inlineStr">
        <is>
          <t>0330</t>
        </is>
      </c>
      <c r="E246" s="19" t="inlineStr">
        <is>
          <t>22196102653</t>
        </is>
      </c>
      <c r="F246" s="19" t="inlineStr">
        <is>
          <t>159766308982</t>
        </is>
      </c>
      <c r="G246" s="19" t="inlineStr">
        <is>
          <t>NORMAL</t>
        </is>
      </c>
      <c r="H246" s="20" t="n">
        <v>44.9</v>
      </c>
      <c r="I246" s="20" t="n">
        <v>27.9</v>
      </c>
      <c r="J246" s="21" t="inlineStr">
        <is>
          <t>SIM</t>
        </is>
      </c>
      <c r="K246" s="20" t="n">
        <v>27.9</v>
      </c>
      <c r="L246" s="35">
        <f>IF(K246&lt;&gt;"",K246,I246)</f>
        <v/>
      </c>
      <c r="M246" s="30" t="n"/>
      <c r="N246" s="30" t="n"/>
      <c r="O246" s="29" t="n"/>
      <c r="P246" s="80">
        <f>IF($O246="","",L246-O246-(L246*IF(L246&lt;=79.99,20%,14%)+IF(L246&lt;=79.99,4,IF(L246&lt;=99.99,16,IF(L246&lt;=199.99,20,IF(L246&lt;=499.99,26,28)))))-L246*1.3%-L246*6%-(L246-O246)*9.25%-L246*3%-L246*3%-1)</f>
        <v/>
      </c>
      <c r="Q246" s="22">
        <f>IF(AND(K246&lt;&gt;"",H246&gt;0),(H246-K246)/H246,"")</f>
        <v/>
      </c>
      <c r="R246" s="19" t="inlineStr">
        <is>
          <t>909477973245952</t>
        </is>
      </c>
      <c r="S246" s="23" t="n">
        <v>46144.38263888889</v>
      </c>
      <c r="T246" s="23" t="n">
        <v>46295.4375</v>
      </c>
      <c r="U246" s="19" t="inlineStr">
        <is>
          <t>101926</t>
        </is>
      </c>
      <c r="W246" t="inlineStr">
        <is>
          <t>sem correspondência</t>
        </is>
      </c>
      <c r="Y246" t="inlineStr"/>
    </row>
    <row r="247" ht="15" customFormat="1" customHeight="1" s="14">
      <c r="A247" s="14" t="inlineStr">
        <is>
          <t>Espaço De Bicho</t>
        </is>
      </c>
      <c r="B247" s="14" t="inlineStr">
        <is>
          <t>Brinquedo Mordedor Osso Bamboo Sabor Bacon Limpeza Dentes Tartaro Truqys</t>
        </is>
      </c>
      <c r="C247" s="14" t="inlineStr">
        <is>
          <t>V pequeno</t>
        </is>
      </c>
      <c r="D247" s="14" t="inlineStr">
        <is>
          <t>0331</t>
        </is>
      </c>
      <c r="E247" s="14" t="inlineStr">
        <is>
          <t>22196102653</t>
        </is>
      </c>
      <c r="F247" s="14" t="inlineStr">
        <is>
          <t>159766308977</t>
        </is>
      </c>
      <c r="G247" s="14" t="inlineStr">
        <is>
          <t>NORMAL</t>
        </is>
      </c>
      <c r="H247" s="15" t="n">
        <v>44.9</v>
      </c>
      <c r="I247" s="15" t="n">
        <v>44.9</v>
      </c>
      <c r="J247" s="16" t="inlineStr">
        <is>
          <t>NÃO</t>
        </is>
      </c>
      <c r="K247" s="15" t="n"/>
      <c r="L247" s="35">
        <f>IF(K247&lt;&gt;"",K247,I247)</f>
        <v/>
      </c>
      <c r="M247" s="28" t="n"/>
      <c r="N247" s="28" t="n"/>
      <c r="O247" s="29" t="n"/>
      <c r="P247" s="80">
        <f>IF($O247="","",L247-O247-(L247*IF(L247&lt;=79.99,20%,14%)+IF(L247&lt;=79.99,4,IF(L247&lt;=99.99,16,IF(L247&lt;=199.99,20,IF(L247&lt;=499.99,26,28)))))-L247*1.3%-L247*6%-(L247-O247)*9.25%-L247*3%-L247*3%-1)</f>
        <v/>
      </c>
      <c r="Q247" s="17">
        <f>IF(AND(K247&lt;&gt;"",H247&gt;0),(H247-K247)/H247,"")</f>
        <v/>
      </c>
      <c r="R247" s="14" t="inlineStr"/>
      <c r="S247" s="18" t="n"/>
      <c r="T247" s="18" t="n"/>
      <c r="U247" s="14" t="inlineStr">
        <is>
          <t>101926</t>
        </is>
      </c>
      <c r="W247" t="inlineStr">
        <is>
          <t>sem correspondência</t>
        </is>
      </c>
      <c r="Y247" t="inlineStr"/>
    </row>
    <row r="248" ht="15" customFormat="1" customHeight="1" s="19">
      <c r="A248" s="19" t="inlineStr">
        <is>
          <t>Espaço De Bicho</t>
        </is>
      </c>
      <c r="B248" s="19" t="inlineStr">
        <is>
          <t>Brinquedo Mordedor Osso Bamboo Sabor Bacon Limpeza Dentes Tartaro Truqys</t>
        </is>
      </c>
      <c r="C248" s="19" t="inlineStr">
        <is>
          <t>Y Grande</t>
        </is>
      </c>
      <c r="D248" s="19" t="inlineStr">
        <is>
          <t>0337</t>
        </is>
      </c>
      <c r="E248" s="19" t="inlineStr">
        <is>
          <t>22196102653</t>
        </is>
      </c>
      <c r="F248" s="19" t="inlineStr">
        <is>
          <t>159766308980</t>
        </is>
      </c>
      <c r="G248" s="19" t="inlineStr">
        <is>
          <t>NORMAL</t>
        </is>
      </c>
      <c r="H248" s="20" t="n">
        <v>44.9</v>
      </c>
      <c r="I248" s="20" t="n">
        <v>44.9</v>
      </c>
      <c r="J248" s="21" t="inlineStr">
        <is>
          <t>NÃO</t>
        </is>
      </c>
      <c r="K248" s="20" t="n"/>
      <c r="L248" s="35">
        <f>IF(K248&lt;&gt;"",K248,I248)</f>
        <v/>
      </c>
      <c r="M248" s="30" t="n"/>
      <c r="N248" s="30" t="n"/>
      <c r="O248" s="31" t="n"/>
      <c r="P248" s="80">
        <f>IF($O248="","",L248-O248-(L248*IF(L248&lt;=79.99,20%,14%)+IF(L248&lt;=79.99,4,IF(L248&lt;=99.99,16,IF(L248&lt;=199.99,20,IF(L248&lt;=499.99,26,28)))))-L248*1.3%-L248*6%-(L248-O248)*9.25%-L248*3%-L248*3%-1)</f>
        <v/>
      </c>
      <c r="Q248" s="22">
        <f>IF(AND(K248&lt;&gt;"",H248&gt;0),(H248-K248)/H248,"")</f>
        <v/>
      </c>
      <c r="R248" s="19" t="inlineStr"/>
      <c r="S248" s="23" t="n"/>
      <c r="T248" s="23" t="n"/>
      <c r="U248" s="19" t="inlineStr">
        <is>
          <t>101926</t>
        </is>
      </c>
      <c r="W248" t="inlineStr">
        <is>
          <t>sem correspondência</t>
        </is>
      </c>
      <c r="Y248" t="inlineStr"/>
    </row>
    <row r="249" ht="15" customFormat="1" customHeight="1" s="14">
      <c r="A249" s="14" t="inlineStr">
        <is>
          <t>Espaço De Bicho</t>
        </is>
      </c>
      <c r="B249" s="14" t="inlineStr">
        <is>
          <t>Brinquedo Mordedor Osso Bamboo Sabor Bacon Limpeza Dentes Tartaro Truqys</t>
        </is>
      </c>
      <c r="C249" s="14" t="inlineStr">
        <is>
          <t>Y Pequeno</t>
        </is>
      </c>
      <c r="D249" s="14" t="inlineStr">
        <is>
          <t>0336</t>
        </is>
      </c>
      <c r="E249" s="14" t="inlineStr">
        <is>
          <t>22196102653</t>
        </is>
      </c>
      <c r="F249" s="14" t="inlineStr">
        <is>
          <t>159766308981</t>
        </is>
      </c>
      <c r="G249" s="14" t="inlineStr">
        <is>
          <t>NORMAL</t>
        </is>
      </c>
      <c r="H249" s="15" t="n">
        <v>44.9</v>
      </c>
      <c r="I249" s="15" t="n">
        <v>44.9</v>
      </c>
      <c r="J249" s="16" t="inlineStr">
        <is>
          <t>NÃO</t>
        </is>
      </c>
      <c r="K249" s="15" t="n"/>
      <c r="L249" s="35">
        <f>IF(K249&lt;&gt;"",K249,I249)</f>
        <v/>
      </c>
      <c r="M249" s="28" t="n"/>
      <c r="N249" s="28" t="n"/>
      <c r="O249" s="29" t="n"/>
      <c r="P249" s="80">
        <f>IF($O249="","",L249-O249-(L249*IF(L249&lt;=79.99,20%,14%)+IF(L249&lt;=79.99,4,IF(L249&lt;=99.99,16,IF(L249&lt;=199.99,20,IF(L249&lt;=499.99,26,28)))))-L249*1.3%-L249*6%-(L249-O249)*9.25%-L249*3%-L249*3%-1)</f>
        <v/>
      </c>
      <c r="Q249" s="17">
        <f>IF(AND(K249&lt;&gt;"",H249&gt;0),(H249-K249)/H249,"")</f>
        <v/>
      </c>
      <c r="R249" s="14" t="inlineStr"/>
      <c r="S249" s="18" t="n"/>
      <c r="T249" s="18" t="n"/>
      <c r="U249" s="14" t="inlineStr">
        <is>
          <t>101926</t>
        </is>
      </c>
      <c r="W249" t="inlineStr">
        <is>
          <t>sem correspondência</t>
        </is>
      </c>
      <c r="Y249" t="inlineStr"/>
    </row>
    <row r="250" ht="15" customFormat="1" customHeight="1" s="19">
      <c r="A250" s="19" t="inlineStr">
        <is>
          <t>Espaço De Bicho</t>
        </is>
      </c>
      <c r="B250" s="19" t="inlineStr">
        <is>
          <t>Brinquedo Varinha Gato Penas Pássaro Com Ventosa Fixa No Chão</t>
        </is>
      </c>
      <c r="C250" s="19" t="inlineStr">
        <is>
          <t>AZUL</t>
        </is>
      </c>
      <c r="D250" s="19" t="inlineStr">
        <is>
          <t>BRINQUEDO-VARA-CAT-AZUL</t>
        </is>
      </c>
      <c r="E250" s="19" t="inlineStr">
        <is>
          <t>19997807516</t>
        </is>
      </c>
      <c r="F250" s="19" t="inlineStr">
        <is>
          <t>169399702995</t>
        </is>
      </c>
      <c r="G250" s="19" t="inlineStr">
        <is>
          <t>NORMAL</t>
        </is>
      </c>
      <c r="H250" s="20" t="n">
        <v>39.9</v>
      </c>
      <c r="I250" s="20" t="n">
        <v>24.89</v>
      </c>
      <c r="J250" s="21" t="inlineStr">
        <is>
          <t>SIM</t>
        </is>
      </c>
      <c r="K250" s="20" t="n">
        <v>24.89</v>
      </c>
      <c r="L250" s="35">
        <f>IF(K250&lt;&gt;"",K250,I250)</f>
        <v/>
      </c>
      <c r="M250" s="81" t="n">
        <v>1</v>
      </c>
      <c r="N250" s="82" t="n">
        <v>4.33</v>
      </c>
      <c r="O250" s="80">
        <f>ROUND(M250*N250,2)</f>
        <v/>
      </c>
      <c r="P250" s="80">
        <f>IF($O250="","",L250-O250-(L250*IF(L250&lt;=79.99,20%,14%)+IF(L250&lt;=79.99,4,IF(L250&lt;=99.99,16,IF(L250&lt;=199.99,20,IF(L250&lt;=499.99,26,28)))))-L250*1.3%-L250*6%-(L250-O250)*9.25%-L250*3%-L250*3%-1)</f>
        <v/>
      </c>
      <c r="Q250" s="22">
        <f>IF(AND(K250&lt;&gt;"",H250&gt;0),(H250-K250)/H250,"")</f>
        <v/>
      </c>
      <c r="R250" s="19" t="inlineStr">
        <is>
          <t>909477973245952</t>
        </is>
      </c>
      <c r="S250" s="23" t="n">
        <v>46144.38263888889</v>
      </c>
      <c r="T250" s="23" t="n">
        <v>46295.4375</v>
      </c>
      <c r="U250" s="19" t="inlineStr">
        <is>
          <t>101925</t>
        </is>
      </c>
      <c r="V250" t="inlineStr">
        <is>
          <t>213524</t>
        </is>
      </c>
      <c r="W250" t="inlineStr">
        <is>
          <t>venda casada (29 pedidos)</t>
        </is>
      </c>
      <c r="X250" t="n">
        <v>29</v>
      </c>
      <c r="Y250" t="inlineStr">
        <is>
          <t>ok</t>
        </is>
      </c>
    </row>
    <row r="251" ht="15" customFormat="1" customHeight="1" s="14">
      <c r="A251" s="14" t="inlineStr">
        <is>
          <t>Espaço De Bicho</t>
        </is>
      </c>
      <c r="B251" s="14" t="inlineStr">
        <is>
          <t>Caixa de Areia Para Gatos Banheira Higiênica 2 Peças Com Bandeja Sanitária e Peneira</t>
        </is>
      </c>
      <c r="C251" s="14" t="inlineStr">
        <is>
          <t>Azul</t>
        </is>
      </c>
      <c r="D251" s="14" t="inlineStr">
        <is>
          <t>CAIXA-CAIT-TOIALET-AZ</t>
        </is>
      </c>
      <c r="E251" s="14" t="inlineStr">
        <is>
          <t>58206320345</t>
        </is>
      </c>
      <c r="F251" s="14" t="inlineStr">
        <is>
          <t>219186641640</t>
        </is>
      </c>
      <c r="G251" s="14" t="inlineStr">
        <is>
          <t>NORMAL</t>
        </is>
      </c>
      <c r="H251" s="15" t="n">
        <v>79.90000000000001</v>
      </c>
      <c r="I251" s="15" t="n">
        <v>39.9</v>
      </c>
      <c r="J251" s="16" t="inlineStr">
        <is>
          <t>SIM</t>
        </is>
      </c>
      <c r="K251" s="15" t="n">
        <v>39.9</v>
      </c>
      <c r="L251" s="35">
        <f>IF(K251&lt;&gt;"",K251,I251)</f>
        <v/>
      </c>
      <c r="M251" s="33" t="n"/>
      <c r="N251" s="28" t="n"/>
      <c r="O251" s="29" t="n"/>
      <c r="P251" s="80">
        <f>IF($O251="","",L251-O251-(L251*IF(L251&lt;=79.99,20%,14%)+IF(L251&lt;=79.99,4,IF(L251&lt;=99.99,16,IF(L251&lt;=199.99,20,IF(L251&lt;=499.99,26,28)))))-L251*1.3%-L251*6%-(L251-O251)*9.25%-L251*3%-L251*3%-1)</f>
        <v/>
      </c>
      <c r="Q251" s="17">
        <f>IF(AND(K251&lt;&gt;"",H251&gt;0),(H251-K251)/H251,"")</f>
        <v/>
      </c>
      <c r="R251" s="14" t="inlineStr">
        <is>
          <t>909477973245952</t>
        </is>
      </c>
      <c r="S251" s="18" t="n">
        <v>46144.38263888889</v>
      </c>
      <c r="T251" s="18" t="n">
        <v>46295.4375</v>
      </c>
      <c r="U251" s="14" t="inlineStr">
        <is>
          <t>100924</t>
        </is>
      </c>
      <c r="W251" t="inlineStr">
        <is>
          <t>sem correspondência</t>
        </is>
      </c>
      <c r="Y251" t="inlineStr"/>
    </row>
    <row r="252" ht="15" customFormat="1" customHeight="1" s="19">
      <c r="A252" s="19" t="inlineStr">
        <is>
          <t>Espaço De Bicho</t>
        </is>
      </c>
      <c r="B252" s="19" t="inlineStr">
        <is>
          <t>Caixa de Areia Para Gatos Banheira Higiênica 2 Peças Com Bandeja Sanitária e Peneira</t>
        </is>
      </c>
      <c r="C252" s="19" t="inlineStr">
        <is>
          <t>Preto</t>
        </is>
      </c>
      <c r="D252" s="19" t="inlineStr">
        <is>
          <t>CAIXA-CAIT-TOIALET-PT</t>
        </is>
      </c>
      <c r="E252" s="19" t="inlineStr">
        <is>
          <t>58206320345</t>
        </is>
      </c>
      <c r="F252" s="19" t="inlineStr">
        <is>
          <t>219186641639</t>
        </is>
      </c>
      <c r="G252" s="19" t="inlineStr">
        <is>
          <t>NORMAL</t>
        </is>
      </c>
      <c r="H252" s="20" t="n">
        <v>79.90000000000001</v>
      </c>
      <c r="I252" s="20" t="n">
        <v>39.9</v>
      </c>
      <c r="J252" s="21" t="inlineStr">
        <is>
          <t>SIM</t>
        </is>
      </c>
      <c r="K252" s="20" t="n">
        <v>39.9</v>
      </c>
      <c r="L252" s="35">
        <f>IF(K252&lt;&gt;"",K252,I252)</f>
        <v/>
      </c>
      <c r="M252" s="81" t="n">
        <v>1</v>
      </c>
      <c r="N252" s="82" t="n">
        <v>10.66</v>
      </c>
      <c r="O252" s="80">
        <f>ROUND(M252*N252,2)</f>
        <v/>
      </c>
      <c r="P252" s="80">
        <f>IF($O252="","",L252-O252-(L252*IF(L252&lt;=79.99,20%,14%)+IF(L252&lt;=79.99,4,IF(L252&lt;=99.99,16,IF(L252&lt;=199.99,20,IF(L252&lt;=499.99,26,28)))))-L252*1.3%-L252*6%-(L252-O252)*9.25%-L252*3%-L252*3%-1)</f>
        <v/>
      </c>
      <c r="Q252" s="22">
        <f>IF(AND(K252&lt;&gt;"",H252&gt;0),(H252-K252)/H252,"")</f>
        <v/>
      </c>
      <c r="R252" s="19" t="inlineStr">
        <is>
          <t>909477973245952</t>
        </is>
      </c>
      <c r="S252" s="23" t="n">
        <v>46144.38263888889</v>
      </c>
      <c r="T252" s="23" t="n">
        <v>46295.4375</v>
      </c>
      <c r="U252" s="19" t="inlineStr">
        <is>
          <t>100924</t>
        </is>
      </c>
      <c r="V252" t="inlineStr">
        <is>
          <t>215316</t>
        </is>
      </c>
      <c r="W252" t="inlineStr">
        <is>
          <t>venda casada (1 pedido)</t>
        </is>
      </c>
      <c r="X252" t="n">
        <v>1</v>
      </c>
      <c r="Y252" t="inlineStr">
        <is>
          <t>⚠ evidência fraca (1 pedido)</t>
        </is>
      </c>
    </row>
    <row r="253" ht="15" customFormat="1" customHeight="1" s="14">
      <c r="A253" s="14" t="inlineStr">
        <is>
          <t>Espaço De Bicho</t>
        </is>
      </c>
      <c r="B253" s="14" t="inlineStr">
        <is>
          <t>Caixa de Areia Para Gatos Banheira Higiênica 2 Peças Com Bandeja Sanitária e Peneira</t>
        </is>
      </c>
      <c r="C253" s="14" t="inlineStr">
        <is>
          <t>Tiffane</t>
        </is>
      </c>
      <c r="D253" s="14" t="inlineStr">
        <is>
          <t>CAIXA-CAIT-TOIALET-TF</t>
        </is>
      </c>
      <c r="E253" s="14" t="inlineStr">
        <is>
          <t>58206320345</t>
        </is>
      </c>
      <c r="F253" s="14" t="inlineStr">
        <is>
          <t>219186641641</t>
        </is>
      </c>
      <c r="G253" s="14" t="inlineStr">
        <is>
          <t>NORMAL</t>
        </is>
      </c>
      <c r="H253" s="15" t="n">
        <v>79.90000000000001</v>
      </c>
      <c r="I253" s="15" t="n">
        <v>39.9</v>
      </c>
      <c r="J253" s="16" t="inlineStr">
        <is>
          <t>SIM</t>
        </is>
      </c>
      <c r="K253" s="15" t="n">
        <v>39.9</v>
      </c>
      <c r="L253" s="35">
        <f>IF(K253&lt;&gt;"",K253,I253)</f>
        <v/>
      </c>
      <c r="M253" s="84" t="n">
        <v>1</v>
      </c>
      <c r="N253" s="85" t="n">
        <v>11.63</v>
      </c>
      <c r="O253" s="80">
        <f>ROUND(M253*N253,2)</f>
        <v/>
      </c>
      <c r="P253" s="80">
        <f>IF($O253="","",L253-O253-(L253*IF(L253&lt;=79.99,20%,14%)+IF(L253&lt;=79.99,4,IF(L253&lt;=99.99,16,IF(L253&lt;=199.99,20,IF(L253&lt;=499.99,26,28)))))-L253*1.3%-L253*6%-(L253-O253)*9.25%-L253*3%-L253*3%-1)</f>
        <v/>
      </c>
      <c r="Q253" s="17">
        <f>IF(AND(K253&lt;&gt;"",H253&gt;0),(H253-K253)/H253,"")</f>
        <v/>
      </c>
      <c r="R253" s="14" t="inlineStr">
        <is>
          <t>909477973245952</t>
        </is>
      </c>
      <c r="S253" s="18" t="n">
        <v>46144.38263888889</v>
      </c>
      <c r="T253" s="18" t="n">
        <v>46295.4375</v>
      </c>
      <c r="U253" s="14" t="inlineStr">
        <is>
          <t>100924</t>
        </is>
      </c>
      <c r="V253" t="inlineStr">
        <is>
          <t>215314</t>
        </is>
      </c>
      <c r="W253" t="inlineStr">
        <is>
          <t>venda casada (1 pedido)</t>
        </is>
      </c>
      <c r="X253" t="n">
        <v>1</v>
      </c>
      <c r="Y253" t="inlineStr">
        <is>
          <t>⚠ evidência fraca (1 pedido)</t>
        </is>
      </c>
    </row>
    <row r="254" ht="15" customFormat="1" customHeight="1" s="19">
      <c r="A254" s="19" t="inlineStr">
        <is>
          <t>Espaço De Bicho</t>
        </is>
      </c>
      <c r="B254" s="19" t="inlineStr">
        <is>
          <t>Caixa de Areia Para Gatos Banheira Higiênica 2 Peças Com Bandeja Sanitária e Peneira</t>
        </is>
      </c>
      <c r="C254" s="19" t="inlineStr">
        <is>
          <t>Vermelho</t>
        </is>
      </c>
      <c r="D254" s="19" t="inlineStr">
        <is>
          <t>CAIXA-CAIT-TOIALET-VM</t>
        </is>
      </c>
      <c r="E254" s="19" t="inlineStr">
        <is>
          <t>58206320345</t>
        </is>
      </c>
      <c r="F254" s="19" t="inlineStr">
        <is>
          <t>219186641642</t>
        </is>
      </c>
      <c r="G254" s="19" t="inlineStr">
        <is>
          <t>NORMAL</t>
        </is>
      </c>
      <c r="H254" s="20" t="n">
        <v>79.90000000000001</v>
      </c>
      <c r="I254" s="20" t="n">
        <v>39.9</v>
      </c>
      <c r="J254" s="21" t="inlineStr">
        <is>
          <t>SIM</t>
        </is>
      </c>
      <c r="K254" s="20" t="n">
        <v>39.9</v>
      </c>
      <c r="L254" s="35">
        <f>IF(K254&lt;&gt;"",K254,I254)</f>
        <v/>
      </c>
      <c r="M254" s="81" t="n">
        <v>1</v>
      </c>
      <c r="N254" s="82" t="n">
        <v>11.63</v>
      </c>
      <c r="O254" s="80">
        <f>ROUND(M254*N254,2)</f>
        <v/>
      </c>
      <c r="P254" s="80">
        <f>IF($O254="","",L254-O254-(L254*IF(L254&lt;=79.99,20%,14%)+IF(L254&lt;=79.99,4,IF(L254&lt;=99.99,16,IF(L254&lt;=199.99,20,IF(L254&lt;=499.99,26,28)))))-L254*1.3%-L254*6%-(L254-O254)*9.25%-L254*3%-L254*3%-1)</f>
        <v/>
      </c>
      <c r="Q254" s="22">
        <f>IF(AND(K254&lt;&gt;"",H254&gt;0),(H254-K254)/H254,"")</f>
        <v/>
      </c>
      <c r="R254" s="19" t="inlineStr">
        <is>
          <t>909477973245952</t>
        </is>
      </c>
      <c r="S254" s="23" t="n">
        <v>46144.38263888889</v>
      </c>
      <c r="T254" s="23" t="n">
        <v>46295.4375</v>
      </c>
      <c r="U254" s="19" t="inlineStr">
        <is>
          <t>100924</t>
        </is>
      </c>
      <c r="V254" t="inlineStr">
        <is>
          <t>215315</t>
        </is>
      </c>
      <c r="W254" t="inlineStr">
        <is>
          <t>venda casada (1 pedido)</t>
        </is>
      </c>
      <c r="X254" t="n">
        <v>1</v>
      </c>
      <c r="Y254" t="inlineStr">
        <is>
          <t>⚠ evidência fraca (1 pedido)</t>
        </is>
      </c>
    </row>
    <row r="255" ht="15" customFormat="1" customHeight="1" s="14">
      <c r="A255" s="19" t="inlineStr">
        <is>
          <t>Espaço De Bicho</t>
        </is>
      </c>
      <c r="B255" s="19" t="inlineStr">
        <is>
          <t>Catnip Erva Para Gatos Premium Estimulante Felino 4gr IpetCatnip</t>
        </is>
      </c>
      <c r="C255" s="19" t="inlineStr">
        <is>
          <t>Sem variação</t>
        </is>
      </c>
      <c r="D255" s="19" t="inlineStr">
        <is>
          <t>ERVA-IPETCATNIP-4G</t>
        </is>
      </c>
      <c r="E255" s="19" t="inlineStr">
        <is>
          <t>58256315963</t>
        </is>
      </c>
      <c r="F255" s="19" t="inlineStr">
        <is>
          <t>0</t>
        </is>
      </c>
      <c r="G255" s="19" t="inlineStr">
        <is>
          <t>NORMAL</t>
        </is>
      </c>
      <c r="H255" s="20" t="n">
        <v>59.9</v>
      </c>
      <c r="I255" s="20" t="n">
        <v>19.9</v>
      </c>
      <c r="J255" s="21" t="inlineStr">
        <is>
          <t>SIM</t>
        </is>
      </c>
      <c r="K255" s="20" t="n">
        <v>19.9</v>
      </c>
      <c r="L255" s="35">
        <f>IF(K255&lt;&gt;"",K255,I255)</f>
        <v/>
      </c>
      <c r="M255" s="81" t="n">
        <v>1</v>
      </c>
      <c r="N255" s="82" t="n">
        <v>5.34</v>
      </c>
      <c r="O255" s="80">
        <f>ROUND(M255*N255,2)</f>
        <v/>
      </c>
      <c r="P255" s="80">
        <f>IF($O255="","",L255-O255-(L255*IF(L255&lt;=79.99,20%,14%)+IF(L255&lt;=79.99,4,IF(L255&lt;=99.99,16,IF(L255&lt;=199.99,20,IF(L255&lt;=499.99,26,28)))))-L255*1.3%-L255*6%-(L255-O255)*9.25%-L255*3%-L255*3%-1)</f>
        <v/>
      </c>
      <c r="Q255" s="22">
        <f>IF(AND(K255&lt;&gt;"",H255&gt;0),(H255-K255)/H255,"")</f>
        <v/>
      </c>
      <c r="R255" s="19" t="inlineStr">
        <is>
          <t>909477973245952</t>
        </is>
      </c>
      <c r="S255" s="23" t="n">
        <v>46144.38263888889</v>
      </c>
      <c r="T255" s="23" t="n">
        <v>46295.4375</v>
      </c>
      <c r="U255" s="19" t="inlineStr">
        <is>
          <t>100909</t>
        </is>
      </c>
      <c r="V255" t="inlineStr">
        <is>
          <t>215302</t>
        </is>
      </c>
      <c r="W255" t="inlineStr">
        <is>
          <t>venda casada (20 pedidos)</t>
        </is>
      </c>
      <c r="X255" t="n">
        <v>20</v>
      </c>
      <c r="Y255" t="inlineStr">
        <is>
          <t>ok</t>
        </is>
      </c>
    </row>
    <row r="256" ht="15" customFormat="1" customHeight="1" s="19">
      <c r="A256" s="14" t="inlineStr">
        <is>
          <t>Espaço De Bicho</t>
        </is>
      </c>
      <c r="B256" s="14" t="inlineStr">
        <is>
          <t>Chemital Plus Chemitec Vermífugo para Cães - 4 Comprimidos</t>
        </is>
      </c>
      <c r="C256" s="14" t="inlineStr">
        <is>
          <t>Sem variação</t>
        </is>
      </c>
      <c r="D256" s="14" t="inlineStr">
        <is>
          <t>CHEMITAL-PLUS-CÃES</t>
        </is>
      </c>
      <c r="E256" s="14" t="inlineStr">
        <is>
          <t>48964805639</t>
        </is>
      </c>
      <c r="F256" s="14" t="inlineStr">
        <is>
          <t>0</t>
        </is>
      </c>
      <c r="G256" s="14" t="inlineStr">
        <is>
          <t>NORMAL</t>
        </is>
      </c>
      <c r="H256" s="15" t="n">
        <v>39.9</v>
      </c>
      <c r="I256" s="15" t="n">
        <v>17.9</v>
      </c>
      <c r="J256" s="16" t="inlineStr">
        <is>
          <t>SIM</t>
        </is>
      </c>
      <c r="K256" s="15" t="n">
        <v>17.9</v>
      </c>
      <c r="L256" s="35">
        <f>IF(K256&lt;&gt;"",K256,I256)</f>
        <v/>
      </c>
      <c r="M256" s="28" t="n"/>
      <c r="N256" s="28" t="n"/>
      <c r="O256" s="29" t="n"/>
      <c r="P256" s="80">
        <f>IF($O256="","",L256-O256-(L256*IF(L256&lt;=79.99,20%,14%)+IF(L256&lt;=79.99,4,IF(L256&lt;=99.99,16,IF(L256&lt;=199.99,20,IF(L256&lt;=499.99,26,28)))))-L256*1.3%-L256*6%-(L256-O256)*9.25%-L256*3%-L256*3%-1)</f>
        <v/>
      </c>
      <c r="Q256" s="17">
        <f>IF(AND(K256&lt;&gt;"",H256&gt;0),(H256-K256)/H256,"")</f>
        <v/>
      </c>
      <c r="R256" s="14" t="inlineStr">
        <is>
          <t>909477973245952</t>
        </is>
      </c>
      <c r="S256" s="18" t="n">
        <v>46144.38263888889</v>
      </c>
      <c r="T256" s="18" t="n">
        <v>46295.4375</v>
      </c>
      <c r="U256" s="14" t="inlineStr">
        <is>
          <t>100942</t>
        </is>
      </c>
      <c r="W256" t="inlineStr">
        <is>
          <t>sem correspondência</t>
        </is>
      </c>
      <c r="Y256" t="inlineStr"/>
    </row>
    <row r="257" ht="15" customFormat="1" customHeight="1" s="14">
      <c r="A257" s="19" t="inlineStr">
        <is>
          <t>Espaço De Bicho</t>
        </is>
      </c>
      <c r="B257" s="19" t="inlineStr">
        <is>
          <t>Comprimido Cardisure 1,25mg com 80 Comprimidos Medicamentos Pet</t>
        </is>
      </c>
      <c r="C257" s="19" t="inlineStr">
        <is>
          <t>Sem variação</t>
        </is>
      </c>
      <c r="D257" s="19" t="inlineStr">
        <is>
          <t>CARDISURE-1.25MG</t>
        </is>
      </c>
      <c r="E257" s="19" t="inlineStr">
        <is>
          <t>21999547510</t>
        </is>
      </c>
      <c r="F257" s="19" t="inlineStr">
        <is>
          <t>0</t>
        </is>
      </c>
      <c r="G257" s="19" t="inlineStr">
        <is>
          <t>NORMAL</t>
        </is>
      </c>
      <c r="H257" s="20" t="n">
        <v>350.9</v>
      </c>
      <c r="I257" s="20" t="n">
        <v>299.9</v>
      </c>
      <c r="J257" s="21" t="inlineStr">
        <is>
          <t>SIM</t>
        </is>
      </c>
      <c r="K257" s="20" t="n">
        <v>299.9</v>
      </c>
      <c r="L257" s="35">
        <f>IF(K257&lt;&gt;"",K257,I257)</f>
        <v/>
      </c>
      <c r="M257" s="30" t="n"/>
      <c r="N257" s="30" t="n"/>
      <c r="O257" s="29" t="n"/>
      <c r="P257" s="80">
        <f>IF($O257="","",L257-O257-(L257*IF(L257&lt;=79.99,20%,14%)+IF(L257&lt;=79.99,4,IF(L257&lt;=99.99,16,IF(L257&lt;=199.99,20,IF(L257&lt;=499.99,26,28)))))-L257*1.3%-L257*6%-(L257-O257)*9.25%-L257*3%-L257*3%-1)</f>
        <v/>
      </c>
      <c r="Q257" s="22">
        <f>IF(AND(K257&lt;&gt;"",H257&gt;0),(H257-K257)/H257,"")</f>
        <v/>
      </c>
      <c r="R257" s="19" t="inlineStr">
        <is>
          <t>909477973245952</t>
        </is>
      </c>
      <c r="S257" s="23" t="n">
        <v>46144.38263888889</v>
      </c>
      <c r="T257" s="23" t="n">
        <v>46295.4375</v>
      </c>
      <c r="U257" s="19" t="inlineStr">
        <is>
          <t>100942</t>
        </is>
      </c>
      <c r="W257" t="inlineStr">
        <is>
          <t>sem correspondência</t>
        </is>
      </c>
      <c r="Y257" t="inlineStr"/>
    </row>
    <row r="258" ht="15" customFormat="1" customHeight="1" s="19">
      <c r="A258" s="14" t="inlineStr">
        <is>
          <t>Espaço De Bicho</t>
        </is>
      </c>
      <c r="B258" s="14" t="inlineStr">
        <is>
          <t>Comprimido Cardisure 10mg com 80 Comprimidos Medicamentos Pet</t>
        </is>
      </c>
      <c r="C258" s="14" t="inlineStr">
        <is>
          <t>Sem variação</t>
        </is>
      </c>
      <c r="D258" s="14" t="inlineStr">
        <is>
          <t>CARDISURE-10MG</t>
        </is>
      </c>
      <c r="E258" s="14" t="inlineStr">
        <is>
          <t>21997969094</t>
        </is>
      </c>
      <c r="F258" s="14" t="inlineStr">
        <is>
          <t>0</t>
        </is>
      </c>
      <c r="G258" s="14" t="inlineStr">
        <is>
          <t>NORMAL</t>
        </is>
      </c>
      <c r="H258" s="15" t="n">
        <v>750.9</v>
      </c>
      <c r="I258" s="15" t="n">
        <v>699.9</v>
      </c>
      <c r="J258" s="16" t="inlineStr">
        <is>
          <t>SIM</t>
        </is>
      </c>
      <c r="K258" s="15" t="n">
        <v>699.9</v>
      </c>
      <c r="L258" s="35">
        <f>IF(K258&lt;&gt;"",K258,I258)</f>
        <v/>
      </c>
      <c r="M258" s="28" t="n"/>
      <c r="N258" s="28" t="n"/>
      <c r="O258" s="29" t="n"/>
      <c r="P258" s="80">
        <f>IF($O258="","",L258-O258-(L258*IF(L258&lt;=79.99,20%,14%)+IF(L258&lt;=79.99,4,IF(L258&lt;=99.99,16,IF(L258&lt;=199.99,20,IF(L258&lt;=499.99,26,28)))))-L258*1.3%-L258*6%-(L258-O258)*9.25%-L258*3%-L258*3%-1)</f>
        <v/>
      </c>
      <c r="Q258" s="17">
        <f>IF(AND(K258&lt;&gt;"",H258&gt;0),(H258-K258)/H258,"")</f>
        <v/>
      </c>
      <c r="R258" s="14" t="inlineStr">
        <is>
          <t>909477973245952</t>
        </is>
      </c>
      <c r="S258" s="18" t="n">
        <v>46144.38263888889</v>
      </c>
      <c r="T258" s="18" t="n">
        <v>46295.4375</v>
      </c>
      <c r="U258" s="14" t="inlineStr">
        <is>
          <t>100942</t>
        </is>
      </c>
      <c r="W258" t="inlineStr">
        <is>
          <t>sem correspondência</t>
        </is>
      </c>
      <c r="Y258" t="inlineStr"/>
    </row>
    <row r="259" ht="15" customFormat="1" customHeight="1" s="14">
      <c r="A259" s="19" t="inlineStr">
        <is>
          <t>Espaço De Bicho</t>
        </is>
      </c>
      <c r="B259" s="19" t="inlineStr">
        <is>
          <t>Condroton Regenerador Articular 60 Comp. 500mg - Vetnil condroitina e glucosamina</t>
        </is>
      </c>
      <c r="C259" s="19" t="inlineStr">
        <is>
          <t>Sem variação</t>
        </is>
      </c>
      <c r="D259" s="19" t="inlineStr">
        <is>
          <t>CONDROTON-60COMP-VETNIL</t>
        </is>
      </c>
      <c r="E259" s="19" t="inlineStr">
        <is>
          <t>23394367294</t>
        </is>
      </c>
      <c r="F259" s="19" t="inlineStr">
        <is>
          <t>0</t>
        </is>
      </c>
      <c r="G259" s="19" t="inlineStr">
        <is>
          <t>NORMAL</t>
        </is>
      </c>
      <c r="H259" s="20" t="n">
        <v>199.9</v>
      </c>
      <c r="I259" s="20" t="n">
        <v>119.9</v>
      </c>
      <c r="J259" s="21" t="inlineStr">
        <is>
          <t>SIM</t>
        </is>
      </c>
      <c r="K259" s="20" t="n">
        <v>119.9</v>
      </c>
      <c r="L259" s="35">
        <f>IF(K259&lt;&gt;"",K259,I259)</f>
        <v/>
      </c>
      <c r="M259" s="30" t="n"/>
      <c r="N259" s="30" t="n"/>
      <c r="O259" s="29" t="n"/>
      <c r="P259" s="80">
        <f>IF($O259="","",L259-O259-(L259*IF(L259&lt;=79.99,20%,14%)+IF(L259&lt;=79.99,4,IF(L259&lt;=99.99,16,IF(L259&lt;=199.99,20,IF(L259&lt;=499.99,26,28)))))-L259*1.3%-L259*6%-(L259-O259)*9.25%-L259*3%-L259*3%-1)</f>
        <v/>
      </c>
      <c r="Q259" s="22">
        <f>IF(AND(K259&lt;&gt;"",H259&gt;0),(H259-K259)/H259,"")</f>
        <v/>
      </c>
      <c r="R259" s="19" t="inlineStr">
        <is>
          <t>909477973245952</t>
        </is>
      </c>
      <c r="S259" s="23" t="n">
        <v>46144.38263888889</v>
      </c>
      <c r="T259" s="23" t="n">
        <v>46295.4375</v>
      </c>
      <c r="U259" s="19" t="inlineStr">
        <is>
          <t>100944</t>
        </is>
      </c>
      <c r="W259" t="inlineStr">
        <is>
          <t>sem correspondência</t>
        </is>
      </c>
      <c r="Y259" t="inlineStr"/>
    </row>
    <row r="260" ht="15" customFormat="1" customHeight="1" s="19">
      <c r="A260" s="14" t="inlineStr">
        <is>
          <t>Espaço De Bicho</t>
        </is>
      </c>
      <c r="B260" s="14" t="inlineStr">
        <is>
          <t>Creatina 2kg Atp Lavizoo Horse Premium Suplemento Equinos</t>
        </is>
      </c>
      <c r="C260" s="14" t="inlineStr">
        <is>
          <t>Sem variação</t>
        </is>
      </c>
      <c r="D260" s="14" t="inlineStr">
        <is>
          <t>CREATINA-ATP-2KG</t>
        </is>
      </c>
      <c r="E260" s="14" t="inlineStr">
        <is>
          <t>20599247382</t>
        </is>
      </c>
      <c r="F260" s="14" t="inlineStr">
        <is>
          <t>0</t>
        </is>
      </c>
      <c r="G260" s="14" t="inlineStr">
        <is>
          <t>NORMAL</t>
        </is>
      </c>
      <c r="H260" s="15" t="n">
        <v>999.9</v>
      </c>
      <c r="I260" s="15" t="n">
        <v>829.35</v>
      </c>
      <c r="J260" s="16" t="inlineStr">
        <is>
          <t>SIM</t>
        </is>
      </c>
      <c r="K260" s="15" t="n">
        <v>829.35</v>
      </c>
      <c r="L260" s="35">
        <f>IF(K260&lt;&gt;"",K260,I260)</f>
        <v/>
      </c>
      <c r="M260" s="28" t="n"/>
      <c r="N260" s="28" t="n"/>
      <c r="O260" s="29" t="n"/>
      <c r="P260" s="80">
        <f>IF($O260="","",L260-O260-(L260*IF(L260&lt;=79.99,20%,14%)+IF(L260&lt;=79.99,4,IF(L260&lt;=99.99,16,IF(L260&lt;=199.99,20,IF(L260&lt;=499.99,26,28)))))-L260*1.3%-L260*6%-(L260-O260)*9.25%-L260*3%-L260*3%-1)</f>
        <v/>
      </c>
      <c r="Q260" s="17">
        <f>IF(AND(K260&lt;&gt;"",H260&gt;0),(H260-K260)/H260,"")</f>
        <v/>
      </c>
      <c r="R260" s="14" t="inlineStr">
        <is>
          <t>909477973245952</t>
        </is>
      </c>
      <c r="S260" s="18" t="n">
        <v>46144.38263888889</v>
      </c>
      <c r="T260" s="18" t="n">
        <v>46295.4375</v>
      </c>
      <c r="U260" s="14" t="inlineStr">
        <is>
          <t>100944</t>
        </is>
      </c>
      <c r="W260" t="inlineStr">
        <is>
          <t>sem correspondência</t>
        </is>
      </c>
      <c r="Y260" t="inlineStr"/>
    </row>
    <row r="261" ht="15" customFormat="1" customHeight="1" s="14">
      <c r="A261" s="19" t="inlineStr">
        <is>
          <t>Espaço De Bicho</t>
        </is>
      </c>
      <c r="B261" s="19" t="inlineStr">
        <is>
          <t>Curso Fynn - 14 Gr - Vitamina De Banana</t>
        </is>
      </c>
      <c r="C261" s="19" t="inlineStr">
        <is>
          <t>Sem variação</t>
        </is>
      </c>
      <c r="D261" s="19" t="inlineStr">
        <is>
          <t>CURSO-FYNN-30G</t>
        </is>
      </c>
      <c r="E261" s="19" t="inlineStr">
        <is>
          <t>23497479451</t>
        </is>
      </c>
      <c r="F261" s="19" t="inlineStr">
        <is>
          <t>0</t>
        </is>
      </c>
      <c r="G261" s="19" t="inlineStr">
        <is>
          <t>NORMAL</t>
        </is>
      </c>
      <c r="H261" s="20" t="n">
        <v>49.9</v>
      </c>
      <c r="I261" s="20" t="n">
        <v>33.5</v>
      </c>
      <c r="J261" s="21" t="inlineStr">
        <is>
          <t>SIM</t>
        </is>
      </c>
      <c r="K261" s="20" t="n">
        <v>33.5</v>
      </c>
      <c r="L261" s="35">
        <f>IF(K261&lt;&gt;"",K261,I261)</f>
        <v/>
      </c>
      <c r="M261" s="30" t="n"/>
      <c r="N261" s="30" t="n"/>
      <c r="O261" s="29" t="n"/>
      <c r="P261" s="80">
        <f>IF($O261="","",L261-O261-(L261*IF(L261&lt;=79.99,20%,14%)+IF(L261&lt;=79.99,4,IF(L261&lt;=99.99,16,IF(L261&lt;=199.99,20,IF(L261&lt;=499.99,26,28)))))-L261*1.3%-L261*6%-(L261-O261)*9.25%-L261*3%-L261*3%-1)</f>
        <v/>
      </c>
      <c r="Q261" s="22">
        <f>IF(AND(K261&lt;&gt;"",H261&gt;0),(H261-K261)/H261,"")</f>
        <v/>
      </c>
      <c r="R261" s="19" t="inlineStr">
        <is>
          <t>909477973245952</t>
        </is>
      </c>
      <c r="S261" s="23" t="n">
        <v>46144.38263888889</v>
      </c>
      <c r="T261" s="23" t="n">
        <v>46295.4375</v>
      </c>
      <c r="U261" s="19" t="inlineStr">
        <is>
          <t>100944</t>
        </is>
      </c>
      <c r="W261" t="inlineStr">
        <is>
          <t>sem correspondência</t>
        </is>
      </c>
      <c r="Y261" t="inlineStr"/>
    </row>
    <row r="262" ht="15" customFormat="1" customHeight="1" s="19">
      <c r="A262" s="14" t="inlineStr">
        <is>
          <t>Espaço De Bicho</t>
        </is>
      </c>
      <c r="B262" s="14" t="inlineStr">
        <is>
          <t>Dedeira para Limpeza Dental Pet Clean para Cães e Gatos</t>
        </is>
      </c>
      <c r="C262" s="14" t="inlineStr">
        <is>
          <t>Sem variação</t>
        </is>
      </c>
      <c r="D262" s="14" t="inlineStr">
        <is>
          <t>DEDEIRA-PET</t>
        </is>
      </c>
      <c r="E262" s="14" t="inlineStr">
        <is>
          <t>23898067963</t>
        </is>
      </c>
      <c r="F262" s="14" t="inlineStr">
        <is>
          <t>0</t>
        </is>
      </c>
      <c r="G262" s="14" t="inlineStr">
        <is>
          <t>NORMAL</t>
        </is>
      </c>
      <c r="H262" s="15" t="n">
        <v>5.9</v>
      </c>
      <c r="I262" s="15" t="n">
        <v>5.9</v>
      </c>
      <c r="J262" s="16" t="inlineStr">
        <is>
          <t>NÃO</t>
        </is>
      </c>
      <c r="K262" s="15" t="n"/>
      <c r="L262" s="35">
        <f>IF(K262&lt;&gt;"",K262,I262)</f>
        <v/>
      </c>
      <c r="M262" s="84" t="n">
        <v>1</v>
      </c>
      <c r="N262" s="85" t="n">
        <v>0.35</v>
      </c>
      <c r="O262" s="80">
        <f>ROUND(M262*N262,2)</f>
        <v/>
      </c>
      <c r="P262" s="80">
        <f>IF($O262="","",L262-O262-(L262*IF(L262&lt;=79.99,20%,14%)+IF(L262&lt;=79.99,4,IF(L262&lt;=99.99,16,IF(L262&lt;=199.99,20,IF(L262&lt;=499.99,26,28)))))-L262*1.3%-L262*6%-(L262-O262)*9.25%-L262*3%-L262*3%-1)</f>
        <v/>
      </c>
      <c r="Q262" s="17">
        <f>IF(AND(K262&lt;&gt;"",H262&gt;0),(H262-K262)/H262,"")</f>
        <v/>
      </c>
      <c r="R262" s="14" t="inlineStr"/>
      <c r="S262" s="18" t="n"/>
      <c r="T262" s="18" t="n"/>
      <c r="U262" s="14" t="inlineStr">
        <is>
          <t>100930</t>
        </is>
      </c>
      <c r="V262" t="inlineStr">
        <is>
          <t>213134</t>
        </is>
      </c>
      <c r="W262" t="inlineStr">
        <is>
          <t>venda casada (628 pedidos)</t>
        </is>
      </c>
      <c r="X262" t="n">
        <v>628</v>
      </c>
      <c r="Y262" t="inlineStr">
        <is>
          <t>ok</t>
        </is>
      </c>
    </row>
    <row r="263" ht="15" customFormat="1" customHeight="1" s="14">
      <c r="A263" s="19" t="inlineStr">
        <is>
          <t>Espaço De Bicho</t>
        </is>
      </c>
      <c r="B263" s="19" t="inlineStr">
        <is>
          <t>Defenza 400mg 20kg-40kg Antipulgas Carrapatos E Sarna Caes</t>
        </is>
      </c>
      <c r="C263" s="19" t="inlineStr">
        <is>
          <t>Sem variação</t>
        </is>
      </c>
      <c r="D263" s="19" t="inlineStr">
        <is>
          <t>211384</t>
        </is>
      </c>
      <c r="E263" s="19" t="inlineStr">
        <is>
          <t>23397507681</t>
        </is>
      </c>
      <c r="F263" s="19" t="inlineStr">
        <is>
          <t>0</t>
        </is>
      </c>
      <c r="G263" s="19" t="inlineStr">
        <is>
          <t>NORMAL</t>
        </is>
      </c>
      <c r="H263" s="20" t="n">
        <v>199.9</v>
      </c>
      <c r="I263" s="20" t="n">
        <v>199.9</v>
      </c>
      <c r="J263" s="21" t="inlineStr">
        <is>
          <t>NÃO</t>
        </is>
      </c>
      <c r="K263" s="20" t="n"/>
      <c r="L263" s="35">
        <f>IF(K263&lt;&gt;"",K263,I263)</f>
        <v/>
      </c>
      <c r="M263" s="81" t="n">
        <v>1</v>
      </c>
      <c r="N263" s="82" t="n">
        <v>97.90000000000001</v>
      </c>
      <c r="O263" s="83">
        <f>ROUND(M263*N263,2)</f>
        <v/>
      </c>
      <c r="P263" s="80">
        <f>IF($O263="","",L263-O263-(L263*IF(L263&lt;=79.99,20%,14%)+IF(L263&lt;=79.99,4,IF(L263&lt;=99.99,16,IF(L263&lt;=199.99,20,IF(L263&lt;=499.99,26,28)))))-L263*1.3%-L263*6%-(L263-O263)*9.25%-L263*3%-L263*3%-1)</f>
        <v/>
      </c>
      <c r="Q263" s="22">
        <f>IF(AND(K263&lt;&gt;"",H263&gt;0),(H263-K263)/H263,"")</f>
        <v/>
      </c>
      <c r="R263" s="19" t="inlineStr"/>
      <c r="S263" s="23" t="n"/>
      <c r="T263" s="23" t="n"/>
      <c r="U263" s="19" t="inlineStr">
        <is>
          <t>100942</t>
        </is>
      </c>
      <c r="V263" t="inlineStr">
        <is>
          <t>213674</t>
        </is>
      </c>
      <c r="W263" t="inlineStr">
        <is>
          <t>venda casada (1 pedido)</t>
        </is>
      </c>
      <c r="X263" t="n">
        <v>1</v>
      </c>
      <c r="Y263" t="inlineStr">
        <is>
          <t>⚠ evidência fraca (1 pedido)</t>
        </is>
      </c>
    </row>
    <row r="264" ht="15" customFormat="1" customHeight="1" s="19">
      <c r="A264" s="14" t="inlineStr">
        <is>
          <t>Espaço De Bicho</t>
        </is>
      </c>
      <c r="B264" s="14" t="inlineStr">
        <is>
          <t>Duotrill 50mg Cães E Gatos 120 Comprimidos - Duprat</t>
        </is>
      </c>
      <c r="C264" s="14" t="inlineStr">
        <is>
          <t>Sem variação</t>
        </is>
      </c>
      <c r="D264" s="14" t="inlineStr">
        <is>
          <t>DUOTRILL-50MG-120COMP</t>
        </is>
      </c>
      <c r="E264" s="14" t="inlineStr">
        <is>
          <t>22799054205</t>
        </is>
      </c>
      <c r="F264" s="14" t="inlineStr">
        <is>
          <t>0</t>
        </is>
      </c>
      <c r="G264" s="14" t="inlineStr">
        <is>
          <t>NORMAL</t>
        </is>
      </c>
      <c r="H264" s="15" t="n">
        <v>299.9</v>
      </c>
      <c r="I264" s="15" t="n">
        <v>190.9</v>
      </c>
      <c r="J264" s="16" t="inlineStr">
        <is>
          <t>SIM</t>
        </is>
      </c>
      <c r="K264" s="15" t="n">
        <v>190.9</v>
      </c>
      <c r="L264" s="35">
        <f>IF(K264&lt;&gt;"",K264,I264)</f>
        <v/>
      </c>
      <c r="M264" s="28" t="n"/>
      <c r="N264" s="28" t="n"/>
      <c r="O264" s="29" t="n"/>
      <c r="P264" s="80">
        <f>IF($O264="","",L264-O264-(L264*IF(L264&lt;=79.99,20%,14%)+IF(L264&lt;=79.99,4,IF(L264&lt;=99.99,16,IF(L264&lt;=199.99,20,IF(L264&lt;=499.99,26,28)))))-L264*1.3%-L264*6%-(L264-O264)*9.25%-L264*3%-L264*3%-1)</f>
        <v/>
      </c>
      <c r="Q264" s="17">
        <f>IF(AND(K264&lt;&gt;"",H264&gt;0),(H264-K264)/H264,"")</f>
        <v/>
      </c>
      <c r="R264" s="14" t="inlineStr">
        <is>
          <t>909477973245952</t>
        </is>
      </c>
      <c r="S264" s="18" t="n">
        <v>46144.38263888889</v>
      </c>
      <c r="T264" s="18" t="n">
        <v>46295.4375</v>
      </c>
      <c r="U264" s="14" t="inlineStr">
        <is>
          <t>100942</t>
        </is>
      </c>
      <c r="W264" t="inlineStr">
        <is>
          <t>sem correspondência</t>
        </is>
      </c>
      <c r="Y264" t="inlineStr"/>
    </row>
    <row r="265" ht="15" customFormat="1" customHeight="1" s="14">
      <c r="A265" s="19" t="inlineStr">
        <is>
          <t>Espaço De Bicho</t>
        </is>
      </c>
      <c r="B265" s="19" t="inlineStr">
        <is>
          <t>Duprancil 100g Antibactericida  Em Pó Cães E Gatos - Duprat</t>
        </is>
      </c>
      <c r="C265" s="19" t="inlineStr">
        <is>
          <t>Sem variação</t>
        </is>
      </c>
      <c r="D265" s="19" t="inlineStr">
        <is>
          <t>DUPRANCIL-100G</t>
        </is>
      </c>
      <c r="E265" s="19" t="inlineStr">
        <is>
          <t>23694546463</t>
        </is>
      </c>
      <c r="F265" s="19" t="inlineStr">
        <is>
          <t>0</t>
        </is>
      </c>
      <c r="G265" s="19" t="inlineStr">
        <is>
          <t>NORMAL</t>
        </is>
      </c>
      <c r="H265" s="20" t="n">
        <v>199.9</v>
      </c>
      <c r="I265" s="20" t="n">
        <v>140.9</v>
      </c>
      <c r="J265" s="21" t="inlineStr">
        <is>
          <t>SIM</t>
        </is>
      </c>
      <c r="K265" s="20" t="n">
        <v>140.9</v>
      </c>
      <c r="L265" s="35">
        <f>IF(K265&lt;&gt;"",K265,I265)</f>
        <v/>
      </c>
      <c r="M265" s="30" t="n"/>
      <c r="N265" s="30" t="n"/>
      <c r="O265" s="29" t="n"/>
      <c r="P265" s="80">
        <f>IF($O265="","",L265-O265-(L265*IF(L265&lt;=79.99,20%,14%)+IF(L265&lt;=79.99,4,IF(L265&lt;=99.99,16,IF(L265&lt;=199.99,20,IF(L265&lt;=499.99,26,28)))))-L265*1.3%-L265*6%-(L265-O265)*9.25%-L265*3%-L265*3%-1)</f>
        <v/>
      </c>
      <c r="Q265" s="22">
        <f>IF(AND(K265&lt;&gt;"",H265&gt;0),(H265-K265)/H265,"")</f>
        <v/>
      </c>
      <c r="R265" s="19" t="inlineStr">
        <is>
          <t>909477973245952</t>
        </is>
      </c>
      <c r="S265" s="23" t="n">
        <v>46144.38263888889</v>
      </c>
      <c r="T265" s="23" t="n">
        <v>46295.4375</v>
      </c>
      <c r="U265" s="19" t="inlineStr">
        <is>
          <t>100942</t>
        </is>
      </c>
      <c r="W265" t="inlineStr">
        <is>
          <t>sem correspondência</t>
        </is>
      </c>
      <c r="Y265" t="inlineStr"/>
    </row>
    <row r="266" ht="15" customFormat="1" customHeight="1" s="19">
      <c r="A266" s="14" t="inlineStr">
        <is>
          <t>Espaço De Bicho</t>
        </is>
      </c>
      <c r="B266" s="14" t="inlineStr">
        <is>
          <t>Duprancil 40g Antibactericida Em Pó Cães E Gatos - Duprat</t>
        </is>
      </c>
      <c r="C266" s="14" t="inlineStr">
        <is>
          <t>Sem variação</t>
        </is>
      </c>
      <c r="D266" s="14" t="inlineStr">
        <is>
          <t>DUPRANCIL-40G</t>
        </is>
      </c>
      <c r="E266" s="14" t="inlineStr">
        <is>
          <t>20199903870</t>
        </is>
      </c>
      <c r="F266" s="14" t="inlineStr">
        <is>
          <t>0</t>
        </is>
      </c>
      <c r="G266" s="14" t="inlineStr">
        <is>
          <t>NORMAL</t>
        </is>
      </c>
      <c r="H266" s="15" t="n">
        <v>99.90000000000001</v>
      </c>
      <c r="I266" s="15" t="n">
        <v>35.9</v>
      </c>
      <c r="J266" s="16" t="inlineStr">
        <is>
          <t>SIM</t>
        </is>
      </c>
      <c r="K266" s="15" t="n">
        <v>35.9</v>
      </c>
      <c r="L266" s="35">
        <f>IF(K266&lt;&gt;"",K266,I266)</f>
        <v/>
      </c>
      <c r="M266" s="84" t="n">
        <v>1</v>
      </c>
      <c r="N266" s="85" t="n">
        <v>17.42</v>
      </c>
      <c r="O266" s="80">
        <f>ROUND(M266*N266,2)</f>
        <v/>
      </c>
      <c r="P266" s="80">
        <f>IF($O266="","",L266-O266-(L266*IF(L266&lt;=79.99,20%,14%)+IF(L266&lt;=79.99,4,IF(L266&lt;=99.99,16,IF(L266&lt;=199.99,20,IF(L266&lt;=499.99,26,28)))))-L266*1.3%-L266*6%-(L266-O266)*9.25%-L266*3%-L266*3%-1)</f>
        <v/>
      </c>
      <c r="Q266" s="17">
        <f>IF(AND(K266&lt;&gt;"",H266&gt;0),(H266-K266)/H266,"")</f>
        <v/>
      </c>
      <c r="R266" s="14" t="inlineStr">
        <is>
          <t>909477973245952</t>
        </is>
      </c>
      <c r="S266" s="18" t="n">
        <v>46144.38263888889</v>
      </c>
      <c r="T266" s="18" t="n">
        <v>46295.4375</v>
      </c>
      <c r="U266" s="14" t="inlineStr">
        <is>
          <t>100942</t>
        </is>
      </c>
      <c r="V266" t="inlineStr">
        <is>
          <t>213413</t>
        </is>
      </c>
      <c r="W266" t="inlineStr">
        <is>
          <t>venda casada (7 pedidos)</t>
        </is>
      </c>
      <c r="X266" t="n">
        <v>7</v>
      </c>
      <c r="Y266" t="inlineStr">
        <is>
          <t>ok</t>
        </is>
      </c>
    </row>
    <row r="267" ht="15" customFormat="1" customHeight="1" s="14">
      <c r="A267" s="19" t="inlineStr">
        <is>
          <t>Espaço De Bicho</t>
        </is>
      </c>
      <c r="B267" s="19" t="inlineStr">
        <is>
          <t>Duprantel Plus Vermífugo Cães 4 Comprimidos Verme Nematódeos</t>
        </is>
      </c>
      <c r="C267" s="19" t="inlineStr">
        <is>
          <t>Sem variação</t>
        </is>
      </c>
      <c r="D267" s="19" t="inlineStr">
        <is>
          <t>DUPRANTEL-PLUS-4COMPS</t>
        </is>
      </c>
      <c r="E267" s="19" t="inlineStr">
        <is>
          <t>23099048350</t>
        </is>
      </c>
      <c r="F267" s="19" t="inlineStr">
        <is>
          <t>0</t>
        </is>
      </c>
      <c r="G267" s="19" t="inlineStr">
        <is>
          <t>NORMAL</t>
        </is>
      </c>
      <c r="H267" s="20" t="n">
        <v>59.9</v>
      </c>
      <c r="I267" s="20" t="n">
        <v>19.9</v>
      </c>
      <c r="J267" s="21" t="inlineStr">
        <is>
          <t>SIM</t>
        </is>
      </c>
      <c r="K267" s="20" t="n">
        <v>19.9</v>
      </c>
      <c r="L267" s="35">
        <f>IF(K267&lt;&gt;"",K267,I267)</f>
        <v/>
      </c>
      <c r="M267" s="81" t="n">
        <v>2</v>
      </c>
      <c r="N267" s="82" t="n">
        <v>3.93</v>
      </c>
      <c r="O267" s="80">
        <f>ROUND(M267*N267,2)</f>
        <v/>
      </c>
      <c r="P267" s="80">
        <f>IF($O267="","",L267-O267-(L267*IF(L267&lt;=79.99,20%,14%)+IF(L267&lt;=79.99,4,IF(L267&lt;=99.99,16,IF(L267&lt;=199.99,20,IF(L267&lt;=499.99,26,28)))))-L267*1.3%-L267*6%-(L267-O267)*9.25%-L267*3%-L267*3%-1)</f>
        <v/>
      </c>
      <c r="Q267" s="22">
        <f>IF(AND(K267&lt;&gt;"",H267&gt;0),(H267-K267)/H267,"")</f>
        <v/>
      </c>
      <c r="R267" s="19" t="inlineStr">
        <is>
          <t>909477973245952</t>
        </is>
      </c>
      <c r="S267" s="23" t="n">
        <v>46144.38263888889</v>
      </c>
      <c r="T267" s="23" t="n">
        <v>46295.4375</v>
      </c>
      <c r="U267" s="19" t="inlineStr">
        <is>
          <t>100942</t>
        </is>
      </c>
      <c r="V267" t="inlineStr">
        <is>
          <t>214904</t>
        </is>
      </c>
      <c r="W267" t="inlineStr">
        <is>
          <t>venda casada (2 pedidos) · custo do KIT 214922 (2× 214904)</t>
        </is>
      </c>
      <c r="X267" t="n">
        <v>2</v>
      </c>
      <c r="Y267" t="inlineStr">
        <is>
          <t>ok</t>
        </is>
      </c>
    </row>
    <row r="268" ht="15" customFormat="1" customHeight="1" s="19">
      <c r="A268" s="14" t="inlineStr">
        <is>
          <t>Espaço De Bicho</t>
        </is>
      </c>
      <c r="B268" s="14" t="inlineStr">
        <is>
          <t>EC PET 0,67mL Chemitec Antipulgas e Carrapatos - Cães até 10Kg</t>
        </is>
      </c>
      <c r="C268" s="14" t="inlineStr">
        <is>
          <t>Sem variação</t>
        </is>
      </c>
      <c r="D268" s="14" t="inlineStr">
        <is>
          <t>EC-PET-10KG</t>
        </is>
      </c>
      <c r="E268" s="14" t="inlineStr">
        <is>
          <t>50264778512</t>
        </is>
      </c>
      <c r="F268" s="14" t="inlineStr">
        <is>
          <t>0</t>
        </is>
      </c>
      <c r="G268" s="14" t="inlineStr">
        <is>
          <t>NORMAL</t>
        </is>
      </c>
      <c r="H268" s="15" t="n">
        <v>29.9</v>
      </c>
      <c r="I268" s="15" t="n">
        <v>18.9</v>
      </c>
      <c r="J268" s="16" t="inlineStr">
        <is>
          <t>SIM</t>
        </is>
      </c>
      <c r="K268" s="15" t="n">
        <v>18.9</v>
      </c>
      <c r="L268" s="35">
        <f>IF(K268&lt;&gt;"",K268,I268)</f>
        <v/>
      </c>
      <c r="M268" s="28" t="n"/>
      <c r="N268" s="28" t="n"/>
      <c r="O268" s="29" t="n"/>
      <c r="P268" s="80">
        <f>IF($O268="","",L268-O268-(L268*IF(L268&lt;=79.99,20%,14%)+IF(L268&lt;=79.99,4,IF(L268&lt;=99.99,16,IF(L268&lt;=199.99,20,IF(L268&lt;=499.99,26,28)))))-L268*1.3%-L268*6%-(L268-O268)*9.25%-L268*3%-L268*3%-1)</f>
        <v/>
      </c>
      <c r="Q268" s="17">
        <f>IF(AND(K268&lt;&gt;"",H268&gt;0),(H268-K268)/H268,"")</f>
        <v/>
      </c>
      <c r="R268" s="14" t="inlineStr">
        <is>
          <t>909477973245952</t>
        </is>
      </c>
      <c r="S268" s="18" t="n">
        <v>46144.38263888889</v>
      </c>
      <c r="T268" s="18" t="n">
        <v>46295.4375</v>
      </c>
      <c r="U268" s="14" t="inlineStr">
        <is>
          <t>100942</t>
        </is>
      </c>
      <c r="W268" t="inlineStr">
        <is>
          <t>sem correspondência</t>
        </is>
      </c>
      <c r="Y268" t="inlineStr"/>
    </row>
    <row r="269" ht="15" customFormat="1" customHeight="1" s="14">
      <c r="A269" s="19" t="inlineStr">
        <is>
          <t>Espaço De Bicho</t>
        </is>
      </c>
      <c r="B269" s="19" t="inlineStr">
        <is>
          <t>EC PET 1,34mL Chemitec Antipulgas e Carrapatos - Cães de 11 a 20Kg</t>
        </is>
      </c>
      <c r="C269" s="19" t="inlineStr">
        <is>
          <t>Sem variação</t>
        </is>
      </c>
      <c r="D269" s="19" t="inlineStr">
        <is>
          <t>EC-PET-11A20KG</t>
        </is>
      </c>
      <c r="E269" s="19" t="inlineStr">
        <is>
          <t>51664768962</t>
        </is>
      </c>
      <c r="F269" s="19" t="inlineStr">
        <is>
          <t>0</t>
        </is>
      </c>
      <c r="G269" s="19" t="inlineStr">
        <is>
          <t>NORMAL</t>
        </is>
      </c>
      <c r="H269" s="20" t="n">
        <v>32.9</v>
      </c>
      <c r="I269" s="20" t="n">
        <v>32.9</v>
      </c>
      <c r="J269" s="21" t="inlineStr">
        <is>
          <t>NÃO</t>
        </is>
      </c>
      <c r="K269" s="20" t="n"/>
      <c r="L269" s="35">
        <f>IF(K269&lt;&gt;"",K269,I269)</f>
        <v/>
      </c>
      <c r="M269" s="30" t="n"/>
      <c r="N269" s="30" t="n"/>
      <c r="O269" s="31" t="n"/>
      <c r="P269" s="80">
        <f>IF($O269="","",L269-O269-(L269*IF(L269&lt;=79.99,20%,14%)+IF(L269&lt;=79.99,4,IF(L269&lt;=99.99,16,IF(L269&lt;=199.99,20,IF(L269&lt;=499.99,26,28)))))-L269*1.3%-L269*6%-(L269-O269)*9.25%-L269*3%-L269*3%-1)</f>
        <v/>
      </c>
      <c r="Q269" s="22">
        <f>IF(AND(K269&lt;&gt;"",H269&gt;0),(H269-K269)/H269,"")</f>
        <v/>
      </c>
      <c r="R269" s="19" t="inlineStr"/>
      <c r="S269" s="23" t="n"/>
      <c r="T269" s="23" t="n"/>
      <c r="U269" s="19" t="inlineStr">
        <is>
          <t>100942</t>
        </is>
      </c>
      <c r="W269" t="inlineStr">
        <is>
          <t>sem correspondência</t>
        </is>
      </c>
      <c r="Y269" t="inlineStr"/>
    </row>
    <row r="270" ht="15" customFormat="1" customHeight="1" s="19">
      <c r="A270" s="14" t="inlineStr">
        <is>
          <t>Espaço De Bicho</t>
        </is>
      </c>
      <c r="B270" s="14" t="inlineStr">
        <is>
          <t>EC PET 2,68mL Chemitec Antipulgas e Carrapatos - Cães de 21 a 40Kg</t>
        </is>
      </c>
      <c r="C270" s="14" t="inlineStr">
        <is>
          <t>Sem variação</t>
        </is>
      </c>
      <c r="D270" s="14" t="inlineStr">
        <is>
          <t>EC-PET-21A40KG</t>
        </is>
      </c>
      <c r="E270" s="14" t="inlineStr">
        <is>
          <t>23392881141</t>
        </is>
      </c>
      <c r="F270" s="14" t="inlineStr">
        <is>
          <t>0</t>
        </is>
      </c>
      <c r="G270" s="14" t="inlineStr">
        <is>
          <t>NORMAL</t>
        </is>
      </c>
      <c r="H270" s="15" t="n">
        <v>38.9</v>
      </c>
      <c r="I270" s="15" t="n">
        <v>20.9</v>
      </c>
      <c r="J270" s="16" t="inlineStr">
        <is>
          <t>SIM</t>
        </is>
      </c>
      <c r="K270" s="15" t="n">
        <v>20.9</v>
      </c>
      <c r="L270" s="35">
        <f>IF(K270&lt;&gt;"",K270,I270)</f>
        <v/>
      </c>
      <c r="M270" s="84" t="n">
        <v>1</v>
      </c>
      <c r="N270" s="85" t="n">
        <v>12.91</v>
      </c>
      <c r="O270" s="80">
        <f>ROUND(M270*N270,2)</f>
        <v/>
      </c>
      <c r="P270" s="80">
        <f>IF($O270="","",L270-O270-(L270*IF(L270&lt;=79.99,20%,14%)+IF(L270&lt;=79.99,4,IF(L270&lt;=99.99,16,IF(L270&lt;=199.99,20,IF(L270&lt;=499.99,26,28)))))-L270*1.3%-L270*6%-(L270-O270)*9.25%-L270*3%-L270*3%-1)</f>
        <v/>
      </c>
      <c r="Q270" s="17">
        <f>IF(AND(K270&lt;&gt;"",H270&gt;0),(H270-K270)/H270,"")</f>
        <v/>
      </c>
      <c r="R270" s="14" t="inlineStr">
        <is>
          <t>909477973245952</t>
        </is>
      </c>
      <c r="S270" s="18" t="n">
        <v>46144.38263888889</v>
      </c>
      <c r="T270" s="18" t="n">
        <v>46295.4375</v>
      </c>
      <c r="U270" s="14" t="inlineStr">
        <is>
          <t>100942</t>
        </is>
      </c>
      <c r="V270" t="inlineStr">
        <is>
          <t>213661</t>
        </is>
      </c>
      <c r="W270" t="inlineStr">
        <is>
          <t>venda casada (2 pedidos)</t>
        </is>
      </c>
      <c r="X270" t="n">
        <v>2</v>
      </c>
      <c r="Y270" t="inlineStr">
        <is>
          <t>ok</t>
        </is>
      </c>
    </row>
    <row r="271" ht="15" customFormat="1" customHeight="1" s="14">
      <c r="A271" s="19" t="inlineStr">
        <is>
          <t>Espaço De Bicho</t>
        </is>
      </c>
      <c r="B271" s="19" t="inlineStr">
        <is>
          <t>EC PET 4,02mL Chemitec Antipulgas e Carrapatos - Cães acima de 40Kg</t>
        </is>
      </c>
      <c r="C271" s="19" t="inlineStr">
        <is>
          <t>Sem variação</t>
        </is>
      </c>
      <c r="D271" s="19" t="inlineStr">
        <is>
          <t>EC-PET-40KG</t>
        </is>
      </c>
      <c r="E271" s="19" t="inlineStr">
        <is>
          <t>23597377727</t>
        </is>
      </c>
      <c r="F271" s="19" t="inlineStr">
        <is>
          <t>0</t>
        </is>
      </c>
      <c r="G271" s="19" t="inlineStr">
        <is>
          <t>NORMAL</t>
        </is>
      </c>
      <c r="H271" s="20" t="n">
        <v>39.9</v>
      </c>
      <c r="I271" s="20" t="n">
        <v>21.9</v>
      </c>
      <c r="J271" s="21" t="inlineStr">
        <is>
          <t>SIM</t>
        </is>
      </c>
      <c r="K271" s="20" t="n">
        <v>21.9</v>
      </c>
      <c r="L271" s="35">
        <f>IF(K271&lt;&gt;"",K271,I271)</f>
        <v/>
      </c>
      <c r="M271" s="81" t="n">
        <v>1</v>
      </c>
      <c r="N271" s="82" t="n">
        <v>14.92</v>
      </c>
      <c r="O271" s="80">
        <f>ROUND(M271*N271,2)</f>
        <v/>
      </c>
      <c r="P271" s="80">
        <f>IF($O271="","",L271-O271-(L271*IF(L271&lt;=79.99,20%,14%)+IF(L271&lt;=79.99,4,IF(L271&lt;=99.99,16,IF(L271&lt;=199.99,20,IF(L271&lt;=499.99,26,28)))))-L271*1.3%-L271*6%-(L271-O271)*9.25%-L271*3%-L271*3%-1)</f>
        <v/>
      </c>
      <c r="Q271" s="22">
        <f>IF(AND(K271&lt;&gt;"",H271&gt;0),(H271-K271)/H271,"")</f>
        <v/>
      </c>
      <c r="R271" s="19" t="inlineStr">
        <is>
          <t>909477973245952</t>
        </is>
      </c>
      <c r="S271" s="23" t="n">
        <v>46144.38263888889</v>
      </c>
      <c r="T271" s="23" t="n">
        <v>46295.4375</v>
      </c>
      <c r="U271" s="19" t="inlineStr">
        <is>
          <t>100942</t>
        </is>
      </c>
      <c r="V271" t="inlineStr">
        <is>
          <t>213662</t>
        </is>
      </c>
      <c r="W271" t="inlineStr">
        <is>
          <t>venda casada (1 pedido)</t>
        </is>
      </c>
      <c r="X271" t="n">
        <v>1</v>
      </c>
      <c r="Y271" t="inlineStr">
        <is>
          <t>⚠ evidência fraca (1 pedido)</t>
        </is>
      </c>
    </row>
    <row r="272" ht="15" customFormat="1" customHeight="1" s="19">
      <c r="A272" s="14" t="inlineStr">
        <is>
          <t>Espaço De Bicho</t>
        </is>
      </c>
      <c r="B272" s="14" t="inlineStr">
        <is>
          <t>Educador Duprat Bitterpet para Cães e Gatos 140ml</t>
        </is>
      </c>
      <c r="C272" s="14" t="inlineStr">
        <is>
          <t>Sem variação</t>
        </is>
      </c>
      <c r="D272" s="14" t="inlineStr">
        <is>
          <t>BITTERPET-140ML</t>
        </is>
      </c>
      <c r="E272" s="14" t="inlineStr">
        <is>
          <t>23499022356</t>
        </is>
      </c>
      <c r="F272" s="14" t="inlineStr">
        <is>
          <t>0</t>
        </is>
      </c>
      <c r="G272" s="14" t="inlineStr">
        <is>
          <t>NORMAL</t>
        </is>
      </c>
      <c r="H272" s="15" t="n">
        <v>69.90000000000001</v>
      </c>
      <c r="I272" s="15" t="n">
        <v>35.19</v>
      </c>
      <c r="J272" s="16" t="inlineStr">
        <is>
          <t>SIM</t>
        </is>
      </c>
      <c r="K272" s="15" t="n">
        <v>35.19</v>
      </c>
      <c r="L272" s="35">
        <f>IF(K272&lt;&gt;"",K272,I272)</f>
        <v/>
      </c>
      <c r="M272" s="84" t="n">
        <v>1</v>
      </c>
      <c r="N272" s="85" t="n">
        <v>13.03</v>
      </c>
      <c r="O272" s="80">
        <f>ROUND(M272*N272,2)</f>
        <v/>
      </c>
      <c r="P272" s="80">
        <f>IF($O272="","",L272-O272-(L272*IF(L272&lt;=79.99,20%,14%)+IF(L272&lt;=79.99,4,IF(L272&lt;=99.99,16,IF(L272&lt;=199.99,20,IF(L272&lt;=499.99,26,28)))))-L272*1.3%-L272*6%-(L272-O272)*9.25%-L272*3%-L272*3%-1)</f>
        <v/>
      </c>
      <c r="Q272" s="17">
        <f>IF(AND(K272&lt;&gt;"",H272&gt;0),(H272-K272)/H272,"")</f>
        <v/>
      </c>
      <c r="R272" s="14" t="inlineStr">
        <is>
          <t>909477973245952</t>
        </is>
      </c>
      <c r="S272" s="18" t="n">
        <v>46144.38263888889</v>
      </c>
      <c r="T272" s="18" t="n">
        <v>46295.4375</v>
      </c>
      <c r="U272" s="14" t="inlineStr">
        <is>
          <t>100932</t>
        </is>
      </c>
      <c r="V272" t="inlineStr">
        <is>
          <t>213420</t>
        </is>
      </c>
      <c r="W272" t="inlineStr">
        <is>
          <t>venda casada (1 pedido)</t>
        </is>
      </c>
      <c r="X272" t="n">
        <v>1</v>
      </c>
      <c r="Y272" t="inlineStr">
        <is>
          <t>⚠ evidência fraca (1 pedido)</t>
        </is>
      </c>
    </row>
    <row r="273" ht="15" customFormat="1" customHeight="1" s="14">
      <c r="A273" s="19" t="inlineStr">
        <is>
          <t>Espaço De Bicho</t>
        </is>
      </c>
      <c r="B273" s="19" t="inlineStr">
        <is>
          <t>Emetim 60ml Duprat Solução Oral</t>
        </is>
      </c>
      <c r="C273" s="19" t="inlineStr">
        <is>
          <t>Sem variação</t>
        </is>
      </c>
      <c r="D273" s="19" t="inlineStr">
        <is>
          <t>064</t>
        </is>
      </c>
      <c r="E273" s="19" t="inlineStr">
        <is>
          <t>21927975679</t>
        </is>
      </c>
      <c r="F273" s="19" t="inlineStr">
        <is>
          <t>0</t>
        </is>
      </c>
      <c r="G273" s="19" t="inlineStr">
        <is>
          <t>NORMAL</t>
        </is>
      </c>
      <c r="H273" s="20" t="n">
        <v>30.5</v>
      </c>
      <c r="I273" s="20" t="n">
        <v>18.9</v>
      </c>
      <c r="J273" s="21" t="inlineStr">
        <is>
          <t>SIM</t>
        </is>
      </c>
      <c r="K273" s="20" t="n">
        <v>18.9</v>
      </c>
      <c r="L273" s="35">
        <f>IF(K273&lt;&gt;"",K273,I273)</f>
        <v/>
      </c>
      <c r="M273" s="81" t="n">
        <v>1</v>
      </c>
      <c r="N273" s="82" t="n">
        <v>9.6</v>
      </c>
      <c r="O273" s="80">
        <f>ROUND(M273*N273,2)</f>
        <v/>
      </c>
      <c r="P273" s="80">
        <f>IF($O273="","",L273-O273-(L273*IF(L273&lt;=79.99,20%,14%)+IF(L273&lt;=79.99,4,IF(L273&lt;=99.99,16,IF(L273&lt;=199.99,20,IF(L273&lt;=499.99,26,28)))))-L273*1.3%-L273*6%-(L273-O273)*9.25%-L273*3%-L273*3%-1)</f>
        <v/>
      </c>
      <c r="Q273" s="22">
        <f>IF(AND(K273&lt;&gt;"",H273&gt;0),(H273-K273)/H273,"")</f>
        <v/>
      </c>
      <c r="R273" s="19" t="inlineStr">
        <is>
          <t>909477973245952</t>
        </is>
      </c>
      <c r="S273" s="23" t="n">
        <v>46144.38263888889</v>
      </c>
      <c r="T273" s="23" t="n">
        <v>46295.4375</v>
      </c>
      <c r="U273" s="19" t="inlineStr">
        <is>
          <t>100942</t>
        </is>
      </c>
      <c r="V273" t="inlineStr">
        <is>
          <t>213643</t>
        </is>
      </c>
      <c r="W273" t="inlineStr">
        <is>
          <t>venda casada (1 pedido)</t>
        </is>
      </c>
      <c r="X273" t="n">
        <v>1</v>
      </c>
      <c r="Y273" t="inlineStr">
        <is>
          <t>⚠ evidência fraca (1 pedido)</t>
        </is>
      </c>
    </row>
    <row r="274" ht="15" customFormat="1" customHeight="1" s="19">
      <c r="A274" s="14" t="inlineStr">
        <is>
          <t>Espaço De Bicho</t>
        </is>
      </c>
      <c r="B274" s="14" t="inlineStr">
        <is>
          <t>Frontline Top Spot 20 A 40kg</t>
        </is>
      </c>
      <c r="C274" s="14" t="inlineStr">
        <is>
          <t>Sem variação</t>
        </is>
      </c>
      <c r="D274" s="14" t="inlineStr">
        <is>
          <t>0670</t>
        </is>
      </c>
      <c r="E274" s="14" t="inlineStr">
        <is>
          <t>55314768947</t>
        </is>
      </c>
      <c r="F274" s="14" t="inlineStr">
        <is>
          <t>0</t>
        </is>
      </c>
      <c r="G274" s="14" t="inlineStr">
        <is>
          <t>NORMAL</t>
        </is>
      </c>
      <c r="H274" s="15" t="n">
        <v>103.8</v>
      </c>
      <c r="I274" s="15" t="n">
        <v>103.8</v>
      </c>
      <c r="J274" s="16" t="inlineStr">
        <is>
          <t>NÃO</t>
        </is>
      </c>
      <c r="K274" s="15" t="n"/>
      <c r="L274" s="35">
        <f>IF(K274&lt;&gt;"",K274,I274)</f>
        <v/>
      </c>
      <c r="M274" s="28" t="n"/>
      <c r="N274" s="28" t="n"/>
      <c r="O274" s="29" t="n"/>
      <c r="P274" s="80">
        <f>IF($O274="","",L274-O274-(L274*IF(L274&lt;=79.99,20%,14%)+IF(L274&lt;=79.99,4,IF(L274&lt;=99.99,16,IF(L274&lt;=199.99,20,IF(L274&lt;=499.99,26,28)))))-L274*1.3%-L274*6%-(L274-O274)*9.25%-L274*3%-L274*3%-1)</f>
        <v/>
      </c>
      <c r="Q274" s="17">
        <f>IF(AND(K274&lt;&gt;"",H274&gt;0),(H274-K274)/H274,"")</f>
        <v/>
      </c>
      <c r="R274" s="14" t="inlineStr"/>
      <c r="S274" s="18" t="n"/>
      <c r="T274" s="18" t="n"/>
      <c r="U274" s="14" t="inlineStr">
        <is>
          <t>100942</t>
        </is>
      </c>
      <c r="W274" t="inlineStr">
        <is>
          <t>sem correspondência</t>
        </is>
      </c>
      <c r="Y274" t="inlineStr"/>
    </row>
    <row r="275" ht="15" customFormat="1" customHeight="1" s="14">
      <c r="A275" s="19" t="inlineStr">
        <is>
          <t>Espaço De Bicho</t>
        </is>
      </c>
      <c r="B275" s="19" t="inlineStr">
        <is>
          <t>Gaiola De Hamster Com Casa Grande 3 Andares Tubo</t>
        </is>
      </c>
      <c r="C275" s="19" t="inlineStr">
        <is>
          <t>Azul</t>
        </is>
      </c>
      <c r="D275" s="19" t="inlineStr">
        <is>
          <t>0857</t>
        </is>
      </c>
      <c r="E275" s="19" t="inlineStr">
        <is>
          <t>23835173228</t>
        </is>
      </c>
      <c r="F275" s="19" t="inlineStr">
        <is>
          <t>228728936002</t>
        </is>
      </c>
      <c r="G275" s="19" t="inlineStr">
        <is>
          <t>NORMAL</t>
        </is>
      </c>
      <c r="H275" s="20" t="n">
        <v>499.9</v>
      </c>
      <c r="I275" s="20" t="n">
        <v>179.89</v>
      </c>
      <c r="J275" s="21" t="inlineStr">
        <is>
          <t>NÃO</t>
        </is>
      </c>
      <c r="K275" s="20" t="n"/>
      <c r="L275" s="35">
        <f>IF(K275&lt;&gt;"",K275,I275)</f>
        <v/>
      </c>
      <c r="M275" s="30" t="n"/>
      <c r="N275" s="30" t="n"/>
      <c r="O275" s="31" t="n"/>
      <c r="P275" s="80">
        <f>IF($O275="","",L275-O275-(L275*IF(L275&lt;=79.99,20%,14%)+IF(L275&lt;=79.99,4,IF(L275&lt;=99.99,16,IF(L275&lt;=199.99,20,IF(L275&lt;=499.99,26,28)))))-L275*1.3%-L275*6%-(L275-O275)*9.25%-L275*3%-L275*3%-1)</f>
        <v/>
      </c>
      <c r="Q275" s="22">
        <f>IF(AND(K275&lt;&gt;"",H275&gt;0),(H275-K275)/H275,"")</f>
        <v/>
      </c>
      <c r="R275" s="19" t="inlineStr"/>
      <c r="S275" s="23" t="n"/>
      <c r="T275" s="23" t="n"/>
      <c r="U275" s="19" t="inlineStr">
        <is>
          <t>101684</t>
        </is>
      </c>
      <c r="W275" t="inlineStr">
        <is>
          <t>sem correspondência</t>
        </is>
      </c>
      <c r="Y275" t="inlineStr"/>
    </row>
    <row r="276" ht="15" customFormat="1" customHeight="1" s="19">
      <c r="A276" s="14" t="inlineStr">
        <is>
          <t>Espaço De Bicho</t>
        </is>
      </c>
      <c r="B276" s="14" t="inlineStr">
        <is>
          <t>Gaiola De Hamster Com Casa Grande 3 Andares Tubo</t>
        </is>
      </c>
      <c r="C276" s="14" t="inlineStr">
        <is>
          <t>Lilás</t>
        </is>
      </c>
      <c r="D276" s="14" t="inlineStr">
        <is>
          <t>0857</t>
        </is>
      </c>
      <c r="E276" s="14" t="inlineStr">
        <is>
          <t>23835173228</t>
        </is>
      </c>
      <c r="F276" s="14" t="inlineStr">
        <is>
          <t>228728936004</t>
        </is>
      </c>
      <c r="G276" s="14" t="inlineStr">
        <is>
          <t>NORMAL</t>
        </is>
      </c>
      <c r="H276" s="15" t="n">
        <v>499.9</v>
      </c>
      <c r="I276" s="15" t="n">
        <v>179.89</v>
      </c>
      <c r="J276" s="16" t="inlineStr">
        <is>
          <t>SIM</t>
        </is>
      </c>
      <c r="K276" s="15" t="n">
        <v>179.89</v>
      </c>
      <c r="L276" s="35">
        <f>IF(K276&lt;&gt;"",K276,I276)</f>
        <v/>
      </c>
      <c r="M276" s="28" t="n"/>
      <c r="N276" s="28" t="n"/>
      <c r="O276" s="29" t="n"/>
      <c r="P276" s="80">
        <f>IF($O276="","",L276-O276-(L276*IF(L276&lt;=79.99,20%,14%)+IF(L276&lt;=79.99,4,IF(L276&lt;=99.99,16,IF(L276&lt;=199.99,20,IF(L276&lt;=499.99,26,28)))))-L276*1.3%-L276*6%-(L276-O276)*9.25%-L276*3%-L276*3%-1)</f>
        <v/>
      </c>
      <c r="Q276" s="17">
        <f>IF(AND(K276&lt;&gt;"",H276&gt;0),(H276-K276)/H276,"")</f>
        <v/>
      </c>
      <c r="R276" s="14" t="inlineStr">
        <is>
          <t>909477973245952</t>
        </is>
      </c>
      <c r="S276" s="18" t="n">
        <v>46144.38263888889</v>
      </c>
      <c r="T276" s="18" t="n">
        <v>46295.4375</v>
      </c>
      <c r="U276" s="14" t="inlineStr">
        <is>
          <t>101684</t>
        </is>
      </c>
      <c r="W276" t="inlineStr">
        <is>
          <t>sem correspondência</t>
        </is>
      </c>
      <c r="Y276" t="inlineStr"/>
    </row>
    <row r="277" ht="15" customFormat="1" customHeight="1" s="14">
      <c r="A277" s="19" t="inlineStr">
        <is>
          <t>Espaço De Bicho</t>
        </is>
      </c>
      <c r="B277" s="19" t="inlineStr">
        <is>
          <t>Gaiola De Hamster Com Casa Grande 3 Andares Tubo</t>
        </is>
      </c>
      <c r="C277" s="19" t="inlineStr">
        <is>
          <t>Vermelho</t>
        </is>
      </c>
      <c r="D277" s="19" t="inlineStr">
        <is>
          <t>0857</t>
        </is>
      </c>
      <c r="E277" s="19" t="inlineStr">
        <is>
          <t>23835173228</t>
        </is>
      </c>
      <c r="F277" s="19" t="inlineStr">
        <is>
          <t>228728936003</t>
        </is>
      </c>
      <c r="G277" s="19" t="inlineStr">
        <is>
          <t>NORMAL</t>
        </is>
      </c>
      <c r="H277" s="20" t="n">
        <v>499.9</v>
      </c>
      <c r="I277" s="20" t="n">
        <v>499.9</v>
      </c>
      <c r="J277" s="21" t="inlineStr">
        <is>
          <t>NÃO</t>
        </is>
      </c>
      <c r="K277" s="20" t="n"/>
      <c r="L277" s="35">
        <f>IF(K277&lt;&gt;"",K277,I277)</f>
        <v/>
      </c>
      <c r="M277" s="30" t="n"/>
      <c r="N277" s="30" t="n"/>
      <c r="O277" s="31" t="n"/>
      <c r="P277" s="80">
        <f>IF($O277="","",L277-O277-(L277*IF(L277&lt;=79.99,20%,14%)+IF(L277&lt;=79.99,4,IF(L277&lt;=99.99,16,IF(L277&lt;=199.99,20,IF(L277&lt;=499.99,26,28)))))-L277*1.3%-L277*6%-(L277-O277)*9.25%-L277*3%-L277*3%-1)</f>
        <v/>
      </c>
      <c r="Q277" s="22">
        <f>IF(AND(K277&lt;&gt;"",H277&gt;0),(H277-K277)/H277,"")</f>
        <v/>
      </c>
      <c r="R277" s="19" t="inlineStr"/>
      <c r="S277" s="23" t="n"/>
      <c r="T277" s="23" t="n"/>
      <c r="U277" s="19" t="inlineStr">
        <is>
          <t>101684</t>
        </is>
      </c>
      <c r="W277" t="inlineStr">
        <is>
          <t>sem correspondência</t>
        </is>
      </c>
      <c r="Y277" t="inlineStr"/>
    </row>
    <row r="278" ht="15" customFormat="1" customHeight="1" s="19">
      <c r="A278" s="14" t="inlineStr">
        <is>
          <t>Espaço De Bicho</t>
        </is>
      </c>
      <c r="B278" s="14" t="inlineStr">
        <is>
          <t>Gelo Pan Vetnil Pomada 100g Tratamento de lesões</t>
        </is>
      </c>
      <c r="C278" s="14" t="inlineStr">
        <is>
          <t>Sem variação</t>
        </is>
      </c>
      <c r="D278" s="14" t="inlineStr">
        <is>
          <t>030</t>
        </is>
      </c>
      <c r="E278" s="14" t="inlineStr">
        <is>
          <t>23792649751</t>
        </is>
      </c>
      <c r="F278" s="14" t="inlineStr">
        <is>
          <t>0</t>
        </is>
      </c>
      <c r="G278" s="14" t="inlineStr">
        <is>
          <t>NORMAL</t>
        </is>
      </c>
      <c r="H278" s="15" t="n">
        <v>67.8</v>
      </c>
      <c r="I278" s="15" t="n">
        <v>67.8</v>
      </c>
      <c r="J278" s="16" t="inlineStr">
        <is>
          <t>NÃO</t>
        </is>
      </c>
      <c r="K278" s="15" t="n"/>
      <c r="L278" s="35">
        <f>IF(K278&lt;&gt;"",K278,I278)</f>
        <v/>
      </c>
      <c r="M278" s="28" t="n"/>
      <c r="N278" s="28" t="n"/>
      <c r="O278" s="29" t="n"/>
      <c r="P278" s="80">
        <f>IF($O278="","",L278-O278-(L278*IF(L278&lt;=79.99,20%,14%)+IF(L278&lt;=79.99,4,IF(L278&lt;=99.99,16,IF(L278&lt;=199.99,20,IF(L278&lt;=499.99,26,28)))))-L278*1.3%-L278*6%-(L278-O278)*9.25%-L278*3%-L278*3%-1)</f>
        <v/>
      </c>
      <c r="Q278" s="17">
        <f>IF(AND(K278&lt;&gt;"",H278&gt;0),(H278-K278)/H278,"")</f>
        <v/>
      </c>
      <c r="R278" s="14" t="inlineStr"/>
      <c r="S278" s="18" t="n"/>
      <c r="T278" s="18" t="n"/>
      <c r="U278" s="14" t="inlineStr">
        <is>
          <t>100942</t>
        </is>
      </c>
      <c r="W278" t="inlineStr">
        <is>
          <t>sem correspondência</t>
        </is>
      </c>
      <c r="Y278" t="inlineStr"/>
    </row>
    <row r="279" ht="15" customFormat="1" customHeight="1" s="14">
      <c r="A279" s="19" t="inlineStr">
        <is>
          <t>Espaço De Bicho</t>
        </is>
      </c>
      <c r="B279" s="19" t="inlineStr">
        <is>
          <t>Gelo Reutílizavel Multiuso 1 Litro (Gele sua Cerveja, Refrigerante, Àgua)</t>
        </is>
      </c>
      <c r="C279" s="19" t="inlineStr">
        <is>
          <t>Sem variação</t>
        </is>
      </c>
      <c r="D279" s="19" t="inlineStr">
        <is>
          <t>GELO-ARTIFICIAL</t>
        </is>
      </c>
      <c r="E279" s="19" t="inlineStr">
        <is>
          <t>50964787594</t>
        </is>
      </c>
      <c r="F279" s="19" t="inlineStr">
        <is>
          <t>0</t>
        </is>
      </c>
      <c r="G279" s="19" t="inlineStr">
        <is>
          <t>NORMAL</t>
        </is>
      </c>
      <c r="H279" s="20" t="n">
        <v>20</v>
      </c>
      <c r="I279" s="20" t="n">
        <v>9.9</v>
      </c>
      <c r="J279" s="21" t="inlineStr">
        <is>
          <t>SIM</t>
        </is>
      </c>
      <c r="K279" s="20" t="n">
        <v>9.9</v>
      </c>
      <c r="L279" s="35">
        <f>IF(K279&lt;&gt;"",K279,I279)</f>
        <v/>
      </c>
      <c r="M279" s="30" t="n"/>
      <c r="N279" s="30" t="n"/>
      <c r="O279" s="29" t="n"/>
      <c r="P279" s="80">
        <f>IF($O279="","",L279-O279-(L279*IF(L279&lt;=79.99,20%,14%)+IF(L279&lt;=79.99,4,IF(L279&lt;=99.99,16,IF(L279&lt;=199.99,20,IF(L279&lt;=499.99,26,28)))))-L279*1.3%-L279*6%-(L279-O279)*9.25%-L279*3%-L279*3%-1)</f>
        <v/>
      </c>
      <c r="Q279" s="22">
        <f>IF(AND(K279&lt;&gt;"",H279&gt;0),(H279-K279)/H279,"")</f>
        <v/>
      </c>
      <c r="R279" s="19" t="inlineStr">
        <is>
          <t>909477973245952</t>
        </is>
      </c>
      <c r="S279" s="23" t="n">
        <v>46144.38263888889</v>
      </c>
      <c r="T279" s="23" t="n">
        <v>46295.4375</v>
      </c>
      <c r="U279" s="19" t="inlineStr">
        <is>
          <t>100712</t>
        </is>
      </c>
      <c r="W279" t="inlineStr">
        <is>
          <t>sem correspondência</t>
        </is>
      </c>
      <c r="Y279" t="inlineStr"/>
    </row>
    <row r="280" ht="15" customFormat="1" customHeight="1" s="19">
      <c r="A280" s="14" t="inlineStr">
        <is>
          <t>Espaço De Bicho</t>
        </is>
      </c>
      <c r="B280" s="14" t="inlineStr">
        <is>
          <t>GINOVET CAIXA COM 24 SACHET TABLET</t>
        </is>
      </c>
      <c r="C280" s="14" t="inlineStr">
        <is>
          <t>Sem variação</t>
        </is>
      </c>
      <c r="D280" s="14" t="inlineStr">
        <is>
          <t>023</t>
        </is>
      </c>
      <c r="E280" s="14" t="inlineStr">
        <is>
          <t>44432986630</t>
        </is>
      </c>
      <c r="F280" s="14" t="inlineStr">
        <is>
          <t>0</t>
        </is>
      </c>
      <c r="G280" s="14" t="inlineStr">
        <is>
          <t>NORMAL</t>
        </is>
      </c>
      <c r="H280" s="15" t="n">
        <v>929.8</v>
      </c>
      <c r="I280" s="15" t="n">
        <v>461.9</v>
      </c>
      <c r="J280" s="16" t="inlineStr">
        <is>
          <t>SIM</t>
        </is>
      </c>
      <c r="K280" s="15" t="n">
        <v>461.9</v>
      </c>
      <c r="L280" s="35">
        <f>IF(K280&lt;&gt;"",K280,I280)</f>
        <v/>
      </c>
      <c r="M280" s="28" t="n"/>
      <c r="N280" s="28" t="n"/>
      <c r="O280" s="29" t="n"/>
      <c r="P280" s="80">
        <f>IF($O280="","",L280-O280-(L280*IF(L280&lt;=79.99,20%,14%)+IF(L280&lt;=79.99,4,IF(L280&lt;=99.99,16,IF(L280&lt;=199.99,20,IF(L280&lt;=499.99,26,28)))))-L280*1.3%-L280*6%-(L280-O280)*9.25%-L280*3%-L280*3%-1)</f>
        <v/>
      </c>
      <c r="Q280" s="17">
        <f>IF(AND(K280&lt;&gt;"",H280&gt;0),(H280-K280)/H280,"")</f>
        <v/>
      </c>
      <c r="R280" s="14" t="inlineStr">
        <is>
          <t>909477973245952</t>
        </is>
      </c>
      <c r="S280" s="18" t="n">
        <v>46144.38263888889</v>
      </c>
      <c r="T280" s="18" t="n">
        <v>46295.4375</v>
      </c>
      <c r="U280" s="14" t="inlineStr">
        <is>
          <t>100942</t>
        </is>
      </c>
      <c r="W280" t="inlineStr">
        <is>
          <t>sem correspondência</t>
        </is>
      </c>
      <c r="Y280" t="inlineStr"/>
    </row>
    <row r="281" ht="15" customFormat="1" customHeight="1" s="14">
      <c r="A281" s="14" t="inlineStr">
        <is>
          <t>Jacartta</t>
        </is>
      </c>
      <c r="B281" s="14" t="inlineStr">
        <is>
          <t>Tapete Higiênico Ultra Pad 30unid. 80x60cm Aroma Lavanda</t>
        </is>
      </c>
      <c r="C281" s="14" t="inlineStr">
        <is>
          <t>Sem variação</t>
        </is>
      </c>
      <c r="D281" s="14" t="inlineStr">
        <is>
          <t>0790</t>
        </is>
      </c>
      <c r="E281" s="14" t="inlineStr">
        <is>
          <t>21550828036</t>
        </is>
      </c>
      <c r="F281" s="14" t="inlineStr">
        <is>
          <t>0</t>
        </is>
      </c>
      <c r="G281" s="14" t="inlineStr">
        <is>
          <t>NORMAL</t>
        </is>
      </c>
      <c r="H281" s="15" t="n">
        <v>199.8</v>
      </c>
      <c r="I281" s="15" t="n">
        <v>62.9</v>
      </c>
      <c r="J281" s="16" t="inlineStr">
        <is>
          <t>SIM</t>
        </is>
      </c>
      <c r="K281" s="15" t="n">
        <v>62.9</v>
      </c>
      <c r="L281" s="35">
        <f>IF(K281&lt;&gt;"",K281,I281)</f>
        <v/>
      </c>
      <c r="M281" s="84" t="n">
        <v>1</v>
      </c>
      <c r="N281" s="85" t="n">
        <v>29.19</v>
      </c>
      <c r="O281" s="80">
        <f>ROUND(M281*N281,2)</f>
        <v/>
      </c>
      <c r="P281" s="80">
        <f>IF($O281="","",L281-O281-(L281*IF(L281&lt;=79.99,20%,14%)+IF(L281&lt;=79.99,4,IF(L281&lt;=99.99,16,IF(L281&lt;=199.99,20,IF(L281&lt;=499.99,26,28)))))-L281*1.3%-L281*6%-(L281-O281)*9.25%-L281*3%-L281*3%-1)</f>
        <v/>
      </c>
      <c r="Q281" s="17">
        <f>IF(AND(K281&lt;&gt;"",H281&gt;0),(H281-K281)/H281,"")</f>
        <v/>
      </c>
      <c r="R281" s="14" t="inlineStr">
        <is>
          <t>909481068642304</t>
        </is>
      </c>
      <c r="S281" s="18" t="n">
        <v>46144.38680555556</v>
      </c>
      <c r="T281" s="18" t="n">
        <v>46295.4375</v>
      </c>
      <c r="U281" s="14" t="inlineStr">
        <is>
          <t>100926</t>
        </is>
      </c>
      <c r="V281" t="inlineStr">
        <is>
          <t>212967</t>
        </is>
      </c>
      <c r="W281" t="inlineStr">
        <is>
          <t>venda casada (15 pedidos) · custo do KIT 213807 (1× 212967)</t>
        </is>
      </c>
      <c r="X281" t="n">
        <v>15</v>
      </c>
      <c r="Y281" t="inlineStr">
        <is>
          <t>ok</t>
        </is>
      </c>
    </row>
    <row r="282" ht="15" customFormat="1" customHeight="1" s="19">
      <c r="A282" s="19" t="inlineStr">
        <is>
          <t>Espaço De Bicho</t>
        </is>
      </c>
      <c r="B282" s="19" t="inlineStr">
        <is>
          <t>Kit 2 Areia Higiênica Biodegradável Grãos Finos Milho e Mandioca (100% Natural)</t>
        </is>
      </c>
      <c r="C282" s="19" t="inlineStr">
        <is>
          <t>Grãos Grossos</t>
        </is>
      </c>
      <c r="D282" s="19" t="inlineStr">
        <is>
          <t>KIT2-AREIA-EDB-4KG-GG</t>
        </is>
      </c>
      <c r="E282" s="19" t="inlineStr">
        <is>
          <t>23694823900</t>
        </is>
      </c>
      <c r="F282" s="19" t="inlineStr">
        <is>
          <t>228799496712</t>
        </is>
      </c>
      <c r="G282" s="19" t="inlineStr">
        <is>
          <t>NORMAL</t>
        </is>
      </c>
      <c r="H282" s="20" t="n">
        <v>199.9</v>
      </c>
      <c r="I282" s="20" t="n">
        <v>199.9</v>
      </c>
      <c r="J282" s="21" t="inlineStr">
        <is>
          <t>NÃO</t>
        </is>
      </c>
      <c r="K282" s="20" t="n"/>
      <c r="L282" s="35">
        <f>IF(K282&lt;&gt;"",K282,I282)</f>
        <v/>
      </c>
      <c r="M282" s="30" t="n"/>
      <c r="N282" s="30" t="n"/>
      <c r="O282" s="31" t="n"/>
      <c r="P282" s="80">
        <f>IF($O282="","",L282-O282-(L282*IF(L282&lt;=79.99,20%,14%)+IF(L282&lt;=79.99,4,IF(L282&lt;=99.99,16,IF(L282&lt;=199.99,20,IF(L282&lt;=499.99,26,28)))))-L282*1.3%-L282*6%-(L282-O282)*9.25%-L282*3%-L282*3%-1)</f>
        <v/>
      </c>
      <c r="Q282" s="22">
        <f>IF(AND(K282&lt;&gt;"",H282&gt;0),(H282-K282)/H282,"")</f>
        <v/>
      </c>
      <c r="R282" s="19" t="inlineStr"/>
      <c r="S282" s="23" t="n"/>
      <c r="T282" s="23" t="n"/>
      <c r="U282" s="19" t="inlineStr">
        <is>
          <t>100923</t>
        </is>
      </c>
      <c r="W282" t="inlineStr">
        <is>
          <t>ambíguo: 215512 (64%) vs 215511</t>
        </is>
      </c>
      <c r="X282" t="n">
        <v>28</v>
      </c>
      <c r="Y282" t="inlineStr"/>
    </row>
    <row r="283" ht="15" customFormat="1" customHeight="1" s="14">
      <c r="A283" s="14" t="inlineStr">
        <is>
          <t>Espaço De Bicho</t>
        </is>
      </c>
      <c r="B283" s="14" t="inlineStr">
        <is>
          <t>Kit 2 Areia Higiênica Biodegradável Grãos Finos Milho e Mandioca (100% Natural)</t>
        </is>
      </c>
      <c r="C283" s="14" t="inlineStr">
        <is>
          <t>Grãos Mistos</t>
        </is>
      </c>
      <c r="D283" s="14" t="inlineStr">
        <is>
          <t>KIT2-AREIA-EDB-4KG-GM</t>
        </is>
      </c>
      <c r="E283" s="14" t="inlineStr">
        <is>
          <t>23694823900</t>
        </is>
      </c>
      <c r="F283" s="14" t="inlineStr">
        <is>
          <t>336298992663</t>
        </is>
      </c>
      <c r="G283" s="14" t="inlineStr">
        <is>
          <t>NORMAL</t>
        </is>
      </c>
      <c r="H283" s="15" t="n">
        <v>199.9</v>
      </c>
      <c r="I283" s="15" t="n">
        <v>95.90000000000001</v>
      </c>
      <c r="J283" s="16" t="inlineStr">
        <is>
          <t>SIM</t>
        </is>
      </c>
      <c r="K283" s="15" t="n">
        <v>95.90000000000001</v>
      </c>
      <c r="L283" s="35">
        <f>IF(K283&lt;&gt;"",K283,I283)</f>
        <v/>
      </c>
      <c r="M283" s="33" t="n">
        <v>2</v>
      </c>
      <c r="N283" s="28" t="n"/>
      <c r="O283" s="29" t="n">
        <v>0</v>
      </c>
      <c r="P283" s="80">
        <f>IF($O283="","",L283-O283-(L283*IF(L283&lt;=79.99,20%,14%)+IF(L283&lt;=79.99,4,IF(L283&lt;=99.99,16,IF(L283&lt;=199.99,20,IF(L283&lt;=499.99,26,28)))))-L283*1.3%-L283*6%-(L283-O283)*9.25%-L283*3%-L283*3%-1)</f>
        <v/>
      </c>
      <c r="Q283" s="17">
        <f>IF(AND(K283&lt;&gt;"",H283&gt;0),(H283-K283)/H283,"")</f>
        <v/>
      </c>
      <c r="R283" s="14" t="inlineStr">
        <is>
          <t>488116129583228</t>
        </is>
      </c>
      <c r="S283" s="18" t="n">
        <v>46236.5</v>
      </c>
      <c r="T283" s="18" t="n">
        <v>46360.99930555555</v>
      </c>
      <c r="U283" s="14" t="inlineStr">
        <is>
          <t>100923</t>
        </is>
      </c>
      <c r="V283" t="inlineStr">
        <is>
          <t>216211</t>
        </is>
      </c>
      <c r="W283" t="inlineStr">
        <is>
          <t>venda casada (6 pedidos) · QTD/custo manuais mantidos</t>
        </is>
      </c>
      <c r="X283" t="n">
        <v>6</v>
      </c>
      <c r="Y283" t="inlineStr">
        <is>
          <t>ok</t>
        </is>
      </c>
    </row>
    <row r="284" ht="15" customFormat="1" customHeight="1" s="19">
      <c r="A284" s="14" t="inlineStr">
        <is>
          <t>Espaço De Bicho</t>
        </is>
      </c>
      <c r="B284" s="14" t="inlineStr">
        <is>
          <t>Kit 2 Brinquedo Para Gatos Patinha Com Catnip Erva Gato Natural</t>
        </is>
      </c>
      <c r="C284" s="14" t="inlineStr">
        <is>
          <t>BOLINHA,AMARELO</t>
        </is>
      </c>
      <c r="D284" s="14" t="inlineStr">
        <is>
          <t>KIT2-CATBOLINHA-AMARELO</t>
        </is>
      </c>
      <c r="E284" s="14" t="inlineStr">
        <is>
          <t>19299494058</t>
        </is>
      </c>
      <c r="F284" s="14" t="inlineStr">
        <is>
          <t>199601100365</t>
        </is>
      </c>
      <c r="G284" s="14" t="inlineStr">
        <is>
          <t>NORMAL</t>
        </is>
      </c>
      <c r="H284" s="15" t="n">
        <v>39.9</v>
      </c>
      <c r="I284" s="15" t="n">
        <v>14.9</v>
      </c>
      <c r="J284" s="16" t="inlineStr">
        <is>
          <t>SIM</t>
        </is>
      </c>
      <c r="K284" s="15" t="n">
        <v>14.9</v>
      </c>
      <c r="L284" s="35">
        <f>IF(K284&lt;&gt;"",K284,I284)</f>
        <v/>
      </c>
      <c r="M284" s="84" t="n">
        <v>2</v>
      </c>
      <c r="N284" s="85" t="n">
        <v>2.33</v>
      </c>
      <c r="O284" s="80">
        <f>ROUND(M284*N284,2)</f>
        <v/>
      </c>
      <c r="P284" s="80">
        <f>IF($O284="","",L284-O284-(L284*IF(L284&lt;=79.99,20%,14%)+IF(L284&lt;=79.99,4,IF(L284&lt;=99.99,16,IF(L284&lt;=199.99,20,IF(L284&lt;=499.99,26,28)))))-L284*1.3%-L284*6%-(L284-O284)*9.25%-L284*3%-L284*3%-1)</f>
        <v/>
      </c>
      <c r="Q284" s="17">
        <f>IF(AND(K284&lt;&gt;"",H284&gt;0),(H284-K284)/H284,"")</f>
        <v/>
      </c>
      <c r="R284" s="14" t="inlineStr">
        <is>
          <t>909477973245952</t>
        </is>
      </c>
      <c r="S284" s="18" t="n">
        <v>46144.38263888889</v>
      </c>
      <c r="T284" s="18" t="n">
        <v>46295.4375</v>
      </c>
      <c r="U284" s="14" t="inlineStr">
        <is>
          <t>101928</t>
        </is>
      </c>
      <c r="V284" t="inlineStr">
        <is>
          <t>213577</t>
        </is>
      </c>
      <c r="W284" t="inlineStr">
        <is>
          <t>venda casada (2 pedidos) · custo do KIT 213592 (2× 213577)</t>
        </is>
      </c>
      <c r="X284" t="n">
        <v>2</v>
      </c>
      <c r="Y284" t="inlineStr">
        <is>
          <t>ok</t>
        </is>
      </c>
    </row>
    <row r="285" ht="15" customFormat="1" customHeight="1" s="14">
      <c r="A285" s="19" t="inlineStr">
        <is>
          <t>Espaço De Bicho</t>
        </is>
      </c>
      <c r="B285" s="19" t="inlineStr">
        <is>
          <t>Kit 2 Brinquedo Para Gatos Patinha Com Catnip Erva Gato Natural</t>
        </is>
      </c>
      <c r="C285" s="19" t="inlineStr">
        <is>
          <t>BOLINHA,AZUL</t>
        </is>
      </c>
      <c r="D285" s="19" t="inlineStr">
        <is>
          <t>KIT2-CATBOLINHA-AZUL</t>
        </is>
      </c>
      <c r="E285" s="19" t="inlineStr">
        <is>
          <t>19299494058</t>
        </is>
      </c>
      <c r="F285" s="19" t="inlineStr">
        <is>
          <t>199601100373</t>
        </is>
      </c>
      <c r="G285" s="19" t="inlineStr">
        <is>
          <t>NORMAL</t>
        </is>
      </c>
      <c r="H285" s="20" t="n">
        <v>39.9</v>
      </c>
      <c r="I285" s="20" t="n">
        <v>14.9</v>
      </c>
      <c r="J285" s="21" t="inlineStr">
        <is>
          <t>SIM</t>
        </is>
      </c>
      <c r="K285" s="20" t="n">
        <v>14.9</v>
      </c>
      <c r="L285" s="35">
        <f>IF(K285&lt;&gt;"",K285,I285)</f>
        <v/>
      </c>
      <c r="M285" s="30" t="n"/>
      <c r="N285" s="30" t="n"/>
      <c r="O285" s="29" t="n"/>
      <c r="P285" s="80">
        <f>IF($O285="","",L285-O285-(L285*IF(L285&lt;=79.99,20%,14%)+IF(L285&lt;=79.99,4,IF(L285&lt;=99.99,16,IF(L285&lt;=199.99,20,IF(L285&lt;=499.99,26,28)))))-L285*1.3%-L285*6%-(L285-O285)*9.25%-L285*3%-L285*3%-1)</f>
        <v/>
      </c>
      <c r="Q285" s="22">
        <f>IF(AND(K285&lt;&gt;"",H285&gt;0),(H285-K285)/H285,"")</f>
        <v/>
      </c>
      <c r="R285" s="19" t="inlineStr">
        <is>
          <t>909477973245952</t>
        </is>
      </c>
      <c r="S285" s="23" t="n">
        <v>46144.38263888889</v>
      </c>
      <c r="T285" s="23" t="n">
        <v>46295.4375</v>
      </c>
      <c r="U285" s="19" t="inlineStr">
        <is>
          <t>101928</t>
        </is>
      </c>
      <c r="W285" t="inlineStr">
        <is>
          <t>sem correspondência</t>
        </is>
      </c>
      <c r="Y285" t="inlineStr"/>
    </row>
    <row r="286" ht="15" customFormat="1" customHeight="1" s="19">
      <c r="A286" s="14" t="inlineStr">
        <is>
          <t>Espaço De Bicho</t>
        </is>
      </c>
      <c r="B286" s="14" t="inlineStr">
        <is>
          <t>Kit 2 Brinquedo Para Gatos Patinha Com Catnip Erva Gato Natural</t>
        </is>
      </c>
      <c r="C286" s="14" t="inlineStr">
        <is>
          <t>BOLINHA,BRANCO</t>
        </is>
      </c>
      <c r="D286" s="14" t="inlineStr">
        <is>
          <t>1157</t>
        </is>
      </c>
      <c r="E286" s="14" t="inlineStr">
        <is>
          <t>19299494058</t>
        </is>
      </c>
      <c r="F286" s="14" t="inlineStr">
        <is>
          <t>199601100368</t>
        </is>
      </c>
      <c r="G286" s="14" t="inlineStr">
        <is>
          <t>NORMAL</t>
        </is>
      </c>
      <c r="H286" s="15" t="n">
        <v>39.9</v>
      </c>
      <c r="I286" s="15" t="n">
        <v>14.9</v>
      </c>
      <c r="J286" s="16" t="inlineStr">
        <is>
          <t>SIM</t>
        </is>
      </c>
      <c r="K286" s="15" t="n">
        <v>14.9</v>
      </c>
      <c r="L286" s="35">
        <f>IF(K286&lt;&gt;"",K286,I286)</f>
        <v/>
      </c>
      <c r="M286" s="84" t="n">
        <v>2</v>
      </c>
      <c r="N286" s="85" t="n">
        <v>2.33</v>
      </c>
      <c r="O286" s="80">
        <f>ROUND(M286*N286,2)</f>
        <v/>
      </c>
      <c r="P286" s="80">
        <f>IF($O286="","",L286-O286-(L286*IF(L286&lt;=79.99,20%,14%)+IF(L286&lt;=79.99,4,IF(L286&lt;=99.99,16,IF(L286&lt;=199.99,20,IF(L286&lt;=499.99,26,28)))))-L286*1.3%-L286*6%-(L286-O286)*9.25%-L286*3%-L286*3%-1)</f>
        <v/>
      </c>
      <c r="Q286" s="17">
        <f>IF(AND(K286&lt;&gt;"",H286&gt;0),(H286-K286)/H286,"")</f>
        <v/>
      </c>
      <c r="R286" s="14" t="inlineStr">
        <is>
          <t>909477973245952</t>
        </is>
      </c>
      <c r="S286" s="18" t="n">
        <v>46144.38263888889</v>
      </c>
      <c r="T286" s="18" t="n">
        <v>46295.4375</v>
      </c>
      <c r="U286" s="14" t="inlineStr">
        <is>
          <t>101928</t>
        </is>
      </c>
      <c r="V286" t="inlineStr">
        <is>
          <t>213574</t>
        </is>
      </c>
      <c r="W286" t="inlineStr">
        <is>
          <t>venda casada (1 pedido) · custo do KIT 213589 (2× 213574)</t>
        </is>
      </c>
      <c r="X286" t="n">
        <v>1</v>
      </c>
      <c r="Y286" t="inlineStr">
        <is>
          <t>⚠ evidência fraca (1 pedido)</t>
        </is>
      </c>
    </row>
    <row r="287" ht="15" customFormat="1" customHeight="1" s="14">
      <c r="A287" s="19" t="inlineStr">
        <is>
          <t>Espaço De Bicho</t>
        </is>
      </c>
      <c r="B287" s="19" t="inlineStr">
        <is>
          <t>Kit 2 Brinquedo Para Gatos Patinha Com Catnip Erva Gato Natural</t>
        </is>
      </c>
      <c r="C287" s="19" t="inlineStr">
        <is>
          <t>BOLINHA,CORES SORTIDAS</t>
        </is>
      </c>
      <c r="D287" s="19" t="inlineStr">
        <is>
          <t>KIT2-CATBOLINHA-SORTIDO</t>
        </is>
      </c>
      <c r="E287" s="19" t="inlineStr">
        <is>
          <t>19299494058</t>
        </is>
      </c>
      <c r="F287" s="19" t="inlineStr">
        <is>
          <t>199601100363</t>
        </is>
      </c>
      <c r="G287" s="19" t="inlineStr">
        <is>
          <t>NORMAL</t>
        </is>
      </c>
      <c r="H287" s="20" t="n">
        <v>39.9</v>
      </c>
      <c r="I287" s="20" t="n">
        <v>14.9</v>
      </c>
      <c r="J287" s="21" t="inlineStr">
        <is>
          <t>SIM</t>
        </is>
      </c>
      <c r="K287" s="20" t="n">
        <v>14.9</v>
      </c>
      <c r="L287" s="35">
        <f>IF(K287&lt;&gt;"",K287,I287)</f>
        <v/>
      </c>
      <c r="M287" s="81" t="n">
        <v>2</v>
      </c>
      <c r="N287" s="82" t="n">
        <v>2.33</v>
      </c>
      <c r="O287" s="80">
        <f>ROUND(M287*N287,2)</f>
        <v/>
      </c>
      <c r="P287" s="80">
        <f>IF($O287="","",L287-O287-(L287*IF(L287&lt;=79.99,20%,14%)+IF(L287&lt;=79.99,4,IF(L287&lt;=99.99,16,IF(L287&lt;=199.99,20,IF(L287&lt;=499.99,26,28)))))-L287*1.3%-L287*6%-(L287-O287)*9.25%-L287*3%-L287*3%-1)</f>
        <v/>
      </c>
      <c r="Q287" s="22">
        <f>IF(AND(K287&lt;&gt;"",H287&gt;0),(H287-K287)/H287,"")</f>
        <v/>
      </c>
      <c r="R287" s="19" t="inlineStr">
        <is>
          <t>909477973245952</t>
        </is>
      </c>
      <c r="S287" s="23" t="n">
        <v>46144.38263888889</v>
      </c>
      <c r="T287" s="23" t="n">
        <v>46295.4375</v>
      </c>
      <c r="U287" s="19" t="inlineStr">
        <is>
          <t>101928</t>
        </is>
      </c>
      <c r="V287" t="inlineStr">
        <is>
          <t>213583</t>
        </is>
      </c>
      <c r="W287" t="inlineStr">
        <is>
          <t>venda casada (1 pedido) · custo do KIT 213601 (2× 213583)</t>
        </is>
      </c>
      <c r="X287" t="n">
        <v>1</v>
      </c>
      <c r="Y287" t="inlineStr">
        <is>
          <t>⚠ evidência fraca (1 pedido)</t>
        </is>
      </c>
    </row>
    <row r="288" ht="15" customFormat="1" customHeight="1" s="19">
      <c r="A288" s="14" t="inlineStr">
        <is>
          <t>Espaço De Bicho</t>
        </is>
      </c>
      <c r="B288" s="14" t="inlineStr">
        <is>
          <t>Kit 2 Brinquedo Para Gatos Patinha Com Catnip Erva Gato Natural</t>
        </is>
      </c>
      <c r="C288" s="14" t="inlineStr">
        <is>
          <t>BOLINHA,ROSA</t>
        </is>
      </c>
      <c r="D288" s="14" t="inlineStr">
        <is>
          <t>KIT2-CATBOLINHA-ROSA</t>
        </is>
      </c>
      <c r="E288" s="14" t="inlineStr">
        <is>
          <t>19299494058</t>
        </is>
      </c>
      <c r="F288" s="14" t="inlineStr">
        <is>
          <t>199601100369</t>
        </is>
      </c>
      <c r="G288" s="14" t="inlineStr">
        <is>
          <t>NORMAL</t>
        </is>
      </c>
      <c r="H288" s="15" t="n">
        <v>39.9</v>
      </c>
      <c r="I288" s="15" t="n">
        <v>14.9</v>
      </c>
      <c r="J288" s="16" t="inlineStr">
        <is>
          <t>SIM</t>
        </is>
      </c>
      <c r="K288" s="15" t="n">
        <v>14.9</v>
      </c>
      <c r="L288" s="35">
        <f>IF(K288&lt;&gt;"",K288,I288)</f>
        <v/>
      </c>
      <c r="M288" s="84" t="n">
        <v>2</v>
      </c>
      <c r="N288" s="85" t="n">
        <v>2.33</v>
      </c>
      <c r="O288" s="80">
        <f>ROUND(M288*N288,2)</f>
        <v/>
      </c>
      <c r="P288" s="80">
        <f>IF($O288="","",L288-O288-(L288*IF(L288&lt;=79.99,20%,14%)+IF(L288&lt;=79.99,4,IF(L288&lt;=99.99,16,IF(L288&lt;=199.99,20,IF(L288&lt;=499.99,26,28)))))-L288*1.3%-L288*6%-(L288-O288)*9.25%-L288*3%-L288*3%-1)</f>
        <v/>
      </c>
      <c r="Q288" s="17">
        <f>IF(AND(K288&lt;&gt;"",H288&gt;0),(H288-K288)/H288,"")</f>
        <v/>
      </c>
      <c r="R288" s="14" t="inlineStr">
        <is>
          <t>909477973245952</t>
        </is>
      </c>
      <c r="S288" s="18" t="n">
        <v>46144.38263888889</v>
      </c>
      <c r="T288" s="18" t="n">
        <v>46295.4375</v>
      </c>
      <c r="U288" s="14" t="inlineStr">
        <is>
          <t>101928</t>
        </is>
      </c>
      <c r="V288" t="inlineStr">
        <is>
          <t>213580</t>
        </is>
      </c>
      <c r="W288" t="inlineStr">
        <is>
          <t>venda casada (1 pedido) · custo do KIT 213595 (2× 213580)</t>
        </is>
      </c>
      <c r="X288" t="n">
        <v>1</v>
      </c>
      <c r="Y288" t="inlineStr">
        <is>
          <t>⚠ evidência fraca (1 pedido)</t>
        </is>
      </c>
    </row>
    <row r="289" ht="15" customFormat="1" customHeight="1" s="14">
      <c r="A289" s="19" t="inlineStr">
        <is>
          <t>Espaço De Bicho</t>
        </is>
      </c>
      <c r="B289" s="19" t="inlineStr">
        <is>
          <t>Kit 2 Brinquedo Para Gatos Patinha Com Catnip Erva Gato Natural</t>
        </is>
      </c>
      <c r="C289" s="19" t="inlineStr">
        <is>
          <t>GATINHO,AMARELO</t>
        </is>
      </c>
      <c r="D289" s="19" t="inlineStr">
        <is>
          <t>KIT2-CATGATINHO-AMARELO</t>
        </is>
      </c>
      <c r="E289" s="19" t="inlineStr">
        <is>
          <t>19299494058</t>
        </is>
      </c>
      <c r="F289" s="19" t="inlineStr">
        <is>
          <t>199601100370</t>
        </is>
      </c>
      <c r="G289" s="19" t="inlineStr">
        <is>
          <t>NORMAL</t>
        </is>
      </c>
      <c r="H289" s="20" t="n">
        <v>39.9</v>
      </c>
      <c r="I289" s="20" t="n">
        <v>14.9</v>
      </c>
      <c r="J289" s="21" t="inlineStr">
        <is>
          <t>SIM</t>
        </is>
      </c>
      <c r="K289" s="20" t="n">
        <v>14.9</v>
      </c>
      <c r="L289" s="35">
        <f>IF(K289&lt;&gt;"",K289,I289)</f>
        <v/>
      </c>
      <c r="M289" s="81" t="n">
        <v>2</v>
      </c>
      <c r="N289" s="82" t="n">
        <v>2.33</v>
      </c>
      <c r="O289" s="80">
        <f>ROUND(M289*N289,2)</f>
        <v/>
      </c>
      <c r="P289" s="80">
        <f>IF($O289="","",L289-O289-(L289*IF(L289&lt;=79.99,20%,14%)+IF(L289&lt;=79.99,4,IF(L289&lt;=99.99,16,IF(L289&lt;=199.99,20,IF(L289&lt;=499.99,26,28)))))-L289*1.3%-L289*6%-(L289-O289)*9.25%-L289*3%-L289*3%-1)</f>
        <v/>
      </c>
      <c r="Q289" s="22">
        <f>IF(AND(K289&lt;&gt;"",H289&gt;0),(H289-K289)/H289,"")</f>
        <v/>
      </c>
      <c r="R289" s="19" t="inlineStr">
        <is>
          <t>909477973245952</t>
        </is>
      </c>
      <c r="S289" s="23" t="n">
        <v>46144.38263888889</v>
      </c>
      <c r="T289" s="23" t="n">
        <v>46295.4375</v>
      </c>
      <c r="U289" s="19" t="inlineStr">
        <is>
          <t>101928</t>
        </is>
      </c>
      <c r="V289" t="inlineStr">
        <is>
          <t>213578</t>
        </is>
      </c>
      <c r="W289" t="inlineStr">
        <is>
          <t>venda casada (4 pedidos) · custo do KIT 213593 (2× 213578)</t>
        </is>
      </c>
      <c r="X289" t="n">
        <v>4</v>
      </c>
      <c r="Y289" t="inlineStr">
        <is>
          <t>ok</t>
        </is>
      </c>
    </row>
    <row r="290" ht="15" customFormat="1" customHeight="1" s="19">
      <c r="A290" s="14" t="inlineStr">
        <is>
          <t>Espaço De Bicho</t>
        </is>
      </c>
      <c r="B290" s="14" t="inlineStr">
        <is>
          <t>Kit 2 Brinquedo Para Gatos Patinha Com Catnip Erva Gato Natural</t>
        </is>
      </c>
      <c r="C290" s="14" t="inlineStr">
        <is>
          <t>GATINHO,AZUL</t>
        </is>
      </c>
      <c r="D290" s="14" t="inlineStr">
        <is>
          <t>KIT2-CATGATINHO-AZUL</t>
        </is>
      </c>
      <c r="E290" s="14" t="inlineStr">
        <is>
          <t>19299494058</t>
        </is>
      </c>
      <c r="F290" s="14" t="inlineStr">
        <is>
          <t>199601100364</t>
        </is>
      </c>
      <c r="G290" s="14" t="inlineStr">
        <is>
          <t>NORMAL</t>
        </is>
      </c>
      <c r="H290" s="15" t="n">
        <v>39.9</v>
      </c>
      <c r="I290" s="15" t="n">
        <v>14.9</v>
      </c>
      <c r="J290" s="16" t="inlineStr">
        <is>
          <t>SIM</t>
        </is>
      </c>
      <c r="K290" s="15" t="n">
        <v>14.9</v>
      </c>
      <c r="L290" s="35">
        <f>IF(K290&lt;&gt;"",K290,I290)</f>
        <v/>
      </c>
      <c r="M290" s="84" t="n">
        <v>2</v>
      </c>
      <c r="N290" s="85" t="n">
        <v>2.33</v>
      </c>
      <c r="O290" s="80">
        <f>ROUND(M290*N290,2)</f>
        <v/>
      </c>
      <c r="P290" s="80">
        <f>IF($O290="","",L290-O290-(L290*IF(L290&lt;=79.99,20%,14%)+IF(L290&lt;=79.99,4,IF(L290&lt;=99.99,16,IF(L290&lt;=199.99,20,IF(L290&lt;=499.99,26,28)))))-L290*1.3%-L290*6%-(L290-O290)*9.25%-L290*3%-L290*3%-1)</f>
        <v/>
      </c>
      <c r="Q290" s="17">
        <f>IF(AND(K290&lt;&gt;"",H290&gt;0),(H290-K290)/H290,"")</f>
        <v/>
      </c>
      <c r="R290" s="14" t="inlineStr">
        <is>
          <t>909477973245952</t>
        </is>
      </c>
      <c r="S290" s="18" t="n">
        <v>46144.38263888889</v>
      </c>
      <c r="T290" s="18" t="n">
        <v>46295.4375</v>
      </c>
      <c r="U290" s="14" t="inlineStr">
        <is>
          <t>101928</t>
        </is>
      </c>
      <c r="V290" t="inlineStr">
        <is>
          <t>213584</t>
        </is>
      </c>
      <c r="W290" t="inlineStr">
        <is>
          <t>venda casada (1 pedido) · custo do KIT 213602 (2× 213584)</t>
        </is>
      </c>
      <c r="X290" t="n">
        <v>1</v>
      </c>
      <c r="Y290" t="inlineStr">
        <is>
          <t>⚠ evidência fraca (1 pedido)</t>
        </is>
      </c>
    </row>
    <row r="291" ht="15" customFormat="1" customHeight="1" s="14">
      <c r="A291" s="19" t="inlineStr">
        <is>
          <t>Espaço De Bicho</t>
        </is>
      </c>
      <c r="B291" s="19" t="inlineStr">
        <is>
          <t>Kit 2 Brinquedo Para Gatos Patinha Com Catnip Erva Gato Natural</t>
        </is>
      </c>
      <c r="C291" s="19" t="inlineStr">
        <is>
          <t>GATINHO,BRANCO</t>
        </is>
      </c>
      <c r="D291" s="19" t="inlineStr">
        <is>
          <t>KIT2-CATGATINHO-BRANCO</t>
        </is>
      </c>
      <c r="E291" s="19" t="inlineStr">
        <is>
          <t>19299494058</t>
        </is>
      </c>
      <c r="F291" s="19" t="inlineStr">
        <is>
          <t>199601100374</t>
        </is>
      </c>
      <c r="G291" s="19" t="inlineStr">
        <is>
          <t>NORMAL</t>
        </is>
      </c>
      <c r="H291" s="20" t="n">
        <v>39.9</v>
      </c>
      <c r="I291" s="20" t="n">
        <v>14.9</v>
      </c>
      <c r="J291" s="21" t="inlineStr">
        <is>
          <t>SIM</t>
        </is>
      </c>
      <c r="K291" s="20" t="n">
        <v>14.9</v>
      </c>
      <c r="L291" s="35">
        <f>IF(K291&lt;&gt;"",K291,I291)</f>
        <v/>
      </c>
      <c r="M291" s="81" t="n">
        <v>2</v>
      </c>
      <c r="N291" s="82" t="n">
        <v>2.33</v>
      </c>
      <c r="O291" s="80">
        <f>ROUND(M291*N291,2)</f>
        <v/>
      </c>
      <c r="P291" s="80">
        <f>IF($O291="","",L291-O291-(L291*IF(L291&lt;=79.99,20%,14%)+IF(L291&lt;=79.99,4,IF(L291&lt;=99.99,16,IF(L291&lt;=199.99,20,IF(L291&lt;=499.99,26,28)))))-L291*1.3%-L291*6%-(L291-O291)*9.25%-L291*3%-L291*3%-1)</f>
        <v/>
      </c>
      <c r="Q291" s="22">
        <f>IF(AND(K291&lt;&gt;"",H291&gt;0),(H291-K291)/H291,"")</f>
        <v/>
      </c>
      <c r="R291" s="19" t="inlineStr">
        <is>
          <t>909477973245952</t>
        </is>
      </c>
      <c r="S291" s="23" t="n">
        <v>46144.38263888889</v>
      </c>
      <c r="T291" s="23" t="n">
        <v>46295.4375</v>
      </c>
      <c r="U291" s="19" t="inlineStr">
        <is>
          <t>101928</t>
        </is>
      </c>
      <c r="V291" t="inlineStr">
        <is>
          <t>213575</t>
        </is>
      </c>
      <c r="W291" t="inlineStr">
        <is>
          <t>venda casada (2 pedidos) · custo do KIT 213590 (2× 213575)</t>
        </is>
      </c>
      <c r="X291" t="n">
        <v>2</v>
      </c>
      <c r="Y291" t="inlineStr">
        <is>
          <t>ok</t>
        </is>
      </c>
    </row>
    <row r="292" ht="15" customFormat="1" customHeight="1" s="19">
      <c r="A292" s="14" t="inlineStr">
        <is>
          <t>Espaço De Bicho</t>
        </is>
      </c>
      <c r="B292" s="14" t="inlineStr">
        <is>
          <t>Kit 2 Brinquedo Para Gatos Patinha Com Catnip Erva Gato Natural</t>
        </is>
      </c>
      <c r="C292" s="14" t="inlineStr">
        <is>
          <t>GATINHO,CORES SORTIDAS</t>
        </is>
      </c>
      <c r="D292" s="14" t="inlineStr">
        <is>
          <t>KIT2-CATGATINHO-SORTIDO</t>
        </is>
      </c>
      <c r="E292" s="14" t="inlineStr">
        <is>
          <t>19299494058</t>
        </is>
      </c>
      <c r="F292" s="14" t="inlineStr">
        <is>
          <t>199601100376</t>
        </is>
      </c>
      <c r="G292" s="14" t="inlineStr">
        <is>
          <t>NORMAL</t>
        </is>
      </c>
      <c r="H292" s="15" t="n">
        <v>39.9</v>
      </c>
      <c r="I292" s="15" t="n">
        <v>14.9</v>
      </c>
      <c r="J292" s="16" t="inlineStr">
        <is>
          <t>SIM</t>
        </is>
      </c>
      <c r="K292" s="15" t="n">
        <v>14.9</v>
      </c>
      <c r="L292" s="35">
        <f>IF(K292&lt;&gt;"",K292,I292)</f>
        <v/>
      </c>
      <c r="M292" s="84" t="n">
        <v>2</v>
      </c>
      <c r="N292" s="85" t="n">
        <v>2.33</v>
      </c>
      <c r="O292" s="80">
        <f>ROUND(M292*N292,2)</f>
        <v/>
      </c>
      <c r="P292" s="80">
        <f>IF($O292="","",L292-O292-(L292*IF(L292&lt;=79.99,20%,14%)+IF(L292&lt;=79.99,4,IF(L292&lt;=99.99,16,IF(L292&lt;=199.99,20,IF(L292&lt;=499.99,26,28)))))-L292*1.3%-L292*6%-(L292-O292)*9.25%-L292*3%-L292*3%-1)</f>
        <v/>
      </c>
      <c r="Q292" s="17">
        <f>IF(AND(K292&lt;&gt;"",H292&gt;0),(H292-K292)/H292,"")</f>
        <v/>
      </c>
      <c r="R292" s="14" t="inlineStr">
        <is>
          <t>909477973245952</t>
        </is>
      </c>
      <c r="S292" s="18" t="n">
        <v>46144.38263888889</v>
      </c>
      <c r="T292" s="18" t="n">
        <v>46295.4375</v>
      </c>
      <c r="U292" s="14" t="inlineStr">
        <is>
          <t>101928</t>
        </is>
      </c>
      <c r="V292" t="inlineStr">
        <is>
          <t>213584</t>
        </is>
      </c>
      <c r="W292" t="inlineStr">
        <is>
          <t>venda casada (10 pedidos) · custo do KIT 213602 (2× 213584)</t>
        </is>
      </c>
      <c r="X292" t="n">
        <v>10</v>
      </c>
      <c r="Y292" t="inlineStr">
        <is>
          <t>ok</t>
        </is>
      </c>
    </row>
    <row r="293" ht="15" customFormat="1" customHeight="1" s="14">
      <c r="A293" s="19" t="inlineStr">
        <is>
          <t>Espaço De Bicho</t>
        </is>
      </c>
      <c r="B293" s="19" t="inlineStr">
        <is>
          <t>Kit 2 Brinquedo Para Gatos Patinha Com Catnip Erva Gato Natural</t>
        </is>
      </c>
      <c r="C293" s="19" t="inlineStr">
        <is>
          <t>GATINHO,ROSA</t>
        </is>
      </c>
      <c r="D293" s="19" t="inlineStr">
        <is>
          <t>KIT2-CATGATINHO-ROSA</t>
        </is>
      </c>
      <c r="E293" s="19" t="inlineStr">
        <is>
          <t>19299494058</t>
        </is>
      </c>
      <c r="F293" s="19" t="inlineStr">
        <is>
          <t>199601100375</t>
        </is>
      </c>
      <c r="G293" s="19" t="inlineStr">
        <is>
          <t>NORMAL</t>
        </is>
      </c>
      <c r="H293" s="20" t="n">
        <v>39.9</v>
      </c>
      <c r="I293" s="20" t="n">
        <v>14.9</v>
      </c>
      <c r="J293" s="21" t="inlineStr">
        <is>
          <t>SIM</t>
        </is>
      </c>
      <c r="K293" s="20" t="n">
        <v>14.9</v>
      </c>
      <c r="L293" s="35">
        <f>IF(K293&lt;&gt;"",K293,I293)</f>
        <v/>
      </c>
      <c r="M293" s="81" t="n">
        <v>2</v>
      </c>
      <c r="N293" s="82" t="n">
        <v>2.33</v>
      </c>
      <c r="O293" s="80">
        <f>ROUND(M293*N293,2)</f>
        <v/>
      </c>
      <c r="P293" s="80">
        <f>IF($O293="","",L293-O293-(L293*IF(L293&lt;=79.99,20%,14%)+IF(L293&lt;=79.99,4,IF(L293&lt;=99.99,16,IF(L293&lt;=199.99,20,IF(L293&lt;=499.99,26,28)))))-L293*1.3%-L293*6%-(L293-O293)*9.25%-L293*3%-L293*3%-1)</f>
        <v/>
      </c>
      <c r="Q293" s="22">
        <f>IF(AND(K293&lt;&gt;"",H293&gt;0),(H293-K293)/H293,"")</f>
        <v/>
      </c>
      <c r="R293" s="19" t="inlineStr">
        <is>
          <t>909477973245952</t>
        </is>
      </c>
      <c r="S293" s="23" t="n">
        <v>46144.38263888889</v>
      </c>
      <c r="T293" s="23" t="n">
        <v>46295.4375</v>
      </c>
      <c r="U293" s="19" t="inlineStr">
        <is>
          <t>101928</t>
        </is>
      </c>
      <c r="V293" t="inlineStr">
        <is>
          <t>213581</t>
        </is>
      </c>
      <c r="W293" t="inlineStr">
        <is>
          <t>venda casada (4 pedidos) · custo do KIT 213596 (2× 213581)</t>
        </is>
      </c>
      <c r="X293" t="n">
        <v>4</v>
      </c>
      <c r="Y293" t="inlineStr">
        <is>
          <t>ok</t>
        </is>
      </c>
    </row>
    <row r="294" ht="15" customFormat="1" customHeight="1" s="19">
      <c r="A294" s="14" t="inlineStr">
        <is>
          <t>Espaço De Bicho</t>
        </is>
      </c>
      <c r="B294" s="14" t="inlineStr">
        <is>
          <t>Kit 2 Brinquedo Para Gatos Patinha Com Catnip Erva Gato Natural</t>
        </is>
      </c>
      <c r="C294" s="14" t="inlineStr">
        <is>
          <t>PATINHA,AMARELO</t>
        </is>
      </c>
      <c r="D294" s="14" t="inlineStr">
        <is>
          <t>1157</t>
        </is>
      </c>
      <c r="E294" s="14" t="inlineStr">
        <is>
          <t>19299494058</t>
        </is>
      </c>
      <c r="F294" s="14" t="inlineStr">
        <is>
          <t>199601100367</t>
        </is>
      </c>
      <c r="G294" s="14" t="inlineStr">
        <is>
          <t>NORMAL</t>
        </is>
      </c>
      <c r="H294" s="15" t="n">
        <v>39.9</v>
      </c>
      <c r="I294" s="15" t="n">
        <v>14.9</v>
      </c>
      <c r="J294" s="16" t="inlineStr">
        <is>
          <t>SIM</t>
        </is>
      </c>
      <c r="K294" s="15" t="n">
        <v>14.9</v>
      </c>
      <c r="L294" s="35">
        <f>IF(K294&lt;&gt;"",K294,I294)</f>
        <v/>
      </c>
      <c r="M294" s="84" t="n">
        <v>2</v>
      </c>
      <c r="N294" s="85" t="n">
        <v>2.33</v>
      </c>
      <c r="O294" s="80">
        <f>ROUND(M294*N294,2)</f>
        <v/>
      </c>
      <c r="P294" s="80">
        <f>IF($O294="","",L294-O294-(L294*IF(L294&lt;=79.99,20%,14%)+IF(L294&lt;=79.99,4,IF(L294&lt;=99.99,16,IF(L294&lt;=199.99,20,IF(L294&lt;=499.99,26,28)))))-L294*1.3%-L294*6%-(L294-O294)*9.25%-L294*3%-L294*3%-1)</f>
        <v/>
      </c>
      <c r="Q294" s="17">
        <f>IF(AND(K294&lt;&gt;"",H294&gt;0),(H294-K294)/H294,"")</f>
        <v/>
      </c>
      <c r="R294" s="14" t="inlineStr">
        <is>
          <t>909477973245952</t>
        </is>
      </c>
      <c r="S294" s="18" t="n">
        <v>46144.38263888889</v>
      </c>
      <c r="T294" s="18" t="n">
        <v>46295.4375</v>
      </c>
      <c r="U294" s="14" t="inlineStr">
        <is>
          <t>101928</t>
        </is>
      </c>
      <c r="V294" t="inlineStr">
        <is>
          <t>213576</t>
        </is>
      </c>
      <c r="W294" t="inlineStr">
        <is>
          <t>venda casada (3 pedidos) · custo do KIT 213591 (2× 213576)</t>
        </is>
      </c>
      <c r="X294" t="n">
        <v>3</v>
      </c>
      <c r="Y294" t="inlineStr">
        <is>
          <t>ok</t>
        </is>
      </c>
    </row>
    <row r="295" ht="15" customFormat="1" customHeight="1" s="14">
      <c r="A295" s="19" t="inlineStr">
        <is>
          <t>Espaço De Bicho</t>
        </is>
      </c>
      <c r="B295" s="19" t="inlineStr">
        <is>
          <t>Kit 2 Brinquedo Para Gatos Patinha Com Catnip Erva Gato Natural</t>
        </is>
      </c>
      <c r="C295" s="19" t="inlineStr">
        <is>
          <t>PATINHA,AZUL</t>
        </is>
      </c>
      <c r="D295" s="19" t="inlineStr">
        <is>
          <t>1157</t>
        </is>
      </c>
      <c r="E295" s="19" t="inlineStr">
        <is>
          <t>19299494058</t>
        </is>
      </c>
      <c r="F295" s="19" t="inlineStr">
        <is>
          <t>199601100377</t>
        </is>
      </c>
      <c r="G295" s="19" t="inlineStr">
        <is>
          <t>NORMAL</t>
        </is>
      </c>
      <c r="H295" s="20" t="n">
        <v>39.9</v>
      </c>
      <c r="I295" s="20" t="n">
        <v>14.9</v>
      </c>
      <c r="J295" s="21" t="inlineStr">
        <is>
          <t>SIM</t>
        </is>
      </c>
      <c r="K295" s="20" t="n">
        <v>14.9</v>
      </c>
      <c r="L295" s="35">
        <f>IF(K295&lt;&gt;"",K295,I295)</f>
        <v/>
      </c>
      <c r="M295" s="81" t="n">
        <v>2</v>
      </c>
      <c r="N295" s="82" t="n">
        <v>2.33</v>
      </c>
      <c r="O295" s="80">
        <f>ROUND(M295*N295,2)</f>
        <v/>
      </c>
      <c r="P295" s="80">
        <f>IF($O295="","",L295-O295-(L295*IF(L295&lt;=79.99,20%,14%)+IF(L295&lt;=79.99,4,IF(L295&lt;=99.99,16,IF(L295&lt;=199.99,20,IF(L295&lt;=499.99,26,28)))))-L295*1.3%-L295*6%-(L295-O295)*9.25%-L295*3%-L295*3%-1)</f>
        <v/>
      </c>
      <c r="Q295" s="22">
        <f>IF(AND(K295&lt;&gt;"",H295&gt;0),(H295-K295)/H295,"")</f>
        <v/>
      </c>
      <c r="R295" s="19" t="inlineStr">
        <is>
          <t>909477973245952</t>
        </is>
      </c>
      <c r="S295" s="23" t="n">
        <v>46144.38263888889</v>
      </c>
      <c r="T295" s="23" t="n">
        <v>46295.4375</v>
      </c>
      <c r="U295" s="19" t="inlineStr">
        <is>
          <t>101928</t>
        </is>
      </c>
      <c r="V295" t="inlineStr">
        <is>
          <t>213582</t>
        </is>
      </c>
      <c r="W295" t="inlineStr">
        <is>
          <t>venda casada (4 pedidos) · custo do KIT 213600 (2× 213582)</t>
        </is>
      </c>
      <c r="X295" t="n">
        <v>4</v>
      </c>
      <c r="Y295" t="inlineStr">
        <is>
          <t>ok</t>
        </is>
      </c>
    </row>
    <row r="296" ht="15" customFormat="1" customHeight="1" s="19">
      <c r="A296" s="14" t="inlineStr">
        <is>
          <t>Espaço De Bicho</t>
        </is>
      </c>
      <c r="B296" s="14" t="inlineStr">
        <is>
          <t>Kit 2 Brinquedo Para Gatos Patinha Com Catnip Erva Gato Natural</t>
        </is>
      </c>
      <c r="C296" s="14" t="inlineStr">
        <is>
          <t>PATINHA,BRANCO</t>
        </is>
      </c>
      <c r="D296" s="14" t="inlineStr">
        <is>
          <t>1157</t>
        </is>
      </c>
      <c r="E296" s="14" t="inlineStr">
        <is>
          <t>19299494058</t>
        </is>
      </c>
      <c r="F296" s="14" t="inlineStr">
        <is>
          <t>199601100372</t>
        </is>
      </c>
      <c r="G296" s="14" t="inlineStr">
        <is>
          <t>NORMAL</t>
        </is>
      </c>
      <c r="H296" s="15" t="n">
        <v>39.9</v>
      </c>
      <c r="I296" s="15" t="n">
        <v>14.9</v>
      </c>
      <c r="J296" s="16" t="inlineStr">
        <is>
          <t>SIM</t>
        </is>
      </c>
      <c r="K296" s="15" t="n">
        <v>14.9</v>
      </c>
      <c r="L296" s="35">
        <f>IF(K296&lt;&gt;"",K296,I296)</f>
        <v/>
      </c>
      <c r="M296" s="84" t="n">
        <v>2</v>
      </c>
      <c r="N296" s="85" t="n">
        <v>2.33</v>
      </c>
      <c r="O296" s="80">
        <f>ROUND(M296*N296,2)</f>
        <v/>
      </c>
      <c r="P296" s="80">
        <f>IF($O296="","",L296-O296-(L296*IF(L296&lt;=79.99,20%,14%)+IF(L296&lt;=79.99,4,IF(L296&lt;=99.99,16,IF(L296&lt;=199.99,20,IF(L296&lt;=499.99,26,28)))))-L296*1.3%-L296*6%-(L296-O296)*9.25%-L296*3%-L296*3%-1)</f>
        <v/>
      </c>
      <c r="Q296" s="17">
        <f>IF(AND(K296&lt;&gt;"",H296&gt;0),(H296-K296)/H296,"")</f>
        <v/>
      </c>
      <c r="R296" s="14" t="inlineStr">
        <is>
          <t>909477973245952</t>
        </is>
      </c>
      <c r="S296" s="18" t="n">
        <v>46144.38263888889</v>
      </c>
      <c r="T296" s="18" t="n">
        <v>46295.4375</v>
      </c>
      <c r="U296" s="14" t="inlineStr">
        <is>
          <t>101928</t>
        </is>
      </c>
      <c r="V296" t="inlineStr">
        <is>
          <t>213573</t>
        </is>
      </c>
      <c r="W296" t="inlineStr">
        <is>
          <t>venda casada (5 pedidos) · custo do KIT 213588 (2× 213573)</t>
        </is>
      </c>
      <c r="X296" t="n">
        <v>5</v>
      </c>
      <c r="Y296" t="inlineStr">
        <is>
          <t>ok</t>
        </is>
      </c>
    </row>
    <row r="297" ht="15" customFormat="1" customHeight="1" s="14">
      <c r="A297" s="19" t="inlineStr">
        <is>
          <t>Espaço De Bicho</t>
        </is>
      </c>
      <c r="B297" s="19" t="inlineStr">
        <is>
          <t>Kit 2 Brinquedo Para Gatos Patinha Com Catnip Erva Gato Natural</t>
        </is>
      </c>
      <c r="C297" s="19" t="inlineStr">
        <is>
          <t>PATINHA,CORES SORTIDAS</t>
        </is>
      </c>
      <c r="D297" s="19" t="inlineStr">
        <is>
          <t>1157</t>
        </is>
      </c>
      <c r="E297" s="19" t="inlineStr">
        <is>
          <t>19299494058</t>
        </is>
      </c>
      <c r="F297" s="19" t="inlineStr">
        <is>
          <t>199601100371</t>
        </is>
      </c>
      <c r="G297" s="19" t="inlineStr">
        <is>
          <t>NORMAL</t>
        </is>
      </c>
      <c r="H297" s="20" t="n">
        <v>39.9</v>
      </c>
      <c r="I297" s="20" t="n">
        <v>14.9</v>
      </c>
      <c r="J297" s="21" t="inlineStr">
        <is>
          <t>SIM</t>
        </is>
      </c>
      <c r="K297" s="20" t="n">
        <v>14.9</v>
      </c>
      <c r="L297" s="35">
        <f>IF(K297&lt;&gt;"",K297,I297)</f>
        <v/>
      </c>
      <c r="M297" s="81" t="n">
        <v>2</v>
      </c>
      <c r="N297" s="82" t="n">
        <v>2.33</v>
      </c>
      <c r="O297" s="80">
        <f>ROUND(M297*N297,2)</f>
        <v/>
      </c>
      <c r="P297" s="80">
        <f>IF($O297="","",L297-O297-(L297*IF(L297&lt;=79.99,20%,14%)+IF(L297&lt;=79.99,4,IF(L297&lt;=99.99,16,IF(L297&lt;=199.99,20,IF(L297&lt;=499.99,26,28)))))-L297*1.3%-L297*6%-(L297-O297)*9.25%-L297*3%-L297*3%-1)</f>
        <v/>
      </c>
      <c r="Q297" s="22">
        <f>IF(AND(K297&lt;&gt;"",H297&gt;0),(H297-K297)/H297,"")</f>
        <v/>
      </c>
      <c r="R297" s="19" t="inlineStr">
        <is>
          <t>909477973245952</t>
        </is>
      </c>
      <c r="S297" s="23" t="n">
        <v>46144.38263888889</v>
      </c>
      <c r="T297" s="23" t="n">
        <v>46295.4375</v>
      </c>
      <c r="U297" s="19" t="inlineStr">
        <is>
          <t>101928</t>
        </is>
      </c>
      <c r="V297" t="inlineStr">
        <is>
          <t>213582</t>
        </is>
      </c>
      <c r="W297" t="inlineStr">
        <is>
          <t>venda casada (21 pedidos) · custo do KIT 213600 (2× 213582)</t>
        </is>
      </c>
      <c r="X297" t="n">
        <v>21</v>
      </c>
      <c r="Y297" t="inlineStr">
        <is>
          <t>ok</t>
        </is>
      </c>
    </row>
    <row r="298" ht="15" customFormat="1" customHeight="1" s="19">
      <c r="A298" s="14" t="inlineStr">
        <is>
          <t>Espaço De Bicho</t>
        </is>
      </c>
      <c r="B298" s="14" t="inlineStr">
        <is>
          <t>Kit 2 Brinquedo Para Gatos Patinha Com Catnip Erva Gato Natural</t>
        </is>
      </c>
      <c r="C298" s="14" t="inlineStr">
        <is>
          <t>PATINHA,ROSA</t>
        </is>
      </c>
      <c r="D298" s="14" t="inlineStr">
        <is>
          <t>1157</t>
        </is>
      </c>
      <c r="E298" s="14" t="inlineStr">
        <is>
          <t>19299494058</t>
        </is>
      </c>
      <c r="F298" s="14" t="inlineStr">
        <is>
          <t>199601100366</t>
        </is>
      </c>
      <c r="G298" s="14" t="inlineStr">
        <is>
          <t>NORMAL</t>
        </is>
      </c>
      <c r="H298" s="15" t="n">
        <v>39.9</v>
      </c>
      <c r="I298" s="15" t="n">
        <v>14.9</v>
      </c>
      <c r="J298" s="16" t="inlineStr">
        <is>
          <t>SIM</t>
        </is>
      </c>
      <c r="K298" s="15" t="n">
        <v>14.9</v>
      </c>
      <c r="L298" s="35">
        <f>IF(K298&lt;&gt;"",K298,I298)</f>
        <v/>
      </c>
      <c r="M298" s="84" t="n">
        <v>2</v>
      </c>
      <c r="N298" s="85" t="n">
        <v>2.33</v>
      </c>
      <c r="O298" s="80">
        <f>ROUND(M298*N298,2)</f>
        <v/>
      </c>
      <c r="P298" s="80">
        <f>IF($O298="","",L298-O298-(L298*IF(L298&lt;=79.99,20%,14%)+IF(L298&lt;=79.99,4,IF(L298&lt;=99.99,16,IF(L298&lt;=199.99,20,IF(L298&lt;=499.99,26,28)))))-L298*1.3%-L298*6%-(L298-O298)*9.25%-L298*3%-L298*3%-1)</f>
        <v/>
      </c>
      <c r="Q298" s="17">
        <f>IF(AND(K298&lt;&gt;"",H298&gt;0),(H298-K298)/H298,"")</f>
        <v/>
      </c>
      <c r="R298" s="14" t="inlineStr">
        <is>
          <t>909477973245952</t>
        </is>
      </c>
      <c r="S298" s="18" t="n">
        <v>46144.38263888889</v>
      </c>
      <c r="T298" s="18" t="n">
        <v>46295.4375</v>
      </c>
      <c r="U298" s="14" t="inlineStr">
        <is>
          <t>101928</t>
        </is>
      </c>
      <c r="V298" t="inlineStr">
        <is>
          <t>213579</t>
        </is>
      </c>
      <c r="W298" t="inlineStr">
        <is>
          <t>venda casada (8 pedidos) · custo do KIT 213594 (2× 213579)</t>
        </is>
      </c>
      <c r="X298" t="n">
        <v>8</v>
      </c>
      <c r="Y298" t="inlineStr">
        <is>
          <t>ok</t>
        </is>
      </c>
    </row>
    <row r="299" ht="15" customFormat="1" customHeight="1" s="14">
      <c r="A299" s="19" t="inlineStr">
        <is>
          <t>Espaço De Bicho</t>
        </is>
      </c>
      <c r="B299" s="19" t="inlineStr">
        <is>
          <t>Kit 2un Tapete para Cachorro Higiênico Espaço De Bicho  Pet 60x60cm 60 Unidades</t>
        </is>
      </c>
      <c r="C299" s="19" t="inlineStr">
        <is>
          <t>Sem variação</t>
        </is>
      </c>
      <c r="D299" s="19" t="inlineStr">
        <is>
          <t>KIT-EDB-60X60-60UNI</t>
        </is>
      </c>
      <c r="E299" s="19" t="inlineStr">
        <is>
          <t>22692071770</t>
        </is>
      </c>
      <c r="F299" s="19" t="inlineStr">
        <is>
          <t>0</t>
        </is>
      </c>
      <c r="G299" s="19" t="inlineStr">
        <is>
          <t>NORMAL</t>
        </is>
      </c>
      <c r="H299" s="20" t="n">
        <v>91.90000000000001</v>
      </c>
      <c r="I299" s="20" t="n">
        <v>76.98999999999999</v>
      </c>
      <c r="J299" s="21" t="inlineStr">
        <is>
          <t>SIM</t>
        </is>
      </c>
      <c r="K299" s="20" t="n">
        <v>76.98999999999999</v>
      </c>
      <c r="L299" s="35">
        <f>IF(K299&lt;&gt;"",K299,I299)</f>
        <v/>
      </c>
      <c r="M299" s="81" t="n">
        <v>2</v>
      </c>
      <c r="N299" s="82" t="n">
        <v>19.58</v>
      </c>
      <c r="O299" s="80">
        <f>ROUND(M299*N299,2)</f>
        <v/>
      </c>
      <c r="P299" s="80">
        <f>IF($O299="","",L299-O299-(L299*IF(L299&lt;=79.99,20%,14%)+IF(L299&lt;=79.99,4,IF(L299&lt;=99.99,16,IF(L299&lt;=199.99,20,IF(L299&lt;=499.99,26,28)))))-L299*1.3%-L299*6%-(L299-O299)*9.25%-L299*3%-L299*3%-1)</f>
        <v/>
      </c>
      <c r="Q299" s="22">
        <f>IF(AND(K299&lt;&gt;"",H299&gt;0),(H299-K299)/H299,"")</f>
        <v/>
      </c>
      <c r="R299" s="19" t="inlineStr">
        <is>
          <t>909475783836672</t>
        </is>
      </c>
      <c r="S299" s="23" t="n">
        <v>46144.37916666667</v>
      </c>
      <c r="T299" s="23" t="n">
        <v>46295.4375</v>
      </c>
      <c r="U299" s="19" t="inlineStr">
        <is>
          <t>100926</t>
        </is>
      </c>
      <c r="V299" t="inlineStr">
        <is>
          <t>212952</t>
        </is>
      </c>
      <c r="W299" t="inlineStr">
        <is>
          <t>venda casada (308 pedidos) · custo do KIT 212446 (2× 212952)</t>
        </is>
      </c>
      <c r="X299" t="n">
        <v>308</v>
      </c>
      <c r="Y299" t="inlineStr">
        <is>
          <t>ok</t>
        </is>
      </c>
    </row>
    <row r="300" ht="15" customFormat="1" customHeight="1" s="19">
      <c r="A300" s="19" t="inlineStr">
        <is>
          <t>Jacartta</t>
        </is>
      </c>
      <c r="B300" s="19" t="inlineStr">
        <is>
          <t>Kit Potes de Vidro 640ml/340ml Hermético Marmita Fit com Tampa 4 Travas</t>
        </is>
      </c>
      <c r="C300" s="19" t="inlineStr">
        <is>
          <t>5 UNIDADES,640ML</t>
        </is>
      </c>
      <c r="D300" s="19" t="inlineStr">
        <is>
          <t>KIT5-640ML-SORTIDO</t>
        </is>
      </c>
      <c r="E300" s="19" t="inlineStr">
        <is>
          <t>22299038596</t>
        </is>
      </c>
      <c r="F300" s="19" t="inlineStr">
        <is>
          <t>159549291896</t>
        </is>
      </c>
      <c r="G300" s="19" t="inlineStr">
        <is>
          <t>NORMAL</t>
        </is>
      </c>
      <c r="H300" s="20" t="n">
        <v>199.9</v>
      </c>
      <c r="I300" s="20" t="n">
        <v>77.88</v>
      </c>
      <c r="J300" s="21" t="inlineStr">
        <is>
          <t>SIM</t>
        </is>
      </c>
      <c r="K300" s="20" t="n">
        <v>77.88</v>
      </c>
      <c r="L300" s="35">
        <f>IF(K300&lt;&gt;"",K300,I300)</f>
        <v/>
      </c>
      <c r="M300" s="32" t="n">
        <v>5</v>
      </c>
      <c r="N300" s="30">
        <f>O300/M300</f>
        <v/>
      </c>
      <c r="O300" s="31" t="n">
        <v>33.7</v>
      </c>
      <c r="P300" s="80">
        <f>IF($O300="","",L300-O300-(L300*IF(L300&lt;=79.99,20%,14%)+IF(L300&lt;=79.99,4,IF(L300&lt;=99.99,16,IF(L300&lt;=199.99,20,IF(L300&lt;=499.99,26,28)))))-L300*1.3%-L300*6%-(L300-O300)*9.25%-L300*3%-L300*3%-1)</f>
        <v/>
      </c>
      <c r="Q300" s="22">
        <f>IF(AND(K300&lt;&gt;"",H300&gt;0),(H300-K300)/H300,"")</f>
        <v/>
      </c>
      <c r="R300" s="19" t="inlineStr">
        <is>
          <t>492047266168992</t>
        </is>
      </c>
      <c r="S300" s="23" t="n">
        <v>46248</v>
      </c>
      <c r="T300" s="23" t="n">
        <v>46249</v>
      </c>
      <c r="U300" s="19" t="inlineStr">
        <is>
          <t>101220</t>
        </is>
      </c>
      <c r="V300" t="inlineStr">
        <is>
          <t>213877</t>
        </is>
      </c>
      <c r="W300" t="inlineStr">
        <is>
          <t>venda casada (74 pedidos) · QTD/custo manuais mantidos</t>
        </is>
      </c>
      <c r="X300" t="n">
        <v>74</v>
      </c>
      <c r="Y300" t="inlineStr">
        <is>
          <t>ok</t>
        </is>
      </c>
    </row>
    <row r="301" ht="15" customFormat="1" customHeight="1" s="14">
      <c r="A301" s="19" t="inlineStr">
        <is>
          <t>Espaço De Bicho</t>
        </is>
      </c>
      <c r="B301" s="19" t="inlineStr">
        <is>
          <t>Kit 3 Areia Sanitária Higiênica Biodegradável Grãos Finos Milho e Mandioca (100% Natural)</t>
        </is>
      </c>
      <c r="C301" s="19" t="inlineStr">
        <is>
          <t>Grãos Grossos</t>
        </is>
      </c>
      <c r="D301" s="19" t="inlineStr">
        <is>
          <t>KIT3-AREIA-EDB-4KG-GG</t>
        </is>
      </c>
      <c r="E301" s="19" t="inlineStr">
        <is>
          <t>23999315521</t>
        </is>
      </c>
      <c r="F301" s="19" t="inlineStr">
        <is>
          <t>179413325549</t>
        </is>
      </c>
      <c r="G301" s="19" t="inlineStr">
        <is>
          <t>NORMAL</t>
        </is>
      </c>
      <c r="H301" s="20" t="n">
        <v>150.9</v>
      </c>
      <c r="I301" s="20" t="n">
        <v>149.9</v>
      </c>
      <c r="J301" s="21" t="inlineStr">
        <is>
          <t>NÃO</t>
        </is>
      </c>
      <c r="K301" s="20" t="n"/>
      <c r="L301" s="35">
        <f>IF(K301&lt;&gt;"",K301,I301)</f>
        <v/>
      </c>
      <c r="M301" s="81" t="n">
        <v>3</v>
      </c>
      <c r="N301" s="82" t="n">
        <v>22.36</v>
      </c>
      <c r="O301" s="83">
        <f>ROUND(M301*N301,2)</f>
        <v/>
      </c>
      <c r="P301" s="80">
        <f>IF($O301="","",L301-O301-(L301*IF(L301&lt;=79.99,20%,14%)+IF(L301&lt;=79.99,4,IF(L301&lt;=99.99,16,IF(L301&lt;=199.99,20,IF(L301&lt;=499.99,26,28)))))-L301*1.3%-L301*6%-(L301-O301)*9.25%-L301*3%-L301*3%-1)</f>
        <v/>
      </c>
      <c r="Q301" s="22">
        <f>IF(AND(K301&lt;&gt;"",H301&gt;0),(H301-K301)/H301,"")</f>
        <v/>
      </c>
      <c r="R301" s="19" t="inlineStr"/>
      <c r="S301" s="23" t="n"/>
      <c r="T301" s="23" t="n"/>
      <c r="U301" s="19" t="inlineStr">
        <is>
          <t>100923</t>
        </is>
      </c>
      <c r="V301" t="inlineStr">
        <is>
          <t>215512</t>
        </is>
      </c>
      <c r="W301" t="inlineStr">
        <is>
          <t>SKU do de-para · custo do KIT 215521 (3× 215512)</t>
        </is>
      </c>
      <c r="X301" t="n">
        <v>2</v>
      </c>
      <c r="Y301" t="inlineStr">
        <is>
          <t>ok</t>
        </is>
      </c>
    </row>
    <row r="302" ht="15" customFormat="1" customHeight="1" s="19">
      <c r="A302" s="14" t="inlineStr">
        <is>
          <t>Jacartta</t>
        </is>
      </c>
      <c r="B302" s="14" t="inlineStr">
        <is>
          <t>Kit 5/ kit 10 Potes de Vidro 640ml Hermético Marmita Fit com Tampa 4 Travas Oliver Home</t>
        </is>
      </c>
      <c r="C302" s="14" t="inlineStr">
        <is>
          <t>5 UNIDADES,640ML</t>
        </is>
      </c>
      <c r="D302" s="14" t="inlineStr">
        <is>
          <t>KIT-5POTES-640ML</t>
        </is>
      </c>
      <c r="E302" s="14" t="inlineStr">
        <is>
          <t>26695370644</t>
        </is>
      </c>
      <c r="F302" s="14" t="inlineStr">
        <is>
          <t>351245360243</t>
        </is>
      </c>
      <c r="G302" s="14" t="inlineStr">
        <is>
          <t>NORMAL</t>
        </is>
      </c>
      <c r="H302" s="15" t="n">
        <v>109.9</v>
      </c>
      <c r="I302" s="15" t="n">
        <v>77.89</v>
      </c>
      <c r="J302" s="16" t="inlineStr">
        <is>
          <t>SIM</t>
        </is>
      </c>
      <c r="K302" s="15" t="n">
        <v>77.89</v>
      </c>
      <c r="L302" s="35">
        <f>IF(K302&lt;&gt;"",K302,I302)</f>
        <v/>
      </c>
      <c r="M302" s="33" t="n">
        <v>5</v>
      </c>
      <c r="N302" s="30">
        <f>O302/M302</f>
        <v/>
      </c>
      <c r="O302" s="29" t="n">
        <v>33.7</v>
      </c>
      <c r="P302" s="80">
        <f>IF($O302="","",L302-O302-(L302*IF(L302&lt;=79.99,20%,14%)+IF(L302&lt;=79.99,4,IF(L302&lt;=99.99,16,IF(L302&lt;=199.99,20,IF(L302&lt;=499.99,26,28)))))-L302*1.3%-L302*6%-(L302-O302)*9.25%-L302*3%-L302*3%-1)</f>
        <v/>
      </c>
      <c r="Q302" s="17">
        <f>IF(AND(K302&lt;&gt;"",H302&gt;0),(H302-K302)/H302,"")</f>
        <v/>
      </c>
      <c r="R302" s="14" t="inlineStr">
        <is>
          <t>478386871025791</t>
        </is>
      </c>
      <c r="S302" s="18" t="n">
        <v>46209.64583333334</v>
      </c>
      <c r="T302" s="18" t="n">
        <v>46326.99930555555</v>
      </c>
      <c r="U302" s="14" t="inlineStr">
        <is>
          <t>101220</t>
        </is>
      </c>
      <c r="V302" t="inlineStr">
        <is>
          <t>213878</t>
        </is>
      </c>
      <c r="W302" t="inlineStr">
        <is>
          <t>SKU do de-para · QTD/custo manuais mantidos</t>
        </is>
      </c>
      <c r="X302" t="n">
        <v>2053</v>
      </c>
      <c r="Y302" t="inlineStr">
        <is>
          <t>ok</t>
        </is>
      </c>
    </row>
    <row r="303" ht="15" customFormat="1" customHeight="1" s="14">
      <c r="A303" s="14" t="inlineStr">
        <is>
          <t>Espaço De Bicho</t>
        </is>
      </c>
      <c r="B303" s="14" t="inlineStr">
        <is>
          <t>Kit 4 Areia Higiênica Biodegradável Grãos Finos Milho e Mandioca (100% Natural) - Espaço De Bicho</t>
        </is>
      </c>
      <c r="C303" s="14" t="inlineStr">
        <is>
          <t>Grãos Grossos</t>
        </is>
      </c>
      <c r="D303" s="14" t="inlineStr">
        <is>
          <t>KIT4-AREIA-EDB-4KG-GG</t>
        </is>
      </c>
      <c r="E303" s="14" t="inlineStr">
        <is>
          <t>58254481683</t>
        </is>
      </c>
      <c r="F303" s="14" t="inlineStr">
        <is>
          <t>229437018333</t>
        </is>
      </c>
      <c r="G303" s="14" t="inlineStr">
        <is>
          <t>NORMAL</t>
        </is>
      </c>
      <c r="H303" s="15" t="n">
        <v>199.9</v>
      </c>
      <c r="I303" s="15" t="n">
        <v>199.9</v>
      </c>
      <c r="J303" s="16" t="inlineStr">
        <is>
          <t>NÃO</t>
        </is>
      </c>
      <c r="K303" s="15" t="n"/>
      <c r="L303" s="35">
        <f>IF(K303&lt;&gt;"",K303,I303)</f>
        <v/>
      </c>
      <c r="M303" s="84" t="n">
        <v>4</v>
      </c>
      <c r="N303" s="85" t="n">
        <v>22.36</v>
      </c>
      <c r="O303" s="80">
        <f>ROUND(M303*N303,2)</f>
        <v/>
      </c>
      <c r="P303" s="80">
        <f>IF($O303="","",L303-O303-(L303*IF(L303&lt;=79.99,20%,14%)+IF(L303&lt;=79.99,4,IF(L303&lt;=99.99,16,IF(L303&lt;=199.99,20,IF(L303&lt;=499.99,26,28)))))-L303*1.3%-L303*6%-(L303-O303)*9.25%-L303*3%-L303*3%-1)</f>
        <v/>
      </c>
      <c r="Q303" s="17">
        <f>IF(AND(K303&lt;&gt;"",H303&gt;0),(H303-K303)/H303,"")</f>
        <v/>
      </c>
      <c r="R303" s="14" t="inlineStr"/>
      <c r="S303" s="18" t="n"/>
      <c r="T303" s="18" t="n"/>
      <c r="U303" s="14" t="inlineStr">
        <is>
          <t>100923</t>
        </is>
      </c>
      <c r="V303" t="inlineStr">
        <is>
          <t>215512</t>
        </is>
      </c>
      <c r="W303" t="inlineStr">
        <is>
          <t>venda casada (1 pedido) · custo do KIT 215522 (4× 215512)</t>
        </is>
      </c>
      <c r="X303" t="n">
        <v>1</v>
      </c>
      <c r="Y303" t="inlineStr">
        <is>
          <t>⚠ evidência fraca (1 pedido)</t>
        </is>
      </c>
    </row>
    <row r="304" ht="15" customFormat="1" customHeight="1" s="19">
      <c r="A304" s="19" t="inlineStr">
        <is>
          <t>Espaço De Bicho</t>
        </is>
      </c>
      <c r="B304" s="19" t="inlineStr">
        <is>
          <t>Kit 4 Areia Higiênica Biodegradável Grãos Finos Milho e Mandioca (100% Natural) - Espaço De Bicho</t>
        </is>
      </c>
      <c r="C304" s="19" t="inlineStr">
        <is>
          <t>Grãos Mistos</t>
        </is>
      </c>
      <c r="D304" s="19" t="inlineStr">
        <is>
          <t>KIT4-AREIA-EDB-4KG-GM</t>
        </is>
      </c>
      <c r="E304" s="19" t="inlineStr">
        <is>
          <t>58254481683</t>
        </is>
      </c>
      <c r="F304" s="19" t="inlineStr">
        <is>
          <t>371298988752</t>
        </is>
      </c>
      <c r="G304" s="19" t="inlineStr">
        <is>
          <t>NORMAL</t>
        </is>
      </c>
      <c r="H304" s="20" t="n">
        <v>199.9</v>
      </c>
      <c r="I304" s="20" t="n">
        <v>199.9</v>
      </c>
      <c r="J304" s="21" t="inlineStr">
        <is>
          <t>NÃO</t>
        </is>
      </c>
      <c r="K304" s="20" t="n"/>
      <c r="L304" s="35">
        <f>IF(K304&lt;&gt;"",K304,I304)</f>
        <v/>
      </c>
      <c r="M304" s="81" t="n">
        <v>4</v>
      </c>
      <c r="N304" s="82" t="n">
        <v>22.36</v>
      </c>
      <c r="O304" s="83">
        <f>ROUND(M304*N304,2)</f>
        <v/>
      </c>
      <c r="P304" s="80">
        <f>IF($O304="","",L304-O304-(L304*IF(L304&lt;=79.99,20%,14%)+IF(L304&lt;=79.99,4,IF(L304&lt;=99.99,16,IF(L304&lt;=199.99,20,IF(L304&lt;=499.99,26,28)))))-L304*1.3%-L304*6%-(L304-O304)*9.25%-L304*3%-L304*3%-1)</f>
        <v/>
      </c>
      <c r="Q304" s="22">
        <f>IF(AND(K304&lt;&gt;"",H304&gt;0),(H304-K304)/H304,"")</f>
        <v/>
      </c>
      <c r="R304" s="19" t="inlineStr"/>
      <c r="S304" s="23" t="n"/>
      <c r="T304" s="23" t="n"/>
      <c r="U304" s="19" t="inlineStr">
        <is>
          <t>100923</t>
        </is>
      </c>
      <c r="V304" t="inlineStr">
        <is>
          <t>216211</t>
        </is>
      </c>
      <c r="W304" t="inlineStr">
        <is>
          <t>venda casada (2 pedidos) · custo do KIT 216215 (4× 216211)</t>
        </is>
      </c>
      <c r="X304" t="n">
        <v>2</v>
      </c>
      <c r="Y304" t="inlineStr">
        <is>
          <t>ok</t>
        </is>
      </c>
    </row>
    <row r="305" ht="15" customFormat="1" customHeight="1" s="14">
      <c r="A305" s="19" t="inlineStr">
        <is>
          <t>Espaço De Bicho</t>
        </is>
      </c>
      <c r="B305" s="19" t="inlineStr">
        <is>
          <t>Kit 60 Uni Tapete Higiênico Espaço De Bicho Shopito Oficial Aroma De Bebê Envio Imediato</t>
        </is>
      </c>
      <c r="C305" s="19" t="inlineStr">
        <is>
          <t>Sem variação</t>
        </is>
      </c>
      <c r="D305" s="19" t="inlineStr">
        <is>
          <t>TAPETE-SHOPITO-60UNI-AROMABB</t>
        </is>
      </c>
      <c r="E305" s="19" t="inlineStr">
        <is>
          <t>18198089023</t>
        </is>
      </c>
      <c r="F305" s="19" t="inlineStr">
        <is>
          <t>0</t>
        </is>
      </c>
      <c r="G305" s="19" t="inlineStr">
        <is>
          <t>NORMAL</t>
        </is>
      </c>
      <c r="H305" s="20" t="n">
        <v>199.9</v>
      </c>
      <c r="I305" s="20" t="n">
        <v>129.9</v>
      </c>
      <c r="J305" s="21" t="inlineStr">
        <is>
          <t>SIM</t>
        </is>
      </c>
      <c r="K305" s="20" t="n">
        <v>129.9</v>
      </c>
      <c r="L305" s="35">
        <f>IF(K305&lt;&gt;"",K305,I305)</f>
        <v/>
      </c>
      <c r="M305" s="81" t="n">
        <v>2</v>
      </c>
      <c r="N305" s="82" t="n">
        <v>28.64</v>
      </c>
      <c r="O305" s="83">
        <f>ROUND(M305*N305,2)</f>
        <v/>
      </c>
      <c r="P305" s="80">
        <f>IF($O305="","",L305-O305-(L305*IF(L305&lt;=79.99,20%,14%)+IF(L305&lt;=79.99,4,IF(L305&lt;=99.99,16,IF(L305&lt;=199.99,20,IF(L305&lt;=499.99,26,28)))))-L305*1.3%-L305*6%-(L305-O305)*9.25%-L305*3%-L305*3%-1)</f>
        <v/>
      </c>
      <c r="Q305" s="22">
        <f>IF(AND(K305&lt;&gt;"",H305&gt;0),(H305-K305)/H305,"")</f>
        <v/>
      </c>
      <c r="R305" s="19" t="inlineStr">
        <is>
          <t>909474743648256</t>
        </is>
      </c>
      <c r="S305" s="23" t="n">
        <v>46144.37777777778</v>
      </c>
      <c r="T305" s="23" t="n">
        <v>46295.97916666666</v>
      </c>
      <c r="U305" s="19" t="inlineStr">
        <is>
          <t>100926</t>
        </is>
      </c>
      <c r="V305" t="inlineStr">
        <is>
          <t>213173</t>
        </is>
      </c>
      <c r="W305" t="inlineStr">
        <is>
          <t>venda casada (27 pedidos) · custo do KIT 213818 (2× 213173)</t>
        </is>
      </c>
      <c r="X305" t="n">
        <v>27</v>
      </c>
      <c r="Y305" t="inlineStr">
        <is>
          <t>ok</t>
        </is>
      </c>
    </row>
    <row r="306" ht="15" customFormat="1" customHeight="1" s="19">
      <c r="A306" s="19" t="inlineStr">
        <is>
          <t>Espaço De Bicho</t>
        </is>
      </c>
      <c r="B306" s="19" t="inlineStr">
        <is>
          <t>Kit 5 Areia Higiênica Biodegradável Grãos Finos Milho e Mandioca (100% Natural) - Espaço De Bicho</t>
        </is>
      </c>
      <c r="C306" s="19" t="inlineStr">
        <is>
          <t>Grãos Grossos</t>
        </is>
      </c>
      <c r="D306" s="19" t="inlineStr">
        <is>
          <t>KIT5-AREIA-EDB-4KG-GG</t>
        </is>
      </c>
      <c r="E306" s="19" t="inlineStr">
        <is>
          <t>58204486942</t>
        </is>
      </c>
      <c r="F306" s="19" t="inlineStr">
        <is>
          <t>189185324468</t>
        </is>
      </c>
      <c r="G306" s="19" t="inlineStr">
        <is>
          <t>NORMAL</t>
        </is>
      </c>
      <c r="H306" s="20" t="n">
        <v>299.9</v>
      </c>
      <c r="I306" s="20" t="n">
        <v>299.9</v>
      </c>
      <c r="J306" s="21" t="inlineStr">
        <is>
          <t>NÃO</t>
        </is>
      </c>
      <c r="K306" s="20" t="n"/>
      <c r="L306" s="35">
        <f>IF(K306&lt;&gt;"",K306,I306)</f>
        <v/>
      </c>
      <c r="M306" s="81" t="n">
        <v>5</v>
      </c>
      <c r="N306" s="82" t="n">
        <v>22.36</v>
      </c>
      <c r="O306" s="83">
        <f>ROUND(M306*N306,2)</f>
        <v/>
      </c>
      <c r="P306" s="80">
        <f>IF($O306="","",L306-O306-(L306*IF(L306&lt;=79.99,20%,14%)+IF(L306&lt;=79.99,4,IF(L306&lt;=99.99,16,IF(L306&lt;=199.99,20,IF(L306&lt;=499.99,26,28)))))-L306*1.3%-L306*6%-(L306-O306)*9.25%-L306*3%-L306*3%-1)</f>
        <v/>
      </c>
      <c r="Q306" s="22">
        <f>IF(AND(K306&lt;&gt;"",H306&gt;0),(H306-K306)/H306,"")</f>
        <v/>
      </c>
      <c r="R306" s="19" t="inlineStr"/>
      <c r="S306" s="23" t="n"/>
      <c r="T306" s="23" t="n"/>
      <c r="U306" s="19" t="inlineStr">
        <is>
          <t>100923</t>
        </is>
      </c>
      <c r="V306" t="inlineStr">
        <is>
          <t>215512</t>
        </is>
      </c>
      <c r="W306" t="inlineStr">
        <is>
          <t>venda casada (2 pedidos) · custo do KIT 215523 (5× 215512)</t>
        </is>
      </c>
      <c r="X306" t="n">
        <v>2</v>
      </c>
      <c r="Y306" t="inlineStr">
        <is>
          <t>ok</t>
        </is>
      </c>
    </row>
    <row r="307" ht="15" customFormat="1" customHeight="1" s="14">
      <c r="A307" s="19" t="inlineStr">
        <is>
          <t>Jacartta</t>
        </is>
      </c>
      <c r="B307" s="19" t="inlineStr">
        <is>
          <t>Kit 60 Uni Tapete Higiênico Espaço De Bicho Shopito Oficial Aroma De Bebê Envio Imediato</t>
        </is>
      </c>
      <c r="C307" s="19" t="inlineStr">
        <is>
          <t>Sem variação</t>
        </is>
      </c>
      <c r="D307" s="19" t="inlineStr">
        <is>
          <t>TAPETE-SHOPITO-60UNI-AROMABB</t>
        </is>
      </c>
      <c r="E307" s="19" t="inlineStr">
        <is>
          <t>22798161666</t>
        </is>
      </c>
      <c r="F307" s="19" t="inlineStr">
        <is>
          <t>0</t>
        </is>
      </c>
      <c r="G307" s="19" t="inlineStr">
        <is>
          <t>NORMAL</t>
        </is>
      </c>
      <c r="H307" s="20" t="n">
        <v>199.9</v>
      </c>
      <c r="I307" s="20" t="n">
        <v>129.9</v>
      </c>
      <c r="J307" s="21" t="inlineStr">
        <is>
          <t>SIM</t>
        </is>
      </c>
      <c r="K307" s="20" t="n">
        <v>129.9</v>
      </c>
      <c r="L307" s="35">
        <f>IF(K307&lt;&gt;"",K307,I307)</f>
        <v/>
      </c>
      <c r="M307" s="81" t="n">
        <v>2</v>
      </c>
      <c r="N307" s="82" t="n">
        <v>28.64</v>
      </c>
      <c r="O307" s="83">
        <f>ROUND(M307*N307,2)</f>
        <v/>
      </c>
      <c r="P307" s="80">
        <f>IF($O307="","",L307-O307-(L307*IF(L307&lt;=79.99,20%,14%)+IF(L307&lt;=79.99,4,IF(L307&lt;=99.99,16,IF(L307&lt;=199.99,20,IF(L307&lt;=499.99,26,28)))))-L307*1.3%-L307*6%-(L307-O307)*9.25%-L307*3%-L307*3%-1)</f>
        <v/>
      </c>
      <c r="Q307" s="22">
        <f>IF(AND(K307&lt;&gt;"",H307&gt;0),(H307-K307)/H307,"")</f>
        <v/>
      </c>
      <c r="R307" s="19" t="inlineStr">
        <is>
          <t>909480791819264</t>
        </is>
      </c>
      <c r="S307" s="23" t="n">
        <v>46144.38611111111</v>
      </c>
      <c r="T307" s="23" t="n">
        <v>46295.4375</v>
      </c>
      <c r="U307" s="19" t="inlineStr">
        <is>
          <t>100926</t>
        </is>
      </c>
      <c r="V307" t="inlineStr">
        <is>
          <t>213173</t>
        </is>
      </c>
      <c r="W307" t="inlineStr">
        <is>
          <t>venda casada (4 pedidos) · custo do KIT 213818 (2× 213173)</t>
        </is>
      </c>
      <c r="X307" t="n">
        <v>4</v>
      </c>
      <c r="Y307" t="inlineStr">
        <is>
          <t>ok</t>
        </is>
      </c>
    </row>
    <row r="308" ht="15" customFormat="1" customHeight="1" s="19">
      <c r="A308" s="19" t="inlineStr">
        <is>
          <t>Espaço De Bicho</t>
        </is>
      </c>
      <c r="B308" s="19" t="inlineStr">
        <is>
          <t>Kit 6 Alcance Anti Vespas E Marimbondos 400ml - Labgard</t>
        </is>
      </c>
      <c r="C308" s="19" t="inlineStr">
        <is>
          <t>Sem variação</t>
        </is>
      </c>
      <c r="D308" s="19" t="inlineStr">
        <is>
          <t>KIT6-ALCANCE-VESPAS</t>
        </is>
      </c>
      <c r="E308" s="19" t="inlineStr">
        <is>
          <t>46164689557</t>
        </is>
      </c>
      <c r="F308" s="19" t="inlineStr">
        <is>
          <t>0</t>
        </is>
      </c>
      <c r="G308" s="19" t="inlineStr">
        <is>
          <t>NORMAL</t>
        </is>
      </c>
      <c r="H308" s="20" t="n">
        <v>239.9</v>
      </c>
      <c r="I308" s="20" t="n">
        <v>239.9</v>
      </c>
      <c r="J308" s="21" t="inlineStr">
        <is>
          <t>NÃO</t>
        </is>
      </c>
      <c r="K308" s="20" t="n"/>
      <c r="L308" s="35">
        <f>IF(K308&lt;&gt;"",K308,I308)</f>
        <v/>
      </c>
      <c r="M308" s="30" t="n"/>
      <c r="N308" s="30" t="n"/>
      <c r="O308" s="31" t="n"/>
      <c r="P308" s="80">
        <f>IF($O308="","",L308-O308-(L308*IF(L308&lt;=79.99,20%,14%)+IF(L308&lt;=79.99,4,IF(L308&lt;=99.99,16,IF(L308&lt;=199.99,20,IF(L308&lt;=499.99,26,28)))))-L308*1.3%-L308*6%-(L308-O308)*9.25%-L308*3%-L308*3%-1)</f>
        <v/>
      </c>
      <c r="Q308" s="22">
        <f>IF(AND(K308&lt;&gt;"",H308&gt;0),(H308-K308)/H308,"")</f>
        <v/>
      </c>
      <c r="R308" s="19" t="inlineStr"/>
      <c r="S308" s="23" t="n"/>
      <c r="T308" s="23" t="n"/>
      <c r="U308" s="19" t="inlineStr">
        <is>
          <t>100942</t>
        </is>
      </c>
      <c r="W308" t="inlineStr">
        <is>
          <t>sem correspondência</t>
        </is>
      </c>
      <c r="Y308" t="inlineStr"/>
    </row>
    <row r="309" ht="15" customFormat="1" customHeight="1" s="14">
      <c r="A309" s="14" t="inlineStr">
        <is>
          <t>Espaço De Bicho</t>
        </is>
      </c>
      <c r="B309" s="14" t="inlineStr">
        <is>
          <t>Kit 60 Tapetes Higiênico Xixi Ultra Pads Carvão Ativado 60x60cm</t>
        </is>
      </c>
      <c r="C309" s="14" t="inlineStr">
        <is>
          <t>Sem variação</t>
        </is>
      </c>
      <c r="D309" s="14" t="inlineStr">
        <is>
          <t>691</t>
        </is>
      </c>
      <c r="E309" s="14" t="inlineStr">
        <is>
          <t>21772918412</t>
        </is>
      </c>
      <c r="F309" s="14" t="inlineStr">
        <is>
          <t>0</t>
        </is>
      </c>
      <c r="G309" s="14" t="inlineStr">
        <is>
          <t>NORMAL</t>
        </is>
      </c>
      <c r="H309" s="15" t="n">
        <v>245.8</v>
      </c>
      <c r="I309" s="15" t="n">
        <v>99.89</v>
      </c>
      <c r="J309" s="16" t="inlineStr">
        <is>
          <t>SIM</t>
        </is>
      </c>
      <c r="K309" s="15" t="n">
        <v>99.89</v>
      </c>
      <c r="L309" s="35">
        <f>IF(K309&lt;&gt;"",K309,I309)</f>
        <v/>
      </c>
      <c r="M309" s="84" t="n">
        <v>2</v>
      </c>
      <c r="N309" s="85" t="n">
        <v>23.4</v>
      </c>
      <c r="O309" s="80">
        <f>ROUND(M309*N309,2)</f>
        <v/>
      </c>
      <c r="P309" s="80">
        <f>IF($O309="","",L309-O309-(L309*IF(L309&lt;=79.99,20%,14%)+IF(L309&lt;=79.99,4,IF(L309&lt;=99.99,16,IF(L309&lt;=199.99,20,IF(L309&lt;=499.99,26,28)))))-L309*1.3%-L309*6%-(L309-O309)*9.25%-L309*3%-L309*3%-1)</f>
        <v/>
      </c>
      <c r="Q309" s="17">
        <f>IF(AND(K309&lt;&gt;"",H309&gt;0),(H309-K309)/H309,"")</f>
        <v/>
      </c>
      <c r="R309" s="14" t="inlineStr">
        <is>
          <t>909477973245952</t>
        </is>
      </c>
      <c r="S309" s="18" t="n">
        <v>46144.38263888889</v>
      </c>
      <c r="T309" s="18" t="n">
        <v>46295.4375</v>
      </c>
      <c r="U309" s="14" t="inlineStr">
        <is>
          <t>100926</t>
        </is>
      </c>
      <c r="V309" t="inlineStr">
        <is>
          <t>212950</t>
        </is>
      </c>
      <c r="W309" t="inlineStr">
        <is>
          <t>venda casada (2 pedidos) · custo do KIT 213855 (2× 212950)</t>
        </is>
      </c>
      <c r="X309" t="n">
        <v>2</v>
      </c>
      <c r="Y309" t="inlineStr">
        <is>
          <t>ok</t>
        </is>
      </c>
    </row>
    <row r="310" ht="15" customFormat="1" customHeight="1" s="19">
      <c r="A310" s="14" t="inlineStr">
        <is>
          <t>Espaço De Bicho</t>
        </is>
      </c>
      <c r="B310" s="14" t="inlineStr">
        <is>
          <t>Kit 6x Provermin Oral Po 20 Gr - Vermífugo P/ Bovinos, Suínos, Caprinos E Aves</t>
        </is>
      </c>
      <c r="C310" s="14" t="inlineStr">
        <is>
          <t>Sem variação</t>
        </is>
      </c>
      <c r="D310" s="14" t="inlineStr">
        <is>
          <t>0865</t>
        </is>
      </c>
      <c r="E310" s="14" t="inlineStr">
        <is>
          <t>23014373654</t>
        </is>
      </c>
      <c r="F310" s="14" t="inlineStr">
        <is>
          <t>0</t>
        </is>
      </c>
      <c r="G310" s="14" t="inlineStr">
        <is>
          <t>NORMAL</t>
        </is>
      </c>
      <c r="H310" s="15" t="n">
        <v>65.8</v>
      </c>
      <c r="I310" s="15" t="n">
        <v>32.9</v>
      </c>
      <c r="J310" s="16" t="inlineStr">
        <is>
          <t>SIM</t>
        </is>
      </c>
      <c r="K310" s="15" t="n">
        <v>32.9</v>
      </c>
      <c r="L310" s="35">
        <f>IF(K310&lt;&gt;"",K310,I310)</f>
        <v/>
      </c>
      <c r="M310" s="28" t="n"/>
      <c r="N310" s="28" t="n"/>
      <c r="O310" s="29" t="n"/>
      <c r="P310" s="80">
        <f>IF($O310="","",L310-O310-(L310*IF(L310&lt;=79.99,20%,14%)+IF(L310&lt;=79.99,4,IF(L310&lt;=99.99,16,IF(L310&lt;=199.99,20,IF(L310&lt;=499.99,26,28)))))-L310*1.3%-L310*6%-(L310-O310)*9.25%-L310*3%-L310*3%-1)</f>
        <v/>
      </c>
      <c r="Q310" s="17">
        <f>IF(AND(K310&lt;&gt;"",H310&gt;0),(H310-K310)/H310,"")</f>
        <v/>
      </c>
      <c r="R310" s="14" t="inlineStr">
        <is>
          <t>909477973245952</t>
        </is>
      </c>
      <c r="S310" s="18" t="n">
        <v>46144.38263888889</v>
      </c>
      <c r="T310" s="18" t="n">
        <v>46295.4375</v>
      </c>
      <c r="U310" s="14" t="inlineStr">
        <is>
          <t>100942</t>
        </is>
      </c>
      <c r="W310" t="inlineStr">
        <is>
          <t>sem correspondência</t>
        </is>
      </c>
      <c r="Y310" t="inlineStr"/>
    </row>
    <row r="311" ht="15" customFormat="1" customHeight="1" s="14">
      <c r="A311" s="19" t="inlineStr">
        <is>
          <t>Espaço De Bicho</t>
        </is>
      </c>
      <c r="B311" s="19" t="inlineStr">
        <is>
          <t>Kit 90 Unidades Tapetes Higiênico Pet Like Para Cães 60x60 Slim Good Pad Carvão Ativado</t>
        </is>
      </c>
      <c r="C311" s="19" t="inlineStr">
        <is>
          <t>Sem variação</t>
        </is>
      </c>
      <c r="D311" s="19" t="inlineStr">
        <is>
          <t>0773_3</t>
        </is>
      </c>
      <c r="E311" s="19" t="inlineStr">
        <is>
          <t>48414847300</t>
        </is>
      </c>
      <c r="F311" s="19" t="inlineStr">
        <is>
          <t>0</t>
        </is>
      </c>
      <c r="G311" s="19" t="inlineStr">
        <is>
          <t>NORMAL</t>
        </is>
      </c>
      <c r="H311" s="20" t="n">
        <v>599.8</v>
      </c>
      <c r="I311" s="20" t="n">
        <v>159.9</v>
      </c>
      <c r="J311" s="21" t="inlineStr">
        <is>
          <t>SIM</t>
        </is>
      </c>
      <c r="K311" s="20" t="n">
        <v>159.9</v>
      </c>
      <c r="L311" s="35">
        <f>IF(K311&lt;&gt;"",K311,I311)</f>
        <v/>
      </c>
      <c r="M311" s="30" t="n"/>
      <c r="N311" s="30" t="n"/>
      <c r="O311" s="29" t="n"/>
      <c r="P311" s="80">
        <f>IF($O311="","",L311-O311-(L311*IF(L311&lt;=79.99,20%,14%)+IF(L311&lt;=79.99,4,IF(L311&lt;=99.99,16,IF(L311&lt;=199.99,20,IF(L311&lt;=499.99,26,28)))))-L311*1.3%-L311*6%-(L311-O311)*9.25%-L311*3%-L311*3%-1)</f>
        <v/>
      </c>
      <c r="Q311" s="22">
        <f>IF(AND(K311&lt;&gt;"",H311&gt;0),(H311-K311)/H311,"")</f>
        <v/>
      </c>
      <c r="R311" s="19" t="inlineStr">
        <is>
          <t>909477973245952</t>
        </is>
      </c>
      <c r="S311" s="23" t="n">
        <v>46144.38263888889</v>
      </c>
      <c r="T311" s="23" t="n">
        <v>46295.4375</v>
      </c>
      <c r="U311" s="19" t="inlineStr">
        <is>
          <t>100926</t>
        </is>
      </c>
      <c r="W311" t="inlineStr">
        <is>
          <t>sem correspondência</t>
        </is>
      </c>
      <c r="Y311" t="inlineStr"/>
    </row>
    <row r="312" ht="15" customFormat="1" customHeight="1" s="19">
      <c r="A312" s="14" t="inlineStr">
        <is>
          <t>Espaço De Bicho</t>
        </is>
      </c>
      <c r="B312" s="14" t="inlineStr">
        <is>
          <t>kit adubo fertilizante orquídeas pronto uso manutenção + floração 500 ml forth jardim kit</t>
        </is>
      </c>
      <c r="C312" s="14" t="inlineStr">
        <is>
          <t>Sem variação</t>
        </is>
      </c>
      <c r="D312" s="14" t="inlineStr">
        <is>
          <t>KIT2-FORTH-ORQUIDEAS-500ML</t>
        </is>
      </c>
      <c r="E312" s="14" t="inlineStr">
        <is>
          <t>23899446255</t>
        </is>
      </c>
      <c r="F312" s="14" t="inlineStr">
        <is>
          <t>0</t>
        </is>
      </c>
      <c r="G312" s="14" t="inlineStr">
        <is>
          <t>NORMAL</t>
        </is>
      </c>
      <c r="H312" s="15" t="n">
        <v>89.90000000000001</v>
      </c>
      <c r="I312" s="15" t="n">
        <v>39.9</v>
      </c>
      <c r="J312" s="16" t="inlineStr">
        <is>
          <t>SIM</t>
        </is>
      </c>
      <c r="K312" s="15" t="n">
        <v>39.9</v>
      </c>
      <c r="L312" s="35">
        <f>IF(K312&lt;&gt;"",K312,I312)</f>
        <v/>
      </c>
      <c r="M312" s="28" t="n"/>
      <c r="N312" s="28" t="n"/>
      <c r="O312" s="29" t="n"/>
      <c r="P312" s="80">
        <f>IF($O312="","",L312-O312-(L312*IF(L312&lt;=79.99,20%,14%)+IF(L312&lt;=79.99,4,IF(L312&lt;=99.99,16,IF(L312&lt;=199.99,20,IF(L312&lt;=499.99,26,28)))))-L312*1.3%-L312*6%-(L312-O312)*9.25%-L312*3%-L312*3%-1)</f>
        <v/>
      </c>
      <c r="Q312" s="17">
        <f>IF(AND(K312&lt;&gt;"",H312&gt;0),(H312-K312)/H312,"")</f>
        <v/>
      </c>
      <c r="R312" s="14" t="inlineStr">
        <is>
          <t>909477973245952</t>
        </is>
      </c>
      <c r="S312" s="18" t="n">
        <v>46144.38263888889</v>
      </c>
      <c r="T312" s="18" t="n">
        <v>46295.4375</v>
      </c>
      <c r="U312" s="14" t="inlineStr">
        <is>
          <t>101184</t>
        </is>
      </c>
      <c r="W312" t="inlineStr">
        <is>
          <t>sem correspondência</t>
        </is>
      </c>
      <c r="Y312" t="inlineStr"/>
    </row>
    <row r="313" ht="15" customFormat="1" customHeight="1" s="14">
      <c r="A313" s="19" t="inlineStr">
        <is>
          <t>Espaço De Bicho</t>
        </is>
      </c>
      <c r="B313" s="19" t="inlineStr">
        <is>
          <t>Kit C/ 2 Cartelas de Lexin Com 6 Comprimidos Cada</t>
        </is>
      </c>
      <c r="C313" s="19" t="inlineStr">
        <is>
          <t>Sem variação</t>
        </is>
      </c>
      <c r="D313" s="19" t="inlineStr">
        <is>
          <t>LEXIN-300MG-12COMPS</t>
        </is>
      </c>
      <c r="E313" s="19" t="inlineStr">
        <is>
          <t>58210459464</t>
        </is>
      </c>
      <c r="F313" s="19" t="inlineStr">
        <is>
          <t>0</t>
        </is>
      </c>
      <c r="G313" s="19" t="inlineStr">
        <is>
          <t>NORMAL</t>
        </is>
      </c>
      <c r="H313" s="20" t="n">
        <v>89.90000000000001</v>
      </c>
      <c r="I313" s="20" t="n">
        <v>34.9</v>
      </c>
      <c r="J313" s="21" t="inlineStr">
        <is>
          <t>SIM</t>
        </is>
      </c>
      <c r="K313" s="20" t="n">
        <v>34.9</v>
      </c>
      <c r="L313" s="35">
        <f>IF(K313&lt;&gt;"",K313,I313)</f>
        <v/>
      </c>
      <c r="M313" s="30" t="n"/>
      <c r="N313" s="30" t="n"/>
      <c r="O313" s="29" t="n"/>
      <c r="P313" s="80">
        <f>IF($O313="","",L313-O313-(L313*IF(L313&lt;=79.99,20%,14%)+IF(L313&lt;=79.99,4,IF(L313&lt;=99.99,16,IF(L313&lt;=199.99,20,IF(L313&lt;=499.99,26,28)))))-L313*1.3%-L313*6%-(L313-O313)*9.25%-L313*3%-L313*3%-1)</f>
        <v/>
      </c>
      <c r="Q313" s="22">
        <f>IF(AND(K313&lt;&gt;"",H313&gt;0),(H313-K313)/H313,"")</f>
        <v/>
      </c>
      <c r="R313" s="19" t="inlineStr">
        <is>
          <t>909477973245952</t>
        </is>
      </c>
      <c r="S313" s="23" t="n">
        <v>46144.38263888889</v>
      </c>
      <c r="T313" s="23" t="n">
        <v>46295.4375</v>
      </c>
      <c r="U313" s="19" t="inlineStr">
        <is>
          <t>100942</t>
        </is>
      </c>
      <c r="W313" t="inlineStr">
        <is>
          <t>sem correspondência</t>
        </is>
      </c>
      <c r="Y313" t="inlineStr"/>
    </row>
    <row r="314" ht="15" customFormat="1" customHeight="1" s="19">
      <c r="A314" s="14" t="inlineStr">
        <is>
          <t>Espaço De Bicho</t>
        </is>
      </c>
      <c r="B314" s="14" t="inlineStr">
        <is>
          <t>Kit Caixa de Areia Para Gatos Banheira Higiênica 2 Peças Com Bandeja Sanitária e Peneira + Pázinha</t>
        </is>
      </c>
      <c r="C314" s="14" t="inlineStr">
        <is>
          <t>Azul</t>
        </is>
      </c>
      <c r="D314" s="14" t="inlineStr">
        <is>
          <t>KIT-CAIXA+PÁZINHA-AZ</t>
        </is>
      </c>
      <c r="E314" s="14" t="inlineStr">
        <is>
          <t>58206315758</t>
        </is>
      </c>
      <c r="F314" s="14" t="inlineStr">
        <is>
          <t>199186642468</t>
        </is>
      </c>
      <c r="G314" s="14" t="inlineStr">
        <is>
          <t>NORMAL</t>
        </is>
      </c>
      <c r="H314" s="15" t="n">
        <v>99.90000000000001</v>
      </c>
      <c r="I314" s="15" t="n">
        <v>69.90000000000001</v>
      </c>
      <c r="J314" s="16" t="inlineStr">
        <is>
          <t>SIM</t>
        </is>
      </c>
      <c r="K314" s="15" t="n">
        <v>69.90000000000001</v>
      </c>
      <c r="L314" s="35">
        <f>IF(K314&lt;&gt;"",K314,I314)</f>
        <v/>
      </c>
      <c r="M314" s="33" t="n"/>
      <c r="N314" s="28" t="n"/>
      <c r="O314" s="29" t="n"/>
      <c r="P314" s="80">
        <f>IF($O314="","",L314-O314-(L314*IF(L314&lt;=79.99,20%,14%)+IF(L314&lt;=79.99,4,IF(L314&lt;=99.99,16,IF(L314&lt;=199.99,20,IF(L314&lt;=499.99,26,28)))))-L314*1.3%-L314*6%-(L314-O314)*9.25%-L314*3%-L314*3%-1)</f>
        <v/>
      </c>
      <c r="Q314" s="17">
        <f>IF(AND(K314&lt;&gt;"",H314&gt;0),(H314-K314)/H314,"")</f>
        <v/>
      </c>
      <c r="R314" s="14" t="inlineStr">
        <is>
          <t>909477973245952</t>
        </is>
      </c>
      <c r="S314" s="18" t="n">
        <v>46144.38263888889</v>
      </c>
      <c r="T314" s="18" t="n">
        <v>46295.4375</v>
      </c>
      <c r="U314" s="14" t="inlineStr">
        <is>
          <t>100924</t>
        </is>
      </c>
      <c r="W314" t="inlineStr">
        <is>
          <t>sem correspondência</t>
        </is>
      </c>
      <c r="Y314" t="inlineStr"/>
    </row>
    <row r="315" ht="15" customFormat="1" customHeight="1" s="14">
      <c r="A315" s="19" t="inlineStr">
        <is>
          <t>Espaço De Bicho</t>
        </is>
      </c>
      <c r="B315" s="19" t="inlineStr">
        <is>
          <t>Kit Caixa de Areia Para Gatos Banheira Higiênica 2 Peças Com Bandeja Sanitária e Peneira + Pázinha</t>
        </is>
      </c>
      <c r="C315" s="19" t="inlineStr">
        <is>
          <t>Preto</t>
        </is>
      </c>
      <c r="D315" s="19" t="inlineStr">
        <is>
          <t>KIT-CAIXA+PÁZINHA-PT</t>
        </is>
      </c>
      <c r="E315" s="19" t="inlineStr">
        <is>
          <t>58206315758</t>
        </is>
      </c>
      <c r="F315" s="19" t="inlineStr">
        <is>
          <t>199186642467</t>
        </is>
      </c>
      <c r="G315" s="19" t="inlineStr">
        <is>
          <t>NORMAL</t>
        </is>
      </c>
      <c r="H315" s="20" t="n">
        <v>99.90000000000001</v>
      </c>
      <c r="I315" s="20" t="n">
        <v>69.90000000000001</v>
      </c>
      <c r="J315" s="21" t="inlineStr">
        <is>
          <t>SIM</t>
        </is>
      </c>
      <c r="K315" s="20" t="n">
        <v>69.90000000000001</v>
      </c>
      <c r="L315" s="35">
        <f>IF(K315&lt;&gt;"",K315,I315)</f>
        <v/>
      </c>
      <c r="M315" s="32" t="n"/>
      <c r="N315" s="30" t="n"/>
      <c r="O315" s="29" t="n"/>
      <c r="P315" s="80">
        <f>IF($O315="","",L315-O315-(L315*IF(L315&lt;=79.99,20%,14%)+IF(L315&lt;=79.99,4,IF(L315&lt;=99.99,16,IF(L315&lt;=199.99,20,IF(L315&lt;=499.99,26,28)))))-L315*1.3%-L315*6%-(L315-O315)*9.25%-L315*3%-L315*3%-1)</f>
        <v/>
      </c>
      <c r="Q315" s="22">
        <f>IF(AND(K315&lt;&gt;"",H315&gt;0),(H315-K315)/H315,"")</f>
        <v/>
      </c>
      <c r="R315" s="19" t="inlineStr">
        <is>
          <t>909477973245952</t>
        </is>
      </c>
      <c r="S315" s="23" t="n">
        <v>46144.38263888889</v>
      </c>
      <c r="T315" s="23" t="n">
        <v>46295.4375</v>
      </c>
      <c r="U315" s="19" t="inlineStr">
        <is>
          <t>100924</t>
        </is>
      </c>
      <c r="W315" t="inlineStr">
        <is>
          <t>sem correspondência</t>
        </is>
      </c>
      <c r="Y315" t="inlineStr"/>
    </row>
    <row r="316" ht="15" customFormat="1" customHeight="1" s="19">
      <c r="A316" s="14" t="inlineStr">
        <is>
          <t>Espaço De Bicho</t>
        </is>
      </c>
      <c r="B316" s="14" t="inlineStr">
        <is>
          <t>Kit Caixa de Areia Para Gatos Banheira Higiênica 2 Peças Com Bandeja Sanitária e Peneira + Pázinha</t>
        </is>
      </c>
      <c r="C316" s="14" t="inlineStr">
        <is>
          <t>Tiffane</t>
        </is>
      </c>
      <c r="D316" s="14" t="inlineStr">
        <is>
          <t>KIT-CAIXA+PÁZINHA-TF</t>
        </is>
      </c>
      <c r="E316" s="14" t="inlineStr">
        <is>
          <t>58206315758</t>
        </is>
      </c>
      <c r="F316" s="14" t="inlineStr">
        <is>
          <t>199186642469</t>
        </is>
      </c>
      <c r="G316" s="14" t="inlineStr">
        <is>
          <t>NORMAL</t>
        </is>
      </c>
      <c r="H316" s="15" t="n">
        <v>99.90000000000001</v>
      </c>
      <c r="I316" s="15" t="n">
        <v>69.90000000000001</v>
      </c>
      <c r="J316" s="16" t="inlineStr">
        <is>
          <t>SIM</t>
        </is>
      </c>
      <c r="K316" s="15" t="n">
        <v>69.90000000000001</v>
      </c>
      <c r="L316" s="35">
        <f>IF(K316&lt;&gt;"",K316,I316)</f>
        <v/>
      </c>
      <c r="M316" s="33" t="n"/>
      <c r="N316" s="28" t="n"/>
      <c r="O316" s="29" t="n"/>
      <c r="P316" s="80">
        <f>IF($O316="","",L316-O316-(L316*IF(L316&lt;=79.99,20%,14%)+IF(L316&lt;=79.99,4,IF(L316&lt;=99.99,16,IF(L316&lt;=199.99,20,IF(L316&lt;=499.99,26,28)))))-L316*1.3%-L316*6%-(L316-O316)*9.25%-L316*3%-L316*3%-1)</f>
        <v/>
      </c>
      <c r="Q316" s="17">
        <f>IF(AND(K316&lt;&gt;"",H316&gt;0),(H316-K316)/H316,"")</f>
        <v/>
      </c>
      <c r="R316" s="14" t="inlineStr">
        <is>
          <t>909477973245952</t>
        </is>
      </c>
      <c r="S316" s="18" t="n">
        <v>46144.38263888889</v>
      </c>
      <c r="T316" s="18" t="n">
        <v>46295.4375</v>
      </c>
      <c r="U316" s="14" t="inlineStr">
        <is>
          <t>100924</t>
        </is>
      </c>
      <c r="W316" t="inlineStr">
        <is>
          <t>sem correspondência</t>
        </is>
      </c>
      <c r="Y316" t="inlineStr"/>
    </row>
    <row r="317" ht="15" customFormat="1" customHeight="1" s="14">
      <c r="A317" s="19" t="inlineStr">
        <is>
          <t>Espaço De Bicho</t>
        </is>
      </c>
      <c r="B317" s="19" t="inlineStr">
        <is>
          <t>Kit Caixa de Areia Para Gatos Banheira Higiênica 2 Peças Com Bandeja Sanitária e Peneira + Pázinha</t>
        </is>
      </c>
      <c r="C317" s="19" t="inlineStr">
        <is>
          <t>Vermelho</t>
        </is>
      </c>
      <c r="D317" s="19" t="inlineStr">
        <is>
          <t>KIT-CAIXA+PÁZINHA-VM</t>
        </is>
      </c>
      <c r="E317" s="19" t="inlineStr">
        <is>
          <t>58206315758</t>
        </is>
      </c>
      <c r="F317" s="19" t="inlineStr">
        <is>
          <t>199186642470</t>
        </is>
      </c>
      <c r="G317" s="19" t="inlineStr">
        <is>
          <t>NORMAL</t>
        </is>
      </c>
      <c r="H317" s="20" t="n">
        <v>99.90000000000001</v>
      </c>
      <c r="I317" s="20" t="n">
        <v>69.90000000000001</v>
      </c>
      <c r="J317" s="21" t="inlineStr">
        <is>
          <t>SIM</t>
        </is>
      </c>
      <c r="K317" s="20" t="n">
        <v>69.90000000000001</v>
      </c>
      <c r="L317" s="35">
        <f>IF(K317&lt;&gt;"",K317,I317)</f>
        <v/>
      </c>
      <c r="M317" s="32" t="n"/>
      <c r="N317" s="30" t="n"/>
      <c r="O317" s="29" t="n"/>
      <c r="P317" s="80">
        <f>IF($O317="","",L317-O317-(L317*IF(L317&lt;=79.99,20%,14%)+IF(L317&lt;=79.99,4,IF(L317&lt;=99.99,16,IF(L317&lt;=199.99,20,IF(L317&lt;=499.99,26,28)))))-L317*1.3%-L317*6%-(L317-O317)*9.25%-L317*3%-L317*3%-1)</f>
        <v/>
      </c>
      <c r="Q317" s="22">
        <f>IF(AND(K317&lt;&gt;"",H317&gt;0),(H317-K317)/H317,"")</f>
        <v/>
      </c>
      <c r="R317" s="19" t="inlineStr">
        <is>
          <t>909477973245952</t>
        </is>
      </c>
      <c r="S317" s="23" t="n">
        <v>46144.38263888889</v>
      </c>
      <c r="T317" s="23" t="n">
        <v>46295.4375</v>
      </c>
      <c r="U317" s="19" t="inlineStr">
        <is>
          <t>100924</t>
        </is>
      </c>
      <c r="W317" t="inlineStr">
        <is>
          <t>sem correspondência</t>
        </is>
      </c>
      <c r="Y317" t="inlineStr"/>
    </row>
    <row r="318" ht="15" customFormat="1" customHeight="1" s="19">
      <c r="A318" s="14" t="inlineStr">
        <is>
          <t>Espaço De Bicho</t>
        </is>
      </c>
      <c r="B318" s="14" t="inlineStr">
        <is>
          <t>Kit Protetor De Colchão  Lençol Oliver Home G Descartável Cadeira de Rodas Pós Operatório Impermeável</t>
        </is>
      </c>
      <c r="C318" s="14" t="inlineStr">
        <is>
          <t>KIT 2 - 10 UNIDADES</t>
        </is>
      </c>
      <c r="D318" s="14" t="inlineStr">
        <is>
          <t>2PCT-PROTETOR-COLCHÃO</t>
        </is>
      </c>
      <c r="E318" s="14" t="inlineStr">
        <is>
          <t>23593573884</t>
        </is>
      </c>
      <c r="F318" s="14" t="inlineStr">
        <is>
          <t>229413614022</t>
        </is>
      </c>
      <c r="G318" s="14" t="inlineStr">
        <is>
          <t>NORMAL</t>
        </is>
      </c>
      <c r="H318" s="15" t="n">
        <v>59.9</v>
      </c>
      <c r="I318" s="15" t="n">
        <v>48.89</v>
      </c>
      <c r="J318" s="16" t="inlineStr">
        <is>
          <t>SIM</t>
        </is>
      </c>
      <c r="K318" s="15" t="n">
        <v>48.89</v>
      </c>
      <c r="L318" s="35">
        <f>IF(K318&lt;&gt;"",K318,I318)</f>
        <v/>
      </c>
      <c r="M318" s="84" t="n">
        <v>2</v>
      </c>
      <c r="N318" s="85" t="n">
        <v>7.31</v>
      </c>
      <c r="O318" s="80">
        <f>ROUND(M318*N318,2)</f>
        <v/>
      </c>
      <c r="P318" s="80">
        <f>IF($O318="","",L318-O318-(L318*IF(L318&lt;=79.99,20%,14%)+IF(L318&lt;=79.99,4,IF(L318&lt;=99.99,16,IF(L318&lt;=199.99,20,IF(L318&lt;=499.99,26,28)))))-L318*1.3%-L318*6%-(L318-O318)*9.25%-L318*3%-L318*3%-1)</f>
        <v/>
      </c>
      <c r="Q318" s="17">
        <f>IF(AND(K318&lt;&gt;"",H318&gt;0),(H318-K318)/H318,"")</f>
        <v/>
      </c>
      <c r="R318" s="14" t="inlineStr">
        <is>
          <t>909477973245952</t>
        </is>
      </c>
      <c r="S318" s="18" t="n">
        <v>46144.38263888889</v>
      </c>
      <c r="T318" s="18" t="n">
        <v>46295.4375</v>
      </c>
      <c r="U318" s="14" t="inlineStr">
        <is>
          <t>101145</t>
        </is>
      </c>
      <c r="V318" t="inlineStr">
        <is>
          <t>213170</t>
        </is>
      </c>
      <c r="W318" t="inlineStr">
        <is>
          <t>herdado do anúncio (escalado 15→10 un) · custo do KIT 213680 (2× 213170)</t>
        </is>
      </c>
      <c r="Y318" t="inlineStr">
        <is>
          <t>ok</t>
        </is>
      </c>
    </row>
    <row r="319" ht="15" customFormat="1" customHeight="1" s="14">
      <c r="A319" s="14" t="inlineStr">
        <is>
          <t>Espaço De Bicho</t>
        </is>
      </c>
      <c r="B319" s="14" t="inlineStr">
        <is>
          <t>Kit Protetor De Colchão  Lençol Oliver Home G Descartável Cadeira de Rodas Pós Operatório Impermeável</t>
        </is>
      </c>
      <c r="C319" s="14" t="inlineStr">
        <is>
          <t>KIT 4 - 20 UNIDADES</t>
        </is>
      </c>
      <c r="D319" s="14" t="inlineStr">
        <is>
          <t>4PCT-PROTETOR-COLCHÃO</t>
        </is>
      </c>
      <c r="E319" s="14" t="inlineStr">
        <is>
          <t>23593573884</t>
        </is>
      </c>
      <c r="F319" s="14" t="inlineStr">
        <is>
          <t>229413614024</t>
        </is>
      </c>
      <c r="G319" s="14" t="inlineStr">
        <is>
          <t>NORMAL</t>
        </is>
      </c>
      <c r="H319" s="15" t="n">
        <v>99.90000000000001</v>
      </c>
      <c r="I319" s="15" t="n">
        <v>97.90000000000001</v>
      </c>
      <c r="J319" s="16" t="inlineStr">
        <is>
          <t>SIM</t>
        </is>
      </c>
      <c r="K319" s="15" t="n">
        <v>97.90000000000001</v>
      </c>
      <c r="L319" s="35">
        <f>IF(K319&lt;&gt;"",K319,I319)</f>
        <v/>
      </c>
      <c r="M319" s="84" t="n">
        <v>4</v>
      </c>
      <c r="N319" s="85" t="n">
        <v>7.31</v>
      </c>
      <c r="O319" s="80">
        <f>ROUND(M319*N319,2)</f>
        <v/>
      </c>
      <c r="P319" s="80">
        <f>IF($O319="","",L319-O319-(L319*IF(L319&lt;=79.99,20%,14%)+IF(L319&lt;=79.99,4,IF(L319&lt;=99.99,16,IF(L319&lt;=199.99,20,IF(L319&lt;=499.99,26,28)))))-L319*1.3%-L319*6%-(L319-O319)*9.25%-L319*3%-L319*3%-1)</f>
        <v/>
      </c>
      <c r="Q319" s="17">
        <f>IF(AND(K319&lt;&gt;"",H319&gt;0),(H319-K319)/H319,"")</f>
        <v/>
      </c>
      <c r="R319" s="14" t="inlineStr">
        <is>
          <t>909477973245952</t>
        </is>
      </c>
      <c r="S319" s="18" t="n">
        <v>46144.38263888889</v>
      </c>
      <c r="T319" s="18" t="n">
        <v>46295.4375</v>
      </c>
      <c r="U319" s="14" t="inlineStr">
        <is>
          <t>101145</t>
        </is>
      </c>
      <c r="V319" t="inlineStr">
        <is>
          <t>213170</t>
        </is>
      </c>
      <c r="W319" t="inlineStr">
        <is>
          <t>herdado do anúncio (escalado 15→20 un) · custo do KIT 213682 (4× 213170)</t>
        </is>
      </c>
      <c r="Y319" t="inlineStr">
        <is>
          <t>ok</t>
        </is>
      </c>
    </row>
    <row r="320" ht="15" customFormat="1" customHeight="1" s="19">
      <c r="A320" s="14" t="inlineStr">
        <is>
          <t>Espaço De Bicho</t>
        </is>
      </c>
      <c r="B320" s="14" t="inlineStr">
        <is>
          <t>Kit Senspert Erlichiose Em Cães 1 Teste Dechra</t>
        </is>
      </c>
      <c r="C320" s="14" t="inlineStr">
        <is>
          <t>Sem variação</t>
        </is>
      </c>
      <c r="D320" s="14" t="inlineStr">
        <is>
          <t>0660</t>
        </is>
      </c>
      <c r="E320" s="14" t="inlineStr">
        <is>
          <t>21827595765</t>
        </is>
      </c>
      <c r="F320" s="14" t="inlineStr">
        <is>
          <t>0</t>
        </is>
      </c>
      <c r="G320" s="14" t="inlineStr">
        <is>
          <t>NORMAL</t>
        </is>
      </c>
      <c r="H320" s="15" t="n">
        <v>70.90000000000001</v>
      </c>
      <c r="I320" s="15" t="n">
        <v>70.90000000000001</v>
      </c>
      <c r="J320" s="16" t="inlineStr">
        <is>
          <t>NÃO</t>
        </is>
      </c>
      <c r="K320" s="15" t="n"/>
      <c r="L320" s="35">
        <f>IF(K320&lt;&gt;"",K320,I320)</f>
        <v/>
      </c>
      <c r="M320" s="28" t="n"/>
      <c r="N320" s="28" t="n"/>
      <c r="O320" s="29" t="n"/>
      <c r="P320" s="80">
        <f>IF($O320="","",L320-O320-(L320*IF(L320&lt;=79.99,20%,14%)+IF(L320&lt;=79.99,4,IF(L320&lt;=99.99,16,IF(L320&lt;=199.99,20,IF(L320&lt;=499.99,26,28)))))-L320*1.3%-L320*6%-(L320-O320)*9.25%-L320*3%-L320*3%-1)</f>
        <v/>
      </c>
      <c r="Q320" s="17">
        <f>IF(AND(K320&lt;&gt;"",H320&gt;0),(H320-K320)/H320,"")</f>
        <v/>
      </c>
      <c r="R320" s="14" t="inlineStr"/>
      <c r="S320" s="18" t="n"/>
      <c r="T320" s="18" t="n"/>
      <c r="U320" s="14" t="inlineStr">
        <is>
          <t>100942</t>
        </is>
      </c>
      <c r="W320" t="inlineStr">
        <is>
          <t>sem correspondência</t>
        </is>
      </c>
      <c r="Y320" t="inlineStr"/>
    </row>
    <row r="321" ht="15" customFormat="1" customHeight="1" s="14">
      <c r="A321" s="19" t="inlineStr">
        <is>
          <t>Espaço De Bicho</t>
        </is>
      </c>
      <c r="B321" s="19" t="inlineStr">
        <is>
          <t>Kit Senspert Teste Giardia Em Cães E Gatos</t>
        </is>
      </c>
      <c r="C321" s="19" t="inlineStr">
        <is>
          <t>Sem variação</t>
        </is>
      </c>
      <c r="D321" s="19" t="inlineStr">
        <is>
          <t>042</t>
        </is>
      </c>
      <c r="E321" s="19" t="inlineStr">
        <is>
          <t>20827576924</t>
        </is>
      </c>
      <c r="F321" s="19" t="inlineStr">
        <is>
          <t>0</t>
        </is>
      </c>
      <c r="G321" s="19" t="inlineStr">
        <is>
          <t>NORMAL</t>
        </is>
      </c>
      <c r="H321" s="20" t="n">
        <v>77.90000000000001</v>
      </c>
      <c r="I321" s="20" t="n">
        <v>64.90000000000001</v>
      </c>
      <c r="J321" s="21" t="inlineStr">
        <is>
          <t>SIM</t>
        </is>
      </c>
      <c r="K321" s="20" t="n">
        <v>64.90000000000001</v>
      </c>
      <c r="L321" s="35">
        <f>IF(K321&lt;&gt;"",K321,I321)</f>
        <v/>
      </c>
      <c r="M321" s="30" t="n"/>
      <c r="N321" s="30" t="n"/>
      <c r="O321" s="29" t="n"/>
      <c r="P321" s="80">
        <f>IF($O321="","",L321-O321-(L321*IF(L321&lt;=79.99,20%,14%)+IF(L321&lt;=79.99,4,IF(L321&lt;=99.99,16,IF(L321&lt;=199.99,20,IF(L321&lt;=499.99,26,28)))))-L321*1.3%-L321*6%-(L321-O321)*9.25%-L321*3%-L321*3%-1)</f>
        <v/>
      </c>
      <c r="Q321" s="22">
        <f>IF(AND(K321&lt;&gt;"",H321&gt;0),(H321-K321)/H321,"")</f>
        <v/>
      </c>
      <c r="R321" s="19" t="inlineStr">
        <is>
          <t>909477973245952</t>
        </is>
      </c>
      <c r="S321" s="23" t="n">
        <v>46144.38263888889</v>
      </c>
      <c r="T321" s="23" t="n">
        <v>46295.4375</v>
      </c>
      <c r="U321" s="19" t="inlineStr">
        <is>
          <t>100942</t>
        </is>
      </c>
      <c r="W321" t="inlineStr">
        <is>
          <t>sem correspondência</t>
        </is>
      </c>
      <c r="Y321" t="inlineStr"/>
    </row>
    <row r="322" ht="15" customFormat="1" customHeight="1" s="19">
      <c r="A322" s="14" t="inlineStr">
        <is>
          <t>Espaço De Bicho</t>
        </is>
      </c>
      <c r="B322" s="14" t="inlineStr">
        <is>
          <t>Kit Senspert Teste Leishmaniose Em Cães - Laboratório Dechra</t>
        </is>
      </c>
      <c r="C322" s="14" t="inlineStr">
        <is>
          <t>Sem variação</t>
        </is>
      </c>
      <c r="D322" s="14" t="inlineStr">
        <is>
          <t>0201</t>
        </is>
      </c>
      <c r="E322" s="14" t="inlineStr">
        <is>
          <t>20527588407</t>
        </is>
      </c>
      <c r="F322" s="14" t="inlineStr">
        <is>
          <t>0</t>
        </is>
      </c>
      <c r="G322" s="14" t="inlineStr">
        <is>
          <t>NORMAL</t>
        </is>
      </c>
      <c r="H322" s="15" t="n">
        <v>70.90000000000001</v>
      </c>
      <c r="I322" s="15" t="n">
        <v>64.90000000000001</v>
      </c>
      <c r="J322" s="16" t="inlineStr">
        <is>
          <t>SIM</t>
        </is>
      </c>
      <c r="K322" s="15" t="n">
        <v>64.90000000000001</v>
      </c>
      <c r="L322" s="35">
        <f>IF(K322&lt;&gt;"",K322,I322)</f>
        <v/>
      </c>
      <c r="M322" s="28" t="n"/>
      <c r="N322" s="28" t="n"/>
      <c r="O322" s="29" t="n"/>
      <c r="P322" s="80">
        <f>IF($O322="","",L322-O322-(L322*IF(L322&lt;=79.99,20%,14%)+IF(L322&lt;=79.99,4,IF(L322&lt;=99.99,16,IF(L322&lt;=199.99,20,IF(L322&lt;=499.99,26,28)))))-L322*1.3%-L322*6%-(L322-O322)*9.25%-L322*3%-L322*3%-1)</f>
        <v/>
      </c>
      <c r="Q322" s="17">
        <f>IF(AND(K322&lt;&gt;"",H322&gt;0),(H322-K322)/H322,"")</f>
        <v/>
      </c>
      <c r="R322" s="14" t="inlineStr">
        <is>
          <t>909477973245952</t>
        </is>
      </c>
      <c r="S322" s="18" t="n">
        <v>46144.38263888889</v>
      </c>
      <c r="T322" s="18" t="n">
        <v>46295.4375</v>
      </c>
      <c r="U322" s="14" t="inlineStr">
        <is>
          <t>100942</t>
        </is>
      </c>
      <c r="W322" t="inlineStr">
        <is>
          <t>sem correspondência</t>
        </is>
      </c>
      <c r="Y322" t="inlineStr"/>
    </row>
    <row r="323" ht="15" customFormat="1" customHeight="1" s="14">
      <c r="A323" s="14" t="inlineStr">
        <is>
          <t>Espaço De Bicho</t>
        </is>
      </c>
      <c r="B323" s="14" t="inlineStr">
        <is>
          <t>Kit Tapete Higiênico Mozão Aroma Lavanda 80x60cm 120 Unidades</t>
        </is>
      </c>
      <c r="C323" s="14" t="inlineStr">
        <is>
          <t>Sem variação</t>
        </is>
      </c>
      <c r="D323" s="14" t="inlineStr">
        <is>
          <t>TAPETE-MOZAO-LAVANDA-120</t>
        </is>
      </c>
      <c r="E323" s="14" t="inlineStr">
        <is>
          <t>50215204092</t>
        </is>
      </c>
      <c r="F323" s="14" t="inlineStr">
        <is>
          <t>0</t>
        </is>
      </c>
      <c r="G323" s="14" t="inlineStr">
        <is>
          <t>NORMAL</t>
        </is>
      </c>
      <c r="H323" s="15" t="n">
        <v>279.6</v>
      </c>
      <c r="I323" s="15" t="n">
        <v>279.6</v>
      </c>
      <c r="J323" s="16" t="inlineStr">
        <is>
          <t>NÃO</t>
        </is>
      </c>
      <c r="K323" s="15" t="n"/>
      <c r="L323" s="35">
        <f>IF(K323&lt;&gt;"",K323,I323)</f>
        <v/>
      </c>
      <c r="M323" s="28" t="n"/>
      <c r="N323" s="28" t="n"/>
      <c r="O323" s="29" t="n"/>
      <c r="P323" s="80">
        <f>IF($O323="","",L323-O323-(L323*IF(L323&lt;=79.99,20%,14%)+IF(L323&lt;=79.99,4,IF(L323&lt;=99.99,16,IF(L323&lt;=199.99,20,IF(L323&lt;=499.99,26,28)))))-L323*1.3%-L323*6%-(L323-O323)*9.25%-L323*3%-L323*3%-1)</f>
        <v/>
      </c>
      <c r="Q323" s="17">
        <f>IF(AND(K323&lt;&gt;"",H323&gt;0),(H323-K323)/H323,"")</f>
        <v/>
      </c>
      <c r="R323" s="14" t="inlineStr"/>
      <c r="S323" s="18" t="n"/>
      <c r="T323" s="18" t="n"/>
      <c r="U323" s="14" t="inlineStr">
        <is>
          <t>100926</t>
        </is>
      </c>
      <c r="W323" t="inlineStr">
        <is>
          <t>sem correspondência</t>
        </is>
      </c>
      <c r="Y323" t="inlineStr"/>
    </row>
    <row r="324" ht="15" customFormat="1" customHeight="1" s="19">
      <c r="A324" s="19" t="inlineStr">
        <is>
          <t>Espaço De Bicho</t>
        </is>
      </c>
      <c r="B324" s="19" t="inlineStr">
        <is>
          <t>Kit Tapete Higiênico Mozão Aroma Lavanda 80x60cm 30unidades</t>
        </is>
      </c>
      <c r="C324" s="19" t="inlineStr">
        <is>
          <t>120 Unidades</t>
        </is>
      </c>
      <c r="D324" s="19" t="inlineStr">
        <is>
          <t>TAPETE-MOZAO-LAVANDA-120</t>
        </is>
      </c>
      <c r="E324" s="19" t="inlineStr">
        <is>
          <t>50265209038</t>
        </is>
      </c>
      <c r="F324" s="19" t="inlineStr">
        <is>
          <t>326303980568</t>
        </is>
      </c>
      <c r="G324" s="19" t="inlineStr">
        <is>
          <t>NORMAL</t>
        </is>
      </c>
      <c r="H324" s="20" t="n">
        <v>279.6</v>
      </c>
      <c r="I324" s="20" t="n">
        <v>279.6</v>
      </c>
      <c r="J324" s="21" t="inlineStr">
        <is>
          <t>NÃO</t>
        </is>
      </c>
      <c r="K324" s="20" t="n"/>
      <c r="L324" s="35">
        <f>IF(K324&lt;&gt;"",K324,I324)</f>
        <v/>
      </c>
      <c r="M324" s="81" t="n">
        <v>4</v>
      </c>
      <c r="N324" s="82" t="n">
        <v>33.98</v>
      </c>
      <c r="O324" s="83">
        <f>ROUND(M324*N324,2)</f>
        <v/>
      </c>
      <c r="P324" s="80">
        <f>IF($O324="","",L324-O324-(L324*IF(L324&lt;=79.99,20%,14%)+IF(L324&lt;=79.99,4,IF(L324&lt;=99.99,16,IF(L324&lt;=199.99,20,IF(L324&lt;=499.99,26,28)))))-L324*1.3%-L324*6%-(L324-O324)*9.25%-L324*3%-L324*3%-1)</f>
        <v/>
      </c>
      <c r="Q324" s="22">
        <f>IF(AND(K324&lt;&gt;"",H324&gt;0),(H324-K324)/H324,"")</f>
        <v/>
      </c>
      <c r="R324" s="19" t="inlineStr"/>
      <c r="S324" s="23" t="n"/>
      <c r="T324" s="23" t="n"/>
      <c r="U324" s="19" t="inlineStr">
        <is>
          <t>100926</t>
        </is>
      </c>
      <c r="V324" t="inlineStr">
        <is>
          <t>216182</t>
        </is>
      </c>
      <c r="W324" t="inlineStr">
        <is>
          <t>herdado do anúncio (escalado 30→120 un) · custo do KIT 216205 (4× 216182)</t>
        </is>
      </c>
      <c r="Y324" t="inlineStr">
        <is>
          <t>ok</t>
        </is>
      </c>
    </row>
    <row r="325" ht="15" customFormat="1" customHeight="1" s="14">
      <c r="A325" s="14" t="inlineStr">
        <is>
          <t>Espaço De Bicho</t>
        </is>
      </c>
      <c r="B325" s="14" t="inlineStr">
        <is>
          <t>Kit Tapete Higiênico Mozão Aroma Lavanda 80x60cm 30unidades</t>
        </is>
      </c>
      <c r="C325" s="14" t="inlineStr">
        <is>
          <t>30 Unidades</t>
        </is>
      </c>
      <c r="D325" s="14" t="inlineStr">
        <is>
          <t>TAPETE-MOZAO-LAVANDA-30</t>
        </is>
      </c>
      <c r="E325" s="14" t="inlineStr">
        <is>
          <t>50265209038</t>
        </is>
      </c>
      <c r="F325" s="14" t="inlineStr">
        <is>
          <t>326303980565</t>
        </is>
      </c>
      <c r="G325" s="14" t="inlineStr">
        <is>
          <t>NORMAL</t>
        </is>
      </c>
      <c r="H325" s="15" t="n">
        <v>69.90000000000001</v>
      </c>
      <c r="I325" s="15" t="n">
        <v>69.90000000000001</v>
      </c>
      <c r="J325" s="16" t="inlineStr">
        <is>
          <t>NÃO</t>
        </is>
      </c>
      <c r="K325" s="15" t="n"/>
      <c r="L325" s="35">
        <f>IF(K325&lt;&gt;"",K325,I325)</f>
        <v/>
      </c>
      <c r="M325" s="84" t="n">
        <v>1</v>
      </c>
      <c r="N325" s="85" t="n">
        <v>33.98</v>
      </c>
      <c r="O325" s="80">
        <f>ROUND(M325*N325,2)</f>
        <v/>
      </c>
      <c r="P325" s="80">
        <f>IF($O325="","",L325-O325-(L325*IF(L325&lt;=79.99,20%,14%)+IF(L325&lt;=79.99,4,IF(L325&lt;=99.99,16,IF(L325&lt;=199.99,20,IF(L325&lt;=499.99,26,28)))))-L325*1.3%-L325*6%-(L325-O325)*9.25%-L325*3%-L325*3%-1)</f>
        <v/>
      </c>
      <c r="Q325" s="17">
        <f>IF(AND(K325&lt;&gt;"",H325&gt;0),(H325-K325)/H325,"")</f>
        <v/>
      </c>
      <c r="R325" s="14" t="inlineStr"/>
      <c r="S325" s="18" t="n"/>
      <c r="T325" s="18" t="n"/>
      <c r="U325" s="14" t="inlineStr">
        <is>
          <t>100926</t>
        </is>
      </c>
      <c r="V325" t="inlineStr">
        <is>
          <t>216182</t>
        </is>
      </c>
      <c r="W325" t="inlineStr">
        <is>
          <t>venda casada (1 pedido) · custo do KIT 216202 (1× 216182)</t>
        </is>
      </c>
      <c r="X325" t="n">
        <v>1</v>
      </c>
      <c r="Y325" t="inlineStr">
        <is>
          <t>⚠ evidência fraca (1 pedido)</t>
        </is>
      </c>
    </row>
    <row r="326" ht="15" customFormat="1" customHeight="1" s="19">
      <c r="A326" s="19" t="inlineStr">
        <is>
          <t>Espaço De Bicho</t>
        </is>
      </c>
      <c r="B326" s="19" t="inlineStr">
        <is>
          <t>Kit Tapete Higiênico Mozão Aroma Lavanda 80x60cm 30unidades</t>
        </is>
      </c>
      <c r="C326" s="19" t="inlineStr">
        <is>
          <t>60 Unidades</t>
        </is>
      </c>
      <c r="D326" s="19" t="inlineStr">
        <is>
          <t>TAPETE-MOZAO-LAVANDA-60</t>
        </is>
      </c>
      <c r="E326" s="19" t="inlineStr">
        <is>
          <t>50265209038</t>
        </is>
      </c>
      <c r="F326" s="19" t="inlineStr">
        <is>
          <t>326303980566</t>
        </is>
      </c>
      <c r="G326" s="19" t="inlineStr">
        <is>
          <t>NORMAL</t>
        </is>
      </c>
      <c r="H326" s="20" t="n">
        <v>139.8</v>
      </c>
      <c r="I326" s="20" t="n">
        <v>139.8</v>
      </c>
      <c r="J326" s="21" t="inlineStr">
        <is>
          <t>NÃO</t>
        </is>
      </c>
      <c r="K326" s="20" t="n"/>
      <c r="L326" s="35">
        <f>IF(K326&lt;&gt;"",K326,I326)</f>
        <v/>
      </c>
      <c r="M326" s="81" t="n">
        <v>2</v>
      </c>
      <c r="N326" s="82" t="n">
        <v>33.98</v>
      </c>
      <c r="O326" s="83">
        <f>ROUND(M326*N326,2)</f>
        <v/>
      </c>
      <c r="P326" s="80">
        <f>IF($O326="","",L326-O326-(L326*IF(L326&lt;=79.99,20%,14%)+IF(L326&lt;=79.99,4,IF(L326&lt;=99.99,16,IF(L326&lt;=199.99,20,IF(L326&lt;=499.99,26,28)))))-L326*1.3%-L326*6%-(L326-O326)*9.25%-L326*3%-L326*3%-1)</f>
        <v/>
      </c>
      <c r="Q326" s="22">
        <f>IF(AND(K326&lt;&gt;"",H326&gt;0),(H326-K326)/H326,"")</f>
        <v/>
      </c>
      <c r="R326" s="19" t="inlineStr"/>
      <c r="S326" s="23" t="n"/>
      <c r="T326" s="23" t="n"/>
      <c r="U326" s="19" t="inlineStr">
        <is>
          <t>100926</t>
        </is>
      </c>
      <c r="V326" t="inlineStr">
        <is>
          <t>216182</t>
        </is>
      </c>
      <c r="W326" t="inlineStr">
        <is>
          <t>herdado do anúncio (escalado 30→60 un) · custo do KIT 216203 (2× 216182)</t>
        </is>
      </c>
      <c r="Y326" t="inlineStr">
        <is>
          <t>ok</t>
        </is>
      </c>
    </row>
    <row r="327" ht="15" customFormat="1" customHeight="1" s="14">
      <c r="A327" s="14" t="inlineStr">
        <is>
          <t>Espaço De Bicho</t>
        </is>
      </c>
      <c r="B327" s="14" t="inlineStr">
        <is>
          <t>Kit Tapete Higiênico Mozão Aroma Lavanda 80x60cm 30unidades</t>
        </is>
      </c>
      <c r="C327" s="14" t="inlineStr">
        <is>
          <t>90 Unidades</t>
        </is>
      </c>
      <c r="D327" s="14" t="inlineStr">
        <is>
          <t>TAPETE-MOZAO-LAVANDA-90</t>
        </is>
      </c>
      <c r="E327" s="14" t="inlineStr">
        <is>
          <t>50265209038</t>
        </is>
      </c>
      <c r="F327" s="14" t="inlineStr">
        <is>
          <t>326303980567</t>
        </is>
      </c>
      <c r="G327" s="14" t="inlineStr">
        <is>
          <t>NORMAL</t>
        </is>
      </c>
      <c r="H327" s="15" t="n">
        <v>209.7</v>
      </c>
      <c r="I327" s="15" t="n">
        <v>209.7</v>
      </c>
      <c r="J327" s="16" t="inlineStr">
        <is>
          <t>NÃO</t>
        </is>
      </c>
      <c r="K327" s="15" t="n"/>
      <c r="L327" s="35">
        <f>IF(K327&lt;&gt;"",K327,I327)</f>
        <v/>
      </c>
      <c r="M327" s="84" t="n">
        <v>3</v>
      </c>
      <c r="N327" s="85" t="n">
        <v>33.98</v>
      </c>
      <c r="O327" s="80">
        <f>ROUND(M327*N327,2)</f>
        <v/>
      </c>
      <c r="P327" s="80">
        <f>IF($O327="","",L327-O327-(L327*IF(L327&lt;=79.99,20%,14%)+IF(L327&lt;=79.99,4,IF(L327&lt;=99.99,16,IF(L327&lt;=199.99,20,IF(L327&lt;=499.99,26,28)))))-L327*1.3%-L327*6%-(L327-O327)*9.25%-L327*3%-L327*3%-1)</f>
        <v/>
      </c>
      <c r="Q327" s="17">
        <f>IF(AND(K327&lt;&gt;"",H327&gt;0),(H327-K327)/H327,"")</f>
        <v/>
      </c>
      <c r="R327" s="14" t="inlineStr"/>
      <c r="S327" s="18" t="n"/>
      <c r="T327" s="18" t="n"/>
      <c r="U327" s="14" t="inlineStr">
        <is>
          <t>100926</t>
        </is>
      </c>
      <c r="V327" t="inlineStr">
        <is>
          <t>216182</t>
        </is>
      </c>
      <c r="W327" t="inlineStr">
        <is>
          <t>herdado do anúncio (escalado 30→90 un) · custo do KIT 216204 (3× 216182)</t>
        </is>
      </c>
      <c r="Y327" t="inlineStr">
        <is>
          <t>ok</t>
        </is>
      </c>
    </row>
    <row r="328" ht="15" customFormat="1" customHeight="1" s="19">
      <c r="A328" s="19" t="inlineStr">
        <is>
          <t>Espaço De Bicho</t>
        </is>
      </c>
      <c r="B328" s="19" t="inlineStr">
        <is>
          <t>Kit Tapete Higiênico Mozão Aroma Lavanda 80x60cm 60 unidades</t>
        </is>
      </c>
      <c r="C328" s="19" t="inlineStr">
        <is>
          <t>Sem variação</t>
        </is>
      </c>
      <c r="D328" s="19" t="inlineStr">
        <is>
          <t>TAPETE-MOZAO-LAVANDA-60</t>
        </is>
      </c>
      <c r="E328" s="19" t="inlineStr">
        <is>
          <t>46615224059</t>
        </is>
      </c>
      <c r="F328" s="19" t="inlineStr">
        <is>
          <t>0</t>
        </is>
      </c>
      <c r="G328" s="19" t="inlineStr">
        <is>
          <t>NORMAL</t>
        </is>
      </c>
      <c r="H328" s="20" t="n">
        <v>139.8</v>
      </c>
      <c r="I328" s="20" t="n">
        <v>139.8</v>
      </c>
      <c r="J328" s="21" t="inlineStr">
        <is>
          <t>NÃO</t>
        </is>
      </c>
      <c r="K328" s="20" t="n"/>
      <c r="L328" s="35">
        <f>IF(K328&lt;&gt;"",K328,I328)</f>
        <v/>
      </c>
      <c r="M328" s="30" t="n"/>
      <c r="N328" s="30" t="n"/>
      <c r="O328" s="31" t="n"/>
      <c r="P328" s="80">
        <f>IF($O328="","",L328-O328-(L328*IF(L328&lt;=79.99,20%,14%)+IF(L328&lt;=79.99,4,IF(L328&lt;=99.99,16,IF(L328&lt;=199.99,20,IF(L328&lt;=499.99,26,28)))))-L328*1.3%-L328*6%-(L328-O328)*9.25%-L328*3%-L328*3%-1)</f>
        <v/>
      </c>
      <c r="Q328" s="22">
        <f>IF(AND(K328&lt;&gt;"",H328&gt;0),(H328-K328)/H328,"")</f>
        <v/>
      </c>
      <c r="R328" s="19" t="inlineStr"/>
      <c r="S328" s="23" t="n"/>
      <c r="T328" s="23" t="n"/>
      <c r="U328" s="19" t="inlineStr">
        <is>
          <t>100926</t>
        </is>
      </c>
      <c r="W328" t="inlineStr">
        <is>
          <t>sem correspondência</t>
        </is>
      </c>
      <c r="Y328" t="inlineStr"/>
    </row>
    <row r="329" ht="15" customFormat="1" customHeight="1" s="14">
      <c r="A329" s="14" t="inlineStr">
        <is>
          <t>Espaço De Bicho</t>
        </is>
      </c>
      <c r="B329" s="14" t="inlineStr">
        <is>
          <t>Kit Tapete Higiênico Mozão Aroma Lavanda 80x60cm 90 Unidades</t>
        </is>
      </c>
      <c r="C329" s="14" t="inlineStr">
        <is>
          <t>Sem variação</t>
        </is>
      </c>
      <c r="D329" s="14" t="inlineStr">
        <is>
          <t>TAPETE-MOZAO-LAVANDA-90</t>
        </is>
      </c>
      <c r="E329" s="14" t="inlineStr">
        <is>
          <t>46965242006</t>
        </is>
      </c>
      <c r="F329" s="14" t="inlineStr">
        <is>
          <t>0</t>
        </is>
      </c>
      <c r="G329" s="14" t="inlineStr">
        <is>
          <t>NORMAL</t>
        </is>
      </c>
      <c r="H329" s="15" t="n">
        <v>209.7</v>
      </c>
      <c r="I329" s="15" t="n">
        <v>209.7</v>
      </c>
      <c r="J329" s="16" t="inlineStr">
        <is>
          <t>NÃO</t>
        </is>
      </c>
      <c r="K329" s="15" t="n"/>
      <c r="L329" s="35">
        <f>IF(K329&lt;&gt;"",K329,I329)</f>
        <v/>
      </c>
      <c r="M329" s="28" t="n"/>
      <c r="N329" s="28" t="n"/>
      <c r="O329" s="29" t="n"/>
      <c r="P329" s="80">
        <f>IF($O329="","",L329-O329-(L329*IF(L329&lt;=79.99,20%,14%)+IF(L329&lt;=79.99,4,IF(L329&lt;=99.99,16,IF(L329&lt;=199.99,20,IF(L329&lt;=499.99,26,28)))))-L329*1.3%-L329*6%-(L329-O329)*9.25%-L329*3%-L329*3%-1)</f>
        <v/>
      </c>
      <c r="Q329" s="17">
        <f>IF(AND(K329&lt;&gt;"",H329&gt;0),(H329-K329)/H329,"")</f>
        <v/>
      </c>
      <c r="R329" s="14" t="inlineStr"/>
      <c r="S329" s="18" t="n"/>
      <c r="T329" s="18" t="n"/>
      <c r="U329" s="14" t="inlineStr">
        <is>
          <t>100926</t>
        </is>
      </c>
      <c r="W329" t="inlineStr">
        <is>
          <t>sem correspondência</t>
        </is>
      </c>
      <c r="Y329" t="inlineStr"/>
    </row>
    <row r="330" ht="15" customFormat="1" customHeight="1" s="19">
      <c r="A330" s="19" t="inlineStr">
        <is>
          <t>Espaço De Bicho</t>
        </is>
      </c>
      <c r="B330" s="19" t="inlineStr">
        <is>
          <t>Kit Tapete Higiênico Mozão Aroma Neutro 50cm x 60cm 30unidades</t>
        </is>
      </c>
      <c r="C330" s="19" t="inlineStr">
        <is>
          <t>120 Unidades</t>
        </is>
      </c>
      <c r="D330" s="19" t="inlineStr">
        <is>
          <t>TAPETE-MOZAO-NEUTRO-120</t>
        </is>
      </c>
      <c r="E330" s="19" t="inlineStr">
        <is>
          <t>49765177220</t>
        </is>
      </c>
      <c r="F330" s="19" t="inlineStr">
        <is>
          <t>376299547633</t>
        </is>
      </c>
      <c r="G330" s="19" t="inlineStr">
        <is>
          <t>NORMAL</t>
        </is>
      </c>
      <c r="H330" s="20" t="n">
        <v>159.6</v>
      </c>
      <c r="I330" s="20" t="n">
        <v>159.6</v>
      </c>
      <c r="J330" s="21" t="inlineStr">
        <is>
          <t>NÃO</t>
        </is>
      </c>
      <c r="K330" s="20" t="n"/>
      <c r="L330" s="35">
        <f>IF(K330&lt;&gt;"",K330,I330)</f>
        <v/>
      </c>
      <c r="M330" s="30" t="n"/>
      <c r="N330" s="30" t="n"/>
      <c r="O330" s="31" t="n"/>
      <c r="P330" s="80">
        <f>IF($O330="","",L330-O330-(L330*IF(L330&lt;=79.99,20%,14%)+IF(L330&lt;=79.99,4,IF(L330&lt;=99.99,16,IF(L330&lt;=199.99,20,IF(L330&lt;=499.99,26,28)))))-L330*1.3%-L330*6%-(L330-O330)*9.25%-L330*3%-L330*3%-1)</f>
        <v/>
      </c>
      <c r="Q330" s="22">
        <f>IF(AND(K330&lt;&gt;"",H330&gt;0),(H330-K330)/H330,"")</f>
        <v/>
      </c>
      <c r="R330" s="19" t="inlineStr"/>
      <c r="S330" s="23" t="n"/>
      <c r="T330" s="23" t="n"/>
      <c r="U330" s="19" t="inlineStr">
        <is>
          <t>100924</t>
        </is>
      </c>
      <c r="W330" t="inlineStr">
        <is>
          <t>sem correspondência</t>
        </is>
      </c>
      <c r="Y330" t="inlineStr"/>
    </row>
    <row r="331" ht="15" customFormat="1" customHeight="1" s="14">
      <c r="A331" s="14" t="inlineStr">
        <is>
          <t>Espaço De Bicho</t>
        </is>
      </c>
      <c r="B331" s="14" t="inlineStr">
        <is>
          <t>Kit Tapete Higiênico Mozão Aroma Neutro 50cm x 60cm 30unidades</t>
        </is>
      </c>
      <c r="C331" s="14" t="inlineStr">
        <is>
          <t>30 Unidades</t>
        </is>
      </c>
      <c r="D331" s="14" t="inlineStr">
        <is>
          <t>TAPETE-MOZAO-NEUTRO-30</t>
        </is>
      </c>
      <c r="E331" s="14" t="inlineStr">
        <is>
          <t>49765177220</t>
        </is>
      </c>
      <c r="F331" s="14" t="inlineStr">
        <is>
          <t>356299543780</t>
        </is>
      </c>
      <c r="G331" s="14" t="inlineStr">
        <is>
          <t>NORMAL</t>
        </is>
      </c>
      <c r="H331" s="15" t="n">
        <v>39.9</v>
      </c>
      <c r="I331" s="15" t="n">
        <v>39.9</v>
      </c>
      <c r="J331" s="16" t="inlineStr">
        <is>
          <t>NÃO</t>
        </is>
      </c>
      <c r="K331" s="15" t="n"/>
      <c r="L331" s="35">
        <f>IF(K331&lt;&gt;"",K331,I331)</f>
        <v/>
      </c>
      <c r="M331" s="28" t="n"/>
      <c r="N331" s="28" t="n"/>
      <c r="O331" s="29" t="n"/>
      <c r="P331" s="80">
        <f>IF($O331="","",L331-O331-(L331*IF(L331&lt;=79.99,20%,14%)+IF(L331&lt;=79.99,4,IF(L331&lt;=99.99,16,IF(L331&lt;=199.99,20,IF(L331&lt;=499.99,26,28)))))-L331*1.3%-L331*6%-(L331-O331)*9.25%-L331*3%-L331*3%-1)</f>
        <v/>
      </c>
      <c r="Q331" s="17">
        <f>IF(AND(K331&lt;&gt;"",H331&gt;0),(H331-K331)/H331,"")</f>
        <v/>
      </c>
      <c r="R331" s="14" t="inlineStr"/>
      <c r="S331" s="18" t="n"/>
      <c r="T331" s="18" t="n"/>
      <c r="U331" s="14" t="inlineStr">
        <is>
          <t>100924</t>
        </is>
      </c>
      <c r="W331" t="inlineStr">
        <is>
          <t>sem correspondência</t>
        </is>
      </c>
      <c r="Y331" t="inlineStr"/>
    </row>
    <row r="332" ht="15" customFormat="1" customHeight="1" s="19">
      <c r="A332" s="19" t="inlineStr">
        <is>
          <t>Espaço De Bicho</t>
        </is>
      </c>
      <c r="B332" s="19" t="inlineStr">
        <is>
          <t>Kit Tapete Higiênico Mozão Aroma Neutro 50cm x 60cm 30unidades</t>
        </is>
      </c>
      <c r="C332" s="19" t="inlineStr">
        <is>
          <t>60 Unidades</t>
        </is>
      </c>
      <c r="D332" s="19" t="inlineStr">
        <is>
          <t>TAPETE-MOZAO-NEUTRO-60</t>
        </is>
      </c>
      <c r="E332" s="19" t="inlineStr">
        <is>
          <t>49765177220</t>
        </is>
      </c>
      <c r="F332" s="19" t="inlineStr">
        <is>
          <t>376299547631</t>
        </is>
      </c>
      <c r="G332" s="19" t="inlineStr">
        <is>
          <t>NORMAL</t>
        </is>
      </c>
      <c r="H332" s="20" t="n">
        <v>79.8</v>
      </c>
      <c r="I332" s="20" t="n">
        <v>79.8</v>
      </c>
      <c r="J332" s="21" t="inlineStr">
        <is>
          <t>NÃO</t>
        </is>
      </c>
      <c r="K332" s="20" t="n"/>
      <c r="L332" s="35">
        <f>IF(K332&lt;&gt;"",K332,I332)</f>
        <v/>
      </c>
      <c r="M332" s="30" t="n"/>
      <c r="N332" s="30" t="n"/>
      <c r="O332" s="31" t="n"/>
      <c r="P332" s="80">
        <f>IF($O332="","",L332-O332-(L332*IF(L332&lt;=79.99,20%,14%)+IF(L332&lt;=79.99,4,IF(L332&lt;=99.99,16,IF(L332&lt;=199.99,20,IF(L332&lt;=499.99,26,28)))))-L332*1.3%-L332*6%-(L332-O332)*9.25%-L332*3%-L332*3%-1)</f>
        <v/>
      </c>
      <c r="Q332" s="22">
        <f>IF(AND(K332&lt;&gt;"",H332&gt;0),(H332-K332)/H332,"")</f>
        <v/>
      </c>
      <c r="R332" s="19" t="inlineStr"/>
      <c r="S332" s="23" t="n"/>
      <c r="T332" s="23" t="n"/>
      <c r="U332" s="19" t="inlineStr">
        <is>
          <t>100924</t>
        </is>
      </c>
      <c r="W332" t="inlineStr">
        <is>
          <t>sem correspondência</t>
        </is>
      </c>
      <c r="Y332" t="inlineStr"/>
    </row>
    <row r="333" ht="15" customFormat="1" customHeight="1" s="14">
      <c r="A333" s="14" t="inlineStr">
        <is>
          <t>Espaço De Bicho</t>
        </is>
      </c>
      <c r="B333" s="14" t="inlineStr">
        <is>
          <t>Kit Tapete Higiênico Mozão Aroma Neutro 50cm x 60cm 30unidades</t>
        </is>
      </c>
      <c r="C333" s="14" t="inlineStr">
        <is>
          <t>90 Unidades</t>
        </is>
      </c>
      <c r="D333" s="14" t="inlineStr">
        <is>
          <t>TAPETE-MOZAO-NEUTRO-90</t>
        </is>
      </c>
      <c r="E333" s="14" t="inlineStr">
        <is>
          <t>49765177220</t>
        </is>
      </c>
      <c r="F333" s="14" t="inlineStr">
        <is>
          <t>376299547632</t>
        </is>
      </c>
      <c r="G333" s="14" t="inlineStr">
        <is>
          <t>NORMAL</t>
        </is>
      </c>
      <c r="H333" s="15" t="n">
        <v>119.7</v>
      </c>
      <c r="I333" s="15" t="n">
        <v>119.7</v>
      </c>
      <c r="J333" s="16" t="inlineStr">
        <is>
          <t>NÃO</t>
        </is>
      </c>
      <c r="K333" s="15" t="n"/>
      <c r="L333" s="35">
        <f>IF(K333&lt;&gt;"",K333,I333)</f>
        <v/>
      </c>
      <c r="M333" s="28" t="n"/>
      <c r="N333" s="28" t="n"/>
      <c r="O333" s="29" t="n"/>
      <c r="P333" s="80">
        <f>IF($O333="","",L333-O333-(L333*IF(L333&lt;=79.99,20%,14%)+IF(L333&lt;=79.99,4,IF(L333&lt;=99.99,16,IF(L333&lt;=199.99,20,IF(L333&lt;=499.99,26,28)))))-L333*1.3%-L333*6%-(L333-O333)*9.25%-L333*3%-L333*3%-1)</f>
        <v/>
      </c>
      <c r="Q333" s="17">
        <f>IF(AND(K333&lt;&gt;"",H333&gt;0),(H333-K333)/H333,"")</f>
        <v/>
      </c>
      <c r="R333" s="14" t="inlineStr"/>
      <c r="S333" s="18" t="n"/>
      <c r="T333" s="18" t="n"/>
      <c r="U333" s="14" t="inlineStr">
        <is>
          <t>100924</t>
        </is>
      </c>
      <c r="W333" t="inlineStr">
        <is>
          <t>sem correspondência</t>
        </is>
      </c>
      <c r="Y333" t="inlineStr"/>
    </row>
    <row r="334" ht="15" customFormat="1" customHeight="1" s="19">
      <c r="A334" s="19" t="inlineStr">
        <is>
          <t>Espaço De Bicho</t>
        </is>
      </c>
      <c r="B334" s="19" t="inlineStr">
        <is>
          <t>Kit Tapete Higiênico Mozão Aroma Neutro 50cmx60cm 120 Unidades</t>
        </is>
      </c>
      <c r="C334" s="19" t="inlineStr">
        <is>
          <t>Sem variação</t>
        </is>
      </c>
      <c r="D334" s="19" t="inlineStr">
        <is>
          <t>TAPETE-MOZAO-NEUTRO-120</t>
        </is>
      </c>
      <c r="E334" s="19" t="inlineStr">
        <is>
          <t>51365161956</t>
        </is>
      </c>
      <c r="F334" s="19" t="inlineStr">
        <is>
          <t>0</t>
        </is>
      </c>
      <c r="G334" s="19" t="inlineStr">
        <is>
          <t>NORMAL</t>
        </is>
      </c>
      <c r="H334" s="20" t="n">
        <v>159.6</v>
      </c>
      <c r="I334" s="20" t="n">
        <v>159.6</v>
      </c>
      <c r="J334" s="21" t="inlineStr">
        <is>
          <t>NÃO</t>
        </is>
      </c>
      <c r="K334" s="20" t="n"/>
      <c r="L334" s="35">
        <f>IF(K334&lt;&gt;"",K334,I334)</f>
        <v/>
      </c>
      <c r="M334" s="30" t="n"/>
      <c r="N334" s="30" t="n"/>
      <c r="O334" s="31" t="n"/>
      <c r="P334" s="80">
        <f>IF($O334="","",L334-O334-(L334*IF(L334&lt;=79.99,20%,14%)+IF(L334&lt;=79.99,4,IF(L334&lt;=99.99,16,IF(L334&lt;=199.99,20,IF(L334&lt;=499.99,26,28)))))-L334*1.3%-L334*6%-(L334-O334)*9.25%-L334*3%-L334*3%-1)</f>
        <v/>
      </c>
      <c r="Q334" s="22">
        <f>IF(AND(K334&lt;&gt;"",H334&gt;0),(H334-K334)/H334,"")</f>
        <v/>
      </c>
      <c r="R334" s="19" t="inlineStr"/>
      <c r="S334" s="23" t="n"/>
      <c r="T334" s="23" t="n"/>
      <c r="U334" s="19" t="inlineStr">
        <is>
          <t>100926</t>
        </is>
      </c>
      <c r="W334" t="inlineStr">
        <is>
          <t>sem correspondência</t>
        </is>
      </c>
      <c r="Y334" t="inlineStr"/>
    </row>
    <row r="335" ht="15" customFormat="1" customHeight="1" s="14">
      <c r="A335" s="14" t="inlineStr">
        <is>
          <t>Espaço De Bicho</t>
        </is>
      </c>
      <c r="B335" s="14" t="inlineStr">
        <is>
          <t>Kit Tapete Higiênico Mozão Aroma Neutro 50cmx60cm 60 Unidades</t>
        </is>
      </c>
      <c r="C335" s="14" t="inlineStr">
        <is>
          <t>Sem variação</t>
        </is>
      </c>
      <c r="D335" s="14" t="inlineStr">
        <is>
          <t>TAPETE-MOZAO-NEUTRO-60</t>
        </is>
      </c>
      <c r="E335" s="14" t="inlineStr">
        <is>
          <t>52165152284</t>
        </is>
      </c>
      <c r="F335" s="14" t="inlineStr">
        <is>
          <t>0</t>
        </is>
      </c>
      <c r="G335" s="14" t="inlineStr">
        <is>
          <t>NORMAL</t>
        </is>
      </c>
      <c r="H335" s="15" t="n">
        <v>79.8</v>
      </c>
      <c r="I335" s="15" t="n">
        <v>79.8</v>
      </c>
      <c r="J335" s="16" t="inlineStr">
        <is>
          <t>NÃO</t>
        </is>
      </c>
      <c r="K335" s="15" t="n"/>
      <c r="L335" s="35">
        <f>IF(K335&lt;&gt;"",K335,I335)</f>
        <v/>
      </c>
      <c r="M335" s="28" t="n"/>
      <c r="N335" s="28" t="n"/>
      <c r="O335" s="29" t="n"/>
      <c r="P335" s="80">
        <f>IF($O335="","",L335-O335-(L335*IF(L335&lt;=79.99,20%,14%)+IF(L335&lt;=79.99,4,IF(L335&lt;=99.99,16,IF(L335&lt;=199.99,20,IF(L335&lt;=499.99,26,28)))))-L335*1.3%-L335*6%-(L335-O335)*9.25%-L335*3%-L335*3%-1)</f>
        <v/>
      </c>
      <c r="Q335" s="17">
        <f>IF(AND(K335&lt;&gt;"",H335&gt;0),(H335-K335)/H335,"")</f>
        <v/>
      </c>
      <c r="R335" s="14" t="inlineStr"/>
      <c r="S335" s="18" t="n"/>
      <c r="T335" s="18" t="n"/>
      <c r="U335" s="14" t="inlineStr">
        <is>
          <t>100926</t>
        </is>
      </c>
      <c r="W335" t="inlineStr">
        <is>
          <t>sem correspondência</t>
        </is>
      </c>
      <c r="Y335" t="inlineStr"/>
    </row>
    <row r="336" ht="15" customFormat="1" customHeight="1" s="19">
      <c r="A336" s="19" t="inlineStr">
        <is>
          <t>Espaço De Bicho</t>
        </is>
      </c>
      <c r="B336" s="19" t="inlineStr">
        <is>
          <t>Kit Tapete Higiênico Mozão Aroma Neutro 50cmx60cm 90 Unidades</t>
        </is>
      </c>
      <c r="C336" s="19" t="inlineStr">
        <is>
          <t>Sem variação</t>
        </is>
      </c>
      <c r="D336" s="19" t="inlineStr">
        <is>
          <t>TAPETE-MOZAO-NEUTRO-90</t>
        </is>
      </c>
      <c r="E336" s="19" t="inlineStr">
        <is>
          <t>57215144056</t>
        </is>
      </c>
      <c r="F336" s="19" t="inlineStr">
        <is>
          <t>0</t>
        </is>
      </c>
      <c r="G336" s="19" t="inlineStr">
        <is>
          <t>NORMAL</t>
        </is>
      </c>
      <c r="H336" s="20" t="n">
        <v>119.7</v>
      </c>
      <c r="I336" s="20" t="n">
        <v>119.7</v>
      </c>
      <c r="J336" s="21" t="inlineStr">
        <is>
          <t>NÃO</t>
        </is>
      </c>
      <c r="K336" s="20" t="n"/>
      <c r="L336" s="35">
        <f>IF(K336&lt;&gt;"",K336,I336)</f>
        <v/>
      </c>
      <c r="M336" s="30" t="n"/>
      <c r="N336" s="30" t="n"/>
      <c r="O336" s="31" t="n"/>
      <c r="P336" s="80">
        <f>IF($O336="","",L336-O336-(L336*IF(L336&lt;=79.99,20%,14%)+IF(L336&lt;=79.99,4,IF(L336&lt;=99.99,16,IF(L336&lt;=199.99,20,IF(L336&lt;=499.99,26,28)))))-L336*1.3%-L336*6%-(L336-O336)*9.25%-L336*3%-L336*3%-1)</f>
        <v/>
      </c>
      <c r="Q336" s="22">
        <f>IF(AND(K336&lt;&gt;"",H336&gt;0),(H336-K336)/H336,"")</f>
        <v/>
      </c>
      <c r="R336" s="19" t="inlineStr"/>
      <c r="S336" s="23" t="n"/>
      <c r="T336" s="23" t="n"/>
      <c r="U336" s="19" t="inlineStr">
        <is>
          <t>100926</t>
        </is>
      </c>
      <c r="W336" t="inlineStr">
        <is>
          <t>sem correspondência</t>
        </is>
      </c>
      <c r="Y336" t="inlineStr"/>
    </row>
    <row r="337" ht="15" customFormat="1" customHeight="1" s="14">
      <c r="A337" s="14" t="inlineStr">
        <is>
          <t>Espaço De Bicho</t>
        </is>
      </c>
      <c r="B337" s="14" t="inlineStr">
        <is>
          <t>Kit Teste Senspert Felv Ag/fiv - Dechra</t>
        </is>
      </c>
      <c r="C337" s="14" t="inlineStr">
        <is>
          <t>Sem variação</t>
        </is>
      </c>
      <c r="D337" s="14" t="inlineStr">
        <is>
          <t>00125</t>
        </is>
      </c>
      <c r="E337" s="14" t="inlineStr">
        <is>
          <t>18927974451</t>
        </is>
      </c>
      <c r="F337" s="14" t="inlineStr">
        <is>
          <t>0</t>
        </is>
      </c>
      <c r="G337" s="14" t="inlineStr">
        <is>
          <t>NORMAL</t>
        </is>
      </c>
      <c r="H337" s="15" t="n">
        <v>205.8</v>
      </c>
      <c r="I337" s="15" t="n">
        <v>88.90000000000001</v>
      </c>
      <c r="J337" s="16" t="inlineStr">
        <is>
          <t>SIM</t>
        </is>
      </c>
      <c r="K337" s="15" t="n">
        <v>88.90000000000001</v>
      </c>
      <c r="L337" s="35">
        <f>IF(K337&lt;&gt;"",K337,I337)</f>
        <v/>
      </c>
      <c r="M337" s="84" t="n">
        <v>1</v>
      </c>
      <c r="N337" s="85" t="n">
        <v>51.06</v>
      </c>
      <c r="O337" s="80">
        <f>ROUND(M337*N337,2)</f>
        <v/>
      </c>
      <c r="P337" s="80">
        <f>IF($O337="","",L337-O337-(L337*IF(L337&lt;=79.99,20%,14%)+IF(L337&lt;=79.99,4,IF(L337&lt;=99.99,16,IF(L337&lt;=199.99,20,IF(L337&lt;=499.99,26,28)))))-L337*1.3%-L337*6%-(L337-O337)*9.25%-L337*3%-L337*3%-1)</f>
        <v/>
      </c>
      <c r="Q337" s="17">
        <f>IF(AND(K337&lt;&gt;"",H337&gt;0),(H337-K337)/H337,"")</f>
        <v/>
      </c>
      <c r="R337" s="14" t="inlineStr">
        <is>
          <t>909477973245952</t>
        </is>
      </c>
      <c r="S337" s="18" t="n">
        <v>46144.38263888889</v>
      </c>
      <c r="T337" s="18" t="n">
        <v>46295.4375</v>
      </c>
      <c r="U337" s="14" t="inlineStr">
        <is>
          <t>100942</t>
        </is>
      </c>
      <c r="V337" t="inlineStr">
        <is>
          <t>213486</t>
        </is>
      </c>
      <c r="W337" t="inlineStr">
        <is>
          <t>venda casada (1 pedido)</t>
        </is>
      </c>
      <c r="X337" t="n">
        <v>1</v>
      </c>
      <c r="Y337" t="inlineStr">
        <is>
          <t>⚠ evidência fraca (1 pedido)</t>
        </is>
      </c>
    </row>
    <row r="338" ht="15" customFormat="1" customHeight="1" s="19">
      <c r="A338" s="19" t="inlineStr">
        <is>
          <t>Espaço De Bicho</t>
        </is>
      </c>
      <c r="B338" s="19" t="inlineStr">
        <is>
          <t>Lavi-fen 1l - Desinfetante Bactericida Detergente Lavizoo</t>
        </is>
      </c>
      <c r="C338" s="19" t="inlineStr">
        <is>
          <t>Sem variação</t>
        </is>
      </c>
      <c r="D338" s="19" t="inlineStr">
        <is>
          <t>LAVI-FEN-1L</t>
        </is>
      </c>
      <c r="E338" s="19" t="inlineStr">
        <is>
          <t>23592987817</t>
        </is>
      </c>
      <c r="F338" s="19" t="inlineStr">
        <is>
          <t>0</t>
        </is>
      </c>
      <c r="G338" s="19" t="inlineStr">
        <is>
          <t>NORMAL</t>
        </is>
      </c>
      <c r="H338" s="20" t="n">
        <v>99.90000000000001</v>
      </c>
      <c r="I338" s="20" t="n">
        <v>65.79000000000001</v>
      </c>
      <c r="J338" s="21" t="inlineStr">
        <is>
          <t>SIM</t>
        </is>
      </c>
      <c r="K338" s="20" t="n">
        <v>65.79000000000001</v>
      </c>
      <c r="L338" s="35">
        <f>IF(K338&lt;&gt;"",K338,I338)</f>
        <v/>
      </c>
      <c r="M338" s="30" t="n"/>
      <c r="N338" s="30" t="n"/>
      <c r="O338" s="29" t="n"/>
      <c r="P338" s="80">
        <f>IF($O338="","",L338-O338-(L338*IF(L338&lt;=79.99,20%,14%)+IF(L338&lt;=79.99,4,IF(L338&lt;=99.99,16,IF(L338&lt;=199.99,20,IF(L338&lt;=499.99,26,28)))))-L338*1.3%-L338*6%-(L338-O338)*9.25%-L338*3%-L338*3%-1)</f>
        <v/>
      </c>
      <c r="Q338" s="22">
        <f>IF(AND(K338&lt;&gt;"",H338&gt;0),(H338-K338)/H338,"")</f>
        <v/>
      </c>
      <c r="R338" s="19" t="inlineStr">
        <is>
          <t>909477973245952</t>
        </is>
      </c>
      <c r="S338" s="23" t="n">
        <v>46144.38263888889</v>
      </c>
      <c r="T338" s="23" t="n">
        <v>46295.4375</v>
      </c>
      <c r="U338" s="19" t="inlineStr">
        <is>
          <t>101213</t>
        </is>
      </c>
      <c r="W338" t="inlineStr">
        <is>
          <t>sem correspondência</t>
        </is>
      </c>
      <c r="Y338" t="inlineStr"/>
    </row>
    <row r="339" ht="15" customFormat="1" customHeight="1" s="14">
      <c r="A339" s="19" t="inlineStr">
        <is>
          <t>Espaço De Bicho</t>
        </is>
      </c>
      <c r="B339" s="19" t="inlineStr">
        <is>
          <t>Lexin 300 MG 12 Comprimidos Cães - Duprat 300mg Cães</t>
        </is>
      </c>
      <c r="C339" s="19" t="inlineStr">
        <is>
          <t>Sem variação</t>
        </is>
      </c>
      <c r="D339" s="19" t="inlineStr">
        <is>
          <t>LEXIN-300MG-12COMPS</t>
        </is>
      </c>
      <c r="E339" s="19" t="inlineStr">
        <is>
          <t>23099049672</t>
        </is>
      </c>
      <c r="F339" s="19" t="inlineStr">
        <is>
          <t>0</t>
        </is>
      </c>
      <c r="G339" s="19" t="inlineStr">
        <is>
          <t>NORMAL</t>
        </is>
      </c>
      <c r="H339" s="20" t="n">
        <v>89.90000000000001</v>
      </c>
      <c r="I339" s="20" t="n">
        <v>34.9</v>
      </c>
      <c r="J339" s="21" t="inlineStr">
        <is>
          <t>SIM</t>
        </is>
      </c>
      <c r="K339" s="20" t="n">
        <v>34.9</v>
      </c>
      <c r="L339" s="35">
        <f>IF(K339&lt;&gt;"",K339,I339)</f>
        <v/>
      </c>
      <c r="M339" s="30" t="n"/>
      <c r="N339" s="30" t="n"/>
      <c r="O339" s="29" t="n"/>
      <c r="P339" s="80">
        <f>IF($O339="","",L339-O339-(L339*IF(L339&lt;=79.99,20%,14%)+IF(L339&lt;=79.99,4,IF(L339&lt;=99.99,16,IF(L339&lt;=199.99,20,IF(L339&lt;=499.99,26,28)))))-L339*1.3%-L339*6%-(L339-O339)*9.25%-L339*3%-L339*3%-1)</f>
        <v/>
      </c>
      <c r="Q339" s="22">
        <f>IF(AND(K339&lt;&gt;"",H339&gt;0),(H339-K339)/H339,"")</f>
        <v/>
      </c>
      <c r="R339" s="19" t="inlineStr">
        <is>
          <t>909477973245952</t>
        </is>
      </c>
      <c r="S339" s="23" t="n">
        <v>46144.38263888889</v>
      </c>
      <c r="T339" s="23" t="n">
        <v>46295.4375</v>
      </c>
      <c r="U339" s="19" t="inlineStr">
        <is>
          <t>100942</t>
        </is>
      </c>
      <c r="W339" t="inlineStr">
        <is>
          <t>sem correspondência</t>
        </is>
      </c>
      <c r="Y339" t="inlineStr"/>
    </row>
    <row r="340" ht="15" customFormat="1" customHeight="1" s="19">
      <c r="A340" s="14" t="inlineStr">
        <is>
          <t>Espaço De Bicho</t>
        </is>
      </c>
      <c r="B340" s="14" t="inlineStr">
        <is>
          <t>Lexin 300 mg Duprat Antibiótico para Cães - Blíster 6 Comprimidos</t>
        </is>
      </c>
      <c r="C340" s="14" t="inlineStr">
        <is>
          <t>Sem variação</t>
        </is>
      </c>
      <c r="D340" s="14" t="inlineStr">
        <is>
          <t>LEXIN-30MG</t>
        </is>
      </c>
      <c r="E340" s="14" t="inlineStr">
        <is>
          <t>58260753294</t>
        </is>
      </c>
      <c r="F340" s="14" t="inlineStr">
        <is>
          <t>0</t>
        </is>
      </c>
      <c r="G340" s="14" t="inlineStr">
        <is>
          <t>NORMAL</t>
        </is>
      </c>
      <c r="H340" s="15" t="n">
        <v>59.9</v>
      </c>
      <c r="I340" s="15" t="n">
        <v>18.9</v>
      </c>
      <c r="J340" s="16" t="inlineStr">
        <is>
          <t>SIM</t>
        </is>
      </c>
      <c r="K340" s="15" t="n">
        <v>18.9</v>
      </c>
      <c r="L340" s="35">
        <f>IF(K340&lt;&gt;"",K340,I340)</f>
        <v/>
      </c>
      <c r="M340" s="28" t="n"/>
      <c r="N340" s="28" t="n"/>
      <c r="O340" s="29" t="n"/>
      <c r="P340" s="80">
        <f>IF($O340="","",L340-O340-(L340*IF(L340&lt;=79.99,20%,14%)+IF(L340&lt;=79.99,4,IF(L340&lt;=99.99,16,IF(L340&lt;=199.99,20,IF(L340&lt;=499.99,26,28)))))-L340*1.3%-L340*6%-(L340-O340)*9.25%-L340*3%-L340*3%-1)</f>
        <v/>
      </c>
      <c r="Q340" s="17">
        <f>IF(AND(K340&lt;&gt;"",H340&gt;0),(H340-K340)/H340,"")</f>
        <v/>
      </c>
      <c r="R340" s="14" t="inlineStr">
        <is>
          <t>909477973245952</t>
        </is>
      </c>
      <c r="S340" s="18" t="n">
        <v>46144.38263888889</v>
      </c>
      <c r="T340" s="18" t="n">
        <v>46295.4375</v>
      </c>
      <c r="U340" s="14" t="inlineStr">
        <is>
          <t>100942</t>
        </is>
      </c>
      <c r="W340" t="inlineStr">
        <is>
          <t>sem correspondência</t>
        </is>
      </c>
      <c r="Y340" t="inlineStr"/>
    </row>
    <row r="341" ht="15" customFormat="1" customHeight="1" s="14">
      <c r="A341" s="14" t="inlineStr">
        <is>
          <t>Espaço De Bicho</t>
        </is>
      </c>
      <c r="B341" s="14" t="inlineStr">
        <is>
          <t>Mega Potrus Gel Lavizoo 1kg Suplemento Para Equinos Potros</t>
        </is>
      </c>
      <c r="C341" s="14" t="inlineStr">
        <is>
          <t>Sem variação</t>
        </is>
      </c>
      <c r="D341" s="14" t="inlineStr">
        <is>
          <t>MEGA-POTRUS-1KG-LAVIZOO</t>
        </is>
      </c>
      <c r="E341" s="14" t="inlineStr">
        <is>
          <t>22897442073</t>
        </is>
      </c>
      <c r="F341" s="14" t="inlineStr">
        <is>
          <t>0</t>
        </is>
      </c>
      <c r="G341" s="14" t="inlineStr">
        <is>
          <t>NORMAL</t>
        </is>
      </c>
      <c r="H341" s="15" t="n">
        <v>360.9</v>
      </c>
      <c r="I341" s="15" t="n">
        <v>360.9</v>
      </c>
      <c r="J341" s="16" t="inlineStr">
        <is>
          <t>NÃO</t>
        </is>
      </c>
      <c r="K341" s="15" t="n"/>
      <c r="L341" s="35">
        <f>IF(K341&lt;&gt;"",K341,I341)</f>
        <v/>
      </c>
      <c r="M341" s="28" t="n"/>
      <c r="N341" s="28" t="n"/>
      <c r="O341" s="29" t="n"/>
      <c r="P341" s="80">
        <f>IF($O341="","",L341-O341-(L341*IF(L341&lt;=79.99,20%,14%)+IF(L341&lt;=79.99,4,IF(L341&lt;=99.99,16,IF(L341&lt;=199.99,20,IF(L341&lt;=499.99,26,28)))))-L341*1.3%-L341*6%-(L341-O341)*9.25%-L341*3%-L341*3%-1)</f>
        <v/>
      </c>
      <c r="Q341" s="17">
        <f>IF(AND(K341&lt;&gt;"",H341&gt;0),(H341-K341)/H341,"")</f>
        <v/>
      </c>
      <c r="R341" s="14" t="inlineStr"/>
      <c r="S341" s="18" t="n"/>
      <c r="T341" s="18" t="n"/>
      <c r="U341" s="14" t="inlineStr">
        <is>
          <t>100944</t>
        </is>
      </c>
      <c r="W341" t="inlineStr">
        <is>
          <t>sem correspondência</t>
        </is>
      </c>
      <c r="Y341" t="inlineStr"/>
    </row>
    <row r="342" ht="15" customFormat="1" customHeight="1" s="19">
      <c r="A342" s="19" t="inlineStr">
        <is>
          <t>Espaço De Bicho</t>
        </is>
      </c>
      <c r="B342" s="19" t="inlineStr">
        <is>
          <t>Meloxivet 1mg Pequeno Porte Anti-Inflamatório para Cães e Gatos Blister 10 comprimidos DUPRAT</t>
        </is>
      </c>
      <c r="C342" s="19" t="inlineStr">
        <is>
          <t>6 MG</t>
        </is>
      </c>
      <c r="D342" s="19" t="inlineStr">
        <is>
          <t>MELOXIVET-6MG-10CPS</t>
        </is>
      </c>
      <c r="E342" s="19" t="inlineStr">
        <is>
          <t>23594548218</t>
        </is>
      </c>
      <c r="F342" s="19" t="inlineStr">
        <is>
          <t>219613552029</t>
        </is>
      </c>
      <c r="G342" s="19" t="inlineStr">
        <is>
          <t>NORMAL</t>
        </is>
      </c>
      <c r="H342" s="20" t="n">
        <v>99.90000000000001</v>
      </c>
      <c r="I342" s="20" t="n">
        <v>24.9</v>
      </c>
      <c r="J342" s="21" t="inlineStr">
        <is>
          <t>SIM</t>
        </is>
      </c>
      <c r="K342" s="20" t="n">
        <v>24.9</v>
      </c>
      <c r="L342" s="35">
        <f>IF(K342&lt;&gt;"",K342,I342)</f>
        <v/>
      </c>
      <c r="M342" s="81" t="n">
        <v>1</v>
      </c>
      <c r="N342" s="82" t="n">
        <v>13.15</v>
      </c>
      <c r="O342" s="80">
        <f>ROUND(M342*N342,2)</f>
        <v/>
      </c>
      <c r="P342" s="80">
        <f>IF($O342="","",L342-O342-(L342*IF(L342&lt;=79.99,20%,14%)+IF(L342&lt;=79.99,4,IF(L342&lt;=99.99,16,IF(L342&lt;=199.99,20,IF(L342&lt;=499.99,26,28)))))-L342*1.3%-L342*6%-(L342-O342)*9.25%-L342*3%-L342*3%-1)</f>
        <v/>
      </c>
      <c r="Q342" s="22">
        <f>IF(AND(K342&lt;&gt;"",H342&gt;0),(H342-K342)/H342,"")</f>
        <v/>
      </c>
      <c r="R342" s="19" t="inlineStr">
        <is>
          <t>909477973245952</t>
        </is>
      </c>
      <c r="S342" s="23" t="n">
        <v>46144.38263888889</v>
      </c>
      <c r="T342" s="23" t="n">
        <v>46295.4375</v>
      </c>
      <c r="U342" s="19" t="inlineStr">
        <is>
          <t>100942</t>
        </is>
      </c>
      <c r="V342" t="inlineStr">
        <is>
          <t>213537</t>
        </is>
      </c>
      <c r="W342" t="inlineStr">
        <is>
          <t>venda casada (3 pedidos)</t>
        </is>
      </c>
      <c r="X342" t="n">
        <v>3</v>
      </c>
      <c r="Y342" t="inlineStr">
        <is>
          <t>ok</t>
        </is>
      </c>
    </row>
    <row r="343" ht="15" customFormat="1" customHeight="1" s="14">
      <c r="A343" s="14" t="inlineStr">
        <is>
          <t>Espaço De Bicho</t>
        </is>
      </c>
      <c r="B343" s="14" t="inlineStr">
        <is>
          <t>Organew 100g Vetnil Suplemento Probiótico e prebiotico para cachorros e Gatos contra diarréia- intestino saudável</t>
        </is>
      </c>
      <c r="C343" s="14" t="inlineStr">
        <is>
          <t>Sem variação</t>
        </is>
      </c>
      <c r="D343" s="14" t="inlineStr">
        <is>
          <t>ORGANEW-100G-VETNIL</t>
        </is>
      </c>
      <c r="E343" s="14" t="inlineStr">
        <is>
          <t>22898868864</t>
        </is>
      </c>
      <c r="F343" s="14" t="inlineStr">
        <is>
          <t>0</t>
        </is>
      </c>
      <c r="G343" s="14" t="inlineStr">
        <is>
          <t>NORMAL</t>
        </is>
      </c>
      <c r="H343" s="15" t="n">
        <v>99.90000000000001</v>
      </c>
      <c r="I343" s="15" t="n">
        <v>32.9</v>
      </c>
      <c r="J343" s="16" t="inlineStr">
        <is>
          <t>SIM</t>
        </is>
      </c>
      <c r="K343" s="15" t="n">
        <v>32.9</v>
      </c>
      <c r="L343" s="35">
        <f>IF(K343&lt;&gt;"",K343,I343)</f>
        <v/>
      </c>
      <c r="M343" s="84" t="n">
        <v>1</v>
      </c>
      <c r="N343" s="85" t="n">
        <v>16.38</v>
      </c>
      <c r="O343" s="80">
        <f>ROUND(M343*N343,2)</f>
        <v/>
      </c>
      <c r="P343" s="80">
        <f>IF($O343="","",L343-O343-(L343*IF(L343&lt;=79.99,20%,14%)+IF(L343&lt;=79.99,4,IF(L343&lt;=99.99,16,IF(L343&lt;=199.99,20,IF(L343&lt;=499.99,26,28)))))-L343*1.3%-L343*6%-(L343-O343)*9.25%-L343*3%-L343*3%-1)</f>
        <v/>
      </c>
      <c r="Q343" s="17">
        <f>IF(AND(K343&lt;&gt;"",H343&gt;0),(H343-K343)/H343,"")</f>
        <v/>
      </c>
      <c r="R343" s="14" t="inlineStr">
        <is>
          <t>909477973245952</t>
        </is>
      </c>
      <c r="S343" s="18" t="n">
        <v>46144.38263888889</v>
      </c>
      <c r="T343" s="18" t="n">
        <v>46295.4375</v>
      </c>
      <c r="U343" s="14" t="inlineStr">
        <is>
          <t>100944</t>
        </is>
      </c>
      <c r="V343" t="inlineStr">
        <is>
          <t>213275</t>
        </is>
      </c>
      <c r="W343" t="inlineStr">
        <is>
          <t>venda casada (17 pedidos)</t>
        </is>
      </c>
      <c r="X343" t="n">
        <v>17</v>
      </c>
      <c r="Y343" t="inlineStr">
        <is>
          <t>ok</t>
        </is>
      </c>
    </row>
    <row r="344" ht="15" customFormat="1" customHeight="1" s="19">
      <c r="A344" s="19" t="inlineStr">
        <is>
          <t>Espaço De Bicho</t>
        </is>
      </c>
      <c r="B344" s="19" t="inlineStr">
        <is>
          <t>Otovet Solução Otológica para Cães e Gatos 20ml</t>
        </is>
      </c>
      <c r="C344" s="19" t="inlineStr">
        <is>
          <t>Sem variação</t>
        </is>
      </c>
      <c r="D344" s="19" t="inlineStr"/>
      <c r="E344" s="19" t="inlineStr">
        <is>
          <t>48314941410</t>
        </is>
      </c>
      <c r="F344" s="19" t="inlineStr">
        <is>
          <t>0</t>
        </is>
      </c>
      <c r="G344" s="19" t="inlineStr">
        <is>
          <t>NORMAL</t>
        </is>
      </c>
      <c r="H344" s="20" t="n">
        <v>103.8</v>
      </c>
      <c r="I344" s="20" t="n">
        <v>103.8</v>
      </c>
      <c r="J344" s="21" t="inlineStr">
        <is>
          <t>NÃO</t>
        </is>
      </c>
      <c r="K344" s="20" t="n"/>
      <c r="L344" s="35">
        <f>IF(K344&lt;&gt;"",K344,I344)</f>
        <v/>
      </c>
      <c r="M344" s="30" t="n"/>
      <c r="N344" s="30" t="n"/>
      <c r="O344" s="31" t="n"/>
      <c r="P344" s="80">
        <f>IF($O344="","",L344-O344-(L344*IF(L344&lt;=79.99,20%,14%)+IF(L344&lt;=79.99,4,IF(L344&lt;=99.99,16,IF(L344&lt;=199.99,20,IF(L344&lt;=499.99,26,28)))))-L344*1.3%-L344*6%-(L344-O344)*9.25%-L344*3%-L344*3%-1)</f>
        <v/>
      </c>
      <c r="Q344" s="22">
        <f>IF(AND(K344&lt;&gt;"",H344&gt;0),(H344-K344)/H344,"")</f>
        <v/>
      </c>
      <c r="R344" s="19" t="inlineStr"/>
      <c r="S344" s="23" t="n"/>
      <c r="T344" s="23" t="n"/>
      <c r="U344" s="19" t="inlineStr">
        <is>
          <t>100942</t>
        </is>
      </c>
      <c r="W344" t="inlineStr">
        <is>
          <t>sem correspondência</t>
        </is>
      </c>
      <c r="Y344" t="inlineStr"/>
    </row>
    <row r="345" ht="15" customFormat="1" customHeight="1" s="14">
      <c r="A345" s="14" t="inlineStr">
        <is>
          <t>Espaço De Bicho</t>
        </is>
      </c>
      <c r="B345" s="14" t="inlineStr">
        <is>
          <t>Pá Higiênica De Areia para Gatos Peneira Coletora Para Granulados E Areias</t>
        </is>
      </c>
      <c r="C345" s="14" t="inlineStr">
        <is>
          <t>Azul</t>
        </is>
      </c>
      <c r="D345" s="14" t="inlineStr">
        <is>
          <t>PAZINHA-COLECTOR-AZ</t>
        </is>
      </c>
      <c r="E345" s="14" t="inlineStr">
        <is>
          <t>58206305996</t>
        </is>
      </c>
      <c r="F345" s="14" t="inlineStr">
        <is>
          <t>139655499690</t>
        </is>
      </c>
      <c r="G345" s="14" t="inlineStr">
        <is>
          <t>NORMAL</t>
        </is>
      </c>
      <c r="H345" s="15" t="n">
        <v>39.9</v>
      </c>
      <c r="I345" s="15" t="n">
        <v>9.9</v>
      </c>
      <c r="J345" s="16" t="inlineStr">
        <is>
          <t>SIM</t>
        </is>
      </c>
      <c r="K345" s="15" t="n">
        <v>9.9</v>
      </c>
      <c r="L345" s="35">
        <f>IF(K345&lt;&gt;"",K345,I345)</f>
        <v/>
      </c>
      <c r="M345" s="84" t="n">
        <v>1</v>
      </c>
      <c r="N345" s="85" t="n">
        <v>1.93</v>
      </c>
      <c r="O345" s="80">
        <f>ROUND(M345*N345,2)</f>
        <v/>
      </c>
      <c r="P345" s="80">
        <f>IF($O345="","",L345-O345-(L345*IF(L345&lt;=79.99,20%,14%)+IF(L345&lt;=79.99,4,IF(L345&lt;=99.99,16,IF(L345&lt;=199.99,20,IF(L345&lt;=499.99,26,28)))))-L345*1.3%-L345*6%-(L345-O345)*9.25%-L345*3%-L345*3%-1)</f>
        <v/>
      </c>
      <c r="Q345" s="17">
        <f>IF(AND(K345&lt;&gt;"",H345&gt;0),(H345-K345)/H345,"")</f>
        <v/>
      </c>
      <c r="R345" s="14" t="inlineStr">
        <is>
          <t>909477973245952</t>
        </is>
      </c>
      <c r="S345" s="18" t="n">
        <v>46144.38263888889</v>
      </c>
      <c r="T345" s="18" t="n">
        <v>46295.4375</v>
      </c>
      <c r="U345" s="14" t="inlineStr">
        <is>
          <t>100927</t>
        </is>
      </c>
      <c r="V345" t="inlineStr">
        <is>
          <t>215322</t>
        </is>
      </c>
      <c r="W345" t="inlineStr">
        <is>
          <t>herdado do anúncio</t>
        </is>
      </c>
      <c r="Y345" t="inlineStr">
        <is>
          <t>ok</t>
        </is>
      </c>
    </row>
    <row r="346" ht="15" customFormat="1" customHeight="1" s="19">
      <c r="A346" s="19" t="inlineStr">
        <is>
          <t>Espaço De Bicho</t>
        </is>
      </c>
      <c r="B346" s="19" t="inlineStr">
        <is>
          <t>Pá Higiênica De Areia para Gatos Peneira Coletora Para Granulados E Areias</t>
        </is>
      </c>
      <c r="C346" s="19" t="inlineStr">
        <is>
          <t>Cinza</t>
        </is>
      </c>
      <c r="D346" s="19" t="inlineStr">
        <is>
          <t>PAZINHA-COLECTOR-CZ</t>
        </is>
      </c>
      <c r="E346" s="19" t="inlineStr">
        <is>
          <t>58206305996</t>
        </is>
      </c>
      <c r="F346" s="19" t="inlineStr">
        <is>
          <t>139655499693</t>
        </is>
      </c>
      <c r="G346" s="19" t="inlineStr">
        <is>
          <t>NORMAL</t>
        </is>
      </c>
      <c r="H346" s="20" t="n">
        <v>39.9</v>
      </c>
      <c r="I346" s="20" t="n">
        <v>9.9</v>
      </c>
      <c r="J346" s="21" t="inlineStr">
        <is>
          <t>SIM</t>
        </is>
      </c>
      <c r="K346" s="20" t="n">
        <v>9.9</v>
      </c>
      <c r="L346" s="35">
        <f>IF(K346&lt;&gt;"",K346,I346)</f>
        <v/>
      </c>
      <c r="M346" s="81" t="n">
        <v>1</v>
      </c>
      <c r="N346" s="82" t="n">
        <v>1.93</v>
      </c>
      <c r="O346" s="80">
        <f>ROUND(M346*N346,2)</f>
        <v/>
      </c>
      <c r="P346" s="80">
        <f>IF($O346="","",L346-O346-(L346*IF(L346&lt;=79.99,20%,14%)+IF(L346&lt;=79.99,4,IF(L346&lt;=99.99,16,IF(L346&lt;=199.99,20,IF(L346&lt;=499.99,26,28)))))-L346*1.3%-L346*6%-(L346-O346)*9.25%-L346*3%-L346*3%-1)</f>
        <v/>
      </c>
      <c r="Q346" s="22">
        <f>IF(AND(K346&lt;&gt;"",H346&gt;0),(H346-K346)/H346,"")</f>
        <v/>
      </c>
      <c r="R346" s="19" t="inlineStr">
        <is>
          <t>909477973245952</t>
        </is>
      </c>
      <c r="S346" s="23" t="n">
        <v>46144.38263888889</v>
      </c>
      <c r="T346" s="23" t="n">
        <v>46295.4375</v>
      </c>
      <c r="U346" s="19" t="inlineStr">
        <is>
          <t>100927</t>
        </is>
      </c>
      <c r="V346" t="inlineStr">
        <is>
          <t>215322</t>
        </is>
      </c>
      <c r="W346" t="inlineStr">
        <is>
          <t>venda casada (2 pedidos)</t>
        </is>
      </c>
      <c r="X346" t="n">
        <v>2</v>
      </c>
      <c r="Y346" t="inlineStr">
        <is>
          <t>ok</t>
        </is>
      </c>
    </row>
    <row r="347" ht="15" customFormat="1" customHeight="1" s="14">
      <c r="A347" s="14" t="inlineStr">
        <is>
          <t>Espaço De Bicho</t>
        </is>
      </c>
      <c r="B347" s="14" t="inlineStr">
        <is>
          <t>Pá Higiênica De Areia para Gatos Peneira Coletora Para Granulados E Areias</t>
        </is>
      </c>
      <c r="C347" s="14" t="inlineStr">
        <is>
          <t>Preto</t>
        </is>
      </c>
      <c r="D347" s="14" t="inlineStr">
        <is>
          <t>PAZINHA-COLECTOR-PT</t>
        </is>
      </c>
      <c r="E347" s="14" t="inlineStr">
        <is>
          <t>58206305996</t>
        </is>
      </c>
      <c r="F347" s="14" t="inlineStr">
        <is>
          <t>139655499692</t>
        </is>
      </c>
      <c r="G347" s="14" t="inlineStr">
        <is>
          <t>NORMAL</t>
        </is>
      </c>
      <c r="H347" s="15" t="n">
        <v>39.9</v>
      </c>
      <c r="I347" s="15" t="n">
        <v>9.9</v>
      </c>
      <c r="J347" s="16" t="inlineStr">
        <is>
          <t>SIM</t>
        </is>
      </c>
      <c r="K347" s="15" t="n">
        <v>9.9</v>
      </c>
      <c r="L347" s="35">
        <f>IF(K347&lt;&gt;"",K347,I347)</f>
        <v/>
      </c>
      <c r="M347" s="84" t="n">
        <v>1</v>
      </c>
      <c r="N347" s="85" t="n">
        <v>1.93</v>
      </c>
      <c r="O347" s="80">
        <f>ROUND(M347*N347,2)</f>
        <v/>
      </c>
      <c r="P347" s="80">
        <f>IF($O347="","",L347-O347-(L347*IF(L347&lt;=79.99,20%,14%)+IF(L347&lt;=79.99,4,IF(L347&lt;=99.99,16,IF(L347&lt;=199.99,20,IF(L347&lt;=499.99,26,28)))))-L347*1.3%-L347*6%-(L347-O347)*9.25%-L347*3%-L347*3%-1)</f>
        <v/>
      </c>
      <c r="Q347" s="17">
        <f>IF(AND(K347&lt;&gt;"",H347&gt;0),(H347-K347)/H347,"")</f>
        <v/>
      </c>
      <c r="R347" s="14" t="inlineStr">
        <is>
          <t>909477973245952</t>
        </is>
      </c>
      <c r="S347" s="18" t="n">
        <v>46144.38263888889</v>
      </c>
      <c r="T347" s="18" t="n">
        <v>46295.4375</v>
      </c>
      <c r="U347" s="14" t="inlineStr">
        <is>
          <t>100927</t>
        </is>
      </c>
      <c r="V347" t="inlineStr">
        <is>
          <t>215322</t>
        </is>
      </c>
      <c r="W347" t="inlineStr">
        <is>
          <t>herdado do anúncio</t>
        </is>
      </c>
      <c r="Y347" t="inlineStr">
        <is>
          <t>ok</t>
        </is>
      </c>
    </row>
    <row r="348" ht="15" customFormat="1" customHeight="1" s="19">
      <c r="A348" s="19" t="inlineStr">
        <is>
          <t>Espaço De Bicho</t>
        </is>
      </c>
      <c r="B348" s="19" t="inlineStr">
        <is>
          <t>Pá Higiênica De Areia para Gatos Peneira Coletora Para Granulados E Areias</t>
        </is>
      </c>
      <c r="C348" s="19" t="inlineStr">
        <is>
          <t>Tifanny</t>
        </is>
      </c>
      <c r="D348" s="19" t="inlineStr">
        <is>
          <t>PAZINHA-COLECTOR-TF</t>
        </is>
      </c>
      <c r="E348" s="19" t="inlineStr">
        <is>
          <t>58206305996</t>
        </is>
      </c>
      <c r="F348" s="19" t="inlineStr">
        <is>
          <t>139655499691</t>
        </is>
      </c>
      <c r="G348" s="19" t="inlineStr">
        <is>
          <t>NORMAL</t>
        </is>
      </c>
      <c r="H348" s="20" t="n">
        <v>39.9</v>
      </c>
      <c r="I348" s="20" t="n">
        <v>9.9</v>
      </c>
      <c r="J348" s="21" t="inlineStr">
        <is>
          <t>SIM</t>
        </is>
      </c>
      <c r="K348" s="20" t="n">
        <v>9.9</v>
      </c>
      <c r="L348" s="35">
        <f>IF(K348&lt;&gt;"",K348,I348)</f>
        <v/>
      </c>
      <c r="M348" s="81" t="n">
        <v>1</v>
      </c>
      <c r="N348" s="82" t="n">
        <v>1.93</v>
      </c>
      <c r="O348" s="80">
        <f>ROUND(M348*N348,2)</f>
        <v/>
      </c>
      <c r="P348" s="80">
        <f>IF($O348="","",L348-O348-(L348*IF(L348&lt;=79.99,20%,14%)+IF(L348&lt;=79.99,4,IF(L348&lt;=99.99,16,IF(L348&lt;=199.99,20,IF(L348&lt;=499.99,26,28)))))-L348*1.3%-L348*6%-(L348-O348)*9.25%-L348*3%-L348*3%-1)</f>
        <v/>
      </c>
      <c r="Q348" s="22">
        <f>IF(AND(K348&lt;&gt;"",H348&gt;0),(H348-K348)/H348,"")</f>
        <v/>
      </c>
      <c r="R348" s="19" t="inlineStr">
        <is>
          <t>909477973245952</t>
        </is>
      </c>
      <c r="S348" s="23" t="n">
        <v>46144.38263888889</v>
      </c>
      <c r="T348" s="23" t="n">
        <v>46295.4375</v>
      </c>
      <c r="U348" s="19" t="inlineStr">
        <is>
          <t>100927</t>
        </is>
      </c>
      <c r="V348" t="inlineStr">
        <is>
          <t>215322</t>
        </is>
      </c>
      <c r="W348" t="inlineStr">
        <is>
          <t>herdado do anúncio</t>
        </is>
      </c>
      <c r="Y348" t="inlineStr">
        <is>
          <t>ok</t>
        </is>
      </c>
    </row>
    <row r="349" ht="15" customFormat="1" customHeight="1" s="14">
      <c r="A349" s="14" t="inlineStr">
        <is>
          <t>Espaço De Bicho</t>
        </is>
      </c>
      <c r="B349" s="14" t="inlineStr">
        <is>
          <t>Pá Higiênica De Areia para Gatos Peneira Coletora Para Granulados E Areias</t>
        </is>
      </c>
      <c r="C349" s="14" t="inlineStr">
        <is>
          <t>Vermelho</t>
        </is>
      </c>
      <c r="D349" s="14" t="inlineStr">
        <is>
          <t>PAZINHA-COLECTOR-VM</t>
        </is>
      </c>
      <c r="E349" s="14" t="inlineStr">
        <is>
          <t>58206305996</t>
        </is>
      </c>
      <c r="F349" s="14" t="inlineStr">
        <is>
          <t>139655499689</t>
        </is>
      </c>
      <c r="G349" s="14" t="inlineStr">
        <is>
          <t>NORMAL</t>
        </is>
      </c>
      <c r="H349" s="15" t="n">
        <v>39.9</v>
      </c>
      <c r="I349" s="15" t="n">
        <v>9.9</v>
      </c>
      <c r="J349" s="16" t="inlineStr">
        <is>
          <t>SIM</t>
        </is>
      </c>
      <c r="K349" s="15" t="n">
        <v>9.9</v>
      </c>
      <c r="L349" s="35">
        <f>IF(K349&lt;&gt;"",K349,I349)</f>
        <v/>
      </c>
      <c r="M349" s="84" t="n">
        <v>1</v>
      </c>
      <c r="N349" s="85" t="n">
        <v>1.93</v>
      </c>
      <c r="O349" s="80">
        <f>ROUND(M349*N349,2)</f>
        <v/>
      </c>
      <c r="P349" s="80">
        <f>IF($O349="","",L349-O349-(L349*IF(L349&lt;=79.99,20%,14%)+IF(L349&lt;=79.99,4,IF(L349&lt;=99.99,16,IF(L349&lt;=199.99,20,IF(L349&lt;=499.99,26,28)))))-L349*1.3%-L349*6%-(L349-O349)*9.25%-L349*3%-L349*3%-1)</f>
        <v/>
      </c>
      <c r="Q349" s="17">
        <f>IF(AND(K349&lt;&gt;"",H349&gt;0),(H349-K349)/H349,"")</f>
        <v/>
      </c>
      <c r="R349" s="14" t="inlineStr">
        <is>
          <t>909477973245952</t>
        </is>
      </c>
      <c r="S349" s="18" t="n">
        <v>46144.38263888889</v>
      </c>
      <c r="T349" s="18" t="n">
        <v>46295.4375</v>
      </c>
      <c r="U349" s="14" t="inlineStr">
        <is>
          <t>100927</t>
        </is>
      </c>
      <c r="V349" t="inlineStr">
        <is>
          <t>215322</t>
        </is>
      </c>
      <c r="W349" t="inlineStr">
        <is>
          <t>herdado do anúncio</t>
        </is>
      </c>
      <c r="Y349" t="inlineStr">
        <is>
          <t>ok</t>
        </is>
      </c>
    </row>
    <row r="350" ht="15" customFormat="1" customHeight="1" s="19">
      <c r="A350" s="19" t="inlineStr">
        <is>
          <t>Espaço De Bicho</t>
        </is>
      </c>
      <c r="B350" s="19" t="inlineStr">
        <is>
          <t>Pelo e Derme Gold 60 Comprimidos Suplemento Pele e Queda De Pelo- Vetnil</t>
        </is>
      </c>
      <c r="C350" s="19" t="inlineStr">
        <is>
          <t>Sem variação</t>
        </is>
      </c>
      <c r="D350" s="19" t="inlineStr">
        <is>
          <t>PELO&amp;DERME-60COMP-VETNIL</t>
        </is>
      </c>
      <c r="E350" s="19" t="inlineStr">
        <is>
          <t>19099870557</t>
        </is>
      </c>
      <c r="F350" s="19" t="inlineStr">
        <is>
          <t>0</t>
        </is>
      </c>
      <c r="G350" s="19" t="inlineStr">
        <is>
          <t>NORMAL</t>
        </is>
      </c>
      <c r="H350" s="20" t="n">
        <v>150.9</v>
      </c>
      <c r="I350" s="20" t="n">
        <v>79.90000000000001</v>
      </c>
      <c r="J350" s="21" t="inlineStr">
        <is>
          <t>SIM</t>
        </is>
      </c>
      <c r="K350" s="20" t="n">
        <v>79.90000000000001</v>
      </c>
      <c r="L350" s="35">
        <f>IF(K350&lt;&gt;"",K350,I350)</f>
        <v/>
      </c>
      <c r="M350" s="30" t="n"/>
      <c r="N350" s="30" t="n"/>
      <c r="O350" s="29" t="n"/>
      <c r="P350" s="80">
        <f>IF($O350="","",L350-O350-(L350*IF(L350&lt;=79.99,20%,14%)+IF(L350&lt;=79.99,4,IF(L350&lt;=99.99,16,IF(L350&lt;=199.99,20,IF(L350&lt;=499.99,26,28)))))-L350*1.3%-L350*6%-(L350-O350)*9.25%-L350*3%-L350*3%-1)</f>
        <v/>
      </c>
      <c r="Q350" s="22">
        <f>IF(AND(K350&lt;&gt;"",H350&gt;0),(H350-K350)/H350,"")</f>
        <v/>
      </c>
      <c r="R350" s="19" t="inlineStr">
        <is>
          <t>909477973245952</t>
        </is>
      </c>
      <c r="S350" s="23" t="n">
        <v>46144.38263888889</v>
      </c>
      <c r="T350" s="23" t="n">
        <v>46295.4375</v>
      </c>
      <c r="U350" s="19" t="inlineStr">
        <is>
          <t>100944</t>
        </is>
      </c>
      <c r="W350" t="inlineStr">
        <is>
          <t>sem correspondência</t>
        </is>
      </c>
      <c r="Y350" t="inlineStr"/>
    </row>
    <row r="351" ht="15" customFormat="1" customHeight="1" s="14">
      <c r="A351" s="14" t="inlineStr">
        <is>
          <t>Espaço De Bicho</t>
        </is>
      </c>
      <c r="B351" s="14" t="inlineStr">
        <is>
          <t>Periovet Gel Higiene Bucal Menta Pasta de Dente Pet 25g Cachorros e Gatos</t>
        </is>
      </c>
      <c r="C351" s="14" t="inlineStr">
        <is>
          <t>Sem variação</t>
        </is>
      </c>
      <c r="D351" s="14" t="inlineStr">
        <is>
          <t>PERIOVET-25G</t>
        </is>
      </c>
      <c r="E351" s="14" t="inlineStr">
        <is>
          <t>23798862739</t>
        </is>
      </c>
      <c r="F351" s="14" t="inlineStr">
        <is>
          <t>0</t>
        </is>
      </c>
      <c r="G351" s="14" t="inlineStr">
        <is>
          <t>NORMAL</t>
        </is>
      </c>
      <c r="H351" s="15" t="n">
        <v>99.90000000000001</v>
      </c>
      <c r="I351" s="15" t="n">
        <v>59.89</v>
      </c>
      <c r="J351" s="16" t="inlineStr">
        <is>
          <t>SIM</t>
        </is>
      </c>
      <c r="K351" s="15" t="n">
        <v>59.89</v>
      </c>
      <c r="L351" s="35">
        <f>IF(K351&lt;&gt;"",K351,I351)</f>
        <v/>
      </c>
      <c r="M351" s="84" t="n">
        <v>1</v>
      </c>
      <c r="N351" s="85" t="n">
        <v>34.5</v>
      </c>
      <c r="O351" s="80">
        <f>ROUND(M351*N351,2)</f>
        <v/>
      </c>
      <c r="P351" s="80">
        <f>IF($O351="","",L351-O351-(L351*IF(L351&lt;=79.99,20%,14%)+IF(L351&lt;=79.99,4,IF(L351&lt;=99.99,16,IF(L351&lt;=199.99,20,IF(L351&lt;=499.99,26,28)))))-L351*1.3%-L351*6%-(L351-O351)*9.25%-L351*3%-L351*3%-1)</f>
        <v/>
      </c>
      <c r="Q351" s="17">
        <f>IF(AND(K351&lt;&gt;"",H351&gt;0),(H351-K351)/H351,"")</f>
        <v/>
      </c>
      <c r="R351" s="14" t="inlineStr">
        <is>
          <t>909477973245952</t>
        </is>
      </c>
      <c r="S351" s="18" t="n">
        <v>46144.38263888889</v>
      </c>
      <c r="T351" s="18" t="n">
        <v>46295.4375</v>
      </c>
      <c r="U351" s="14" t="inlineStr">
        <is>
          <t>100930</t>
        </is>
      </c>
      <c r="V351" t="inlineStr">
        <is>
          <t>213268</t>
        </is>
      </c>
      <c r="W351" t="inlineStr">
        <is>
          <t>venda casada (21 pedidos)</t>
        </is>
      </c>
      <c r="X351" t="n">
        <v>21</v>
      </c>
      <c r="Y351" t="inlineStr">
        <is>
          <t>ok</t>
        </is>
      </c>
    </row>
    <row r="352" ht="15" customFormat="1" customHeight="1" s="19">
      <c r="A352" s="19" t="inlineStr">
        <is>
          <t>Espaço De Bicho</t>
        </is>
      </c>
      <c r="B352" s="19" t="inlineStr">
        <is>
          <t>Petisco Natural Desidratado para Cachorros Orelha Suína 500g</t>
        </is>
      </c>
      <c r="C352" s="19" t="inlineStr">
        <is>
          <t>Sem variação</t>
        </is>
      </c>
      <c r="D352" s="19" t="inlineStr">
        <is>
          <t>ORELHA-SUÍNA-500G</t>
        </is>
      </c>
      <c r="E352" s="19" t="inlineStr">
        <is>
          <t>18799379679</t>
        </is>
      </c>
      <c r="F352" s="19" t="inlineStr">
        <is>
          <t>0</t>
        </is>
      </c>
      <c r="G352" s="19" t="inlineStr">
        <is>
          <t>NORMAL</t>
        </is>
      </c>
      <c r="H352" s="20" t="n">
        <v>150.9</v>
      </c>
      <c r="I352" s="20" t="n">
        <v>132.9</v>
      </c>
      <c r="J352" s="21" t="inlineStr">
        <is>
          <t>SIM</t>
        </is>
      </c>
      <c r="K352" s="20" t="n">
        <v>132.9</v>
      </c>
      <c r="L352" s="35">
        <f>IF(K352&lt;&gt;"",K352,I352)</f>
        <v/>
      </c>
      <c r="M352" s="30" t="n"/>
      <c r="N352" s="30" t="n"/>
      <c r="O352" s="29" t="n"/>
      <c r="P352" s="80">
        <f>IF($O352="","",L352-O352-(L352*IF(L352&lt;=79.99,20%,14%)+IF(L352&lt;=79.99,4,IF(L352&lt;=99.99,16,IF(L352&lt;=199.99,20,IF(L352&lt;=499.99,26,28)))))-L352*1.3%-L352*6%-(L352-O352)*9.25%-L352*3%-L352*3%-1)</f>
        <v/>
      </c>
      <c r="Q352" s="22">
        <f>IF(AND(K352&lt;&gt;"",H352&gt;0),(H352-K352)/H352,"")</f>
        <v/>
      </c>
      <c r="R352" s="19" t="inlineStr">
        <is>
          <t>909477973245952</t>
        </is>
      </c>
      <c r="S352" s="23" t="n">
        <v>46144.38263888889</v>
      </c>
      <c r="T352" s="23" t="n">
        <v>46295.4375</v>
      </c>
      <c r="U352" s="19" t="inlineStr">
        <is>
          <t>100907</t>
        </is>
      </c>
      <c r="W352" t="inlineStr">
        <is>
          <t>sem correspondência</t>
        </is>
      </c>
      <c r="Y352" t="inlineStr"/>
    </row>
    <row r="353" ht="15" customFormat="1" customHeight="1" s="14">
      <c r="A353" s="14" t="inlineStr">
        <is>
          <t>Espaço De Bicho</t>
        </is>
      </c>
      <c r="B353" s="14" t="inlineStr">
        <is>
          <t>Potrus 10kg Lavizoo Suplemento Para Potros</t>
        </is>
      </c>
      <c r="C353" s="14" t="inlineStr">
        <is>
          <t>Sem variação</t>
        </is>
      </c>
      <c r="D353" s="14" t="inlineStr">
        <is>
          <t>POTRUS-10KG-LAVIZOO</t>
        </is>
      </c>
      <c r="E353" s="14" t="inlineStr">
        <is>
          <t>22192958412</t>
        </is>
      </c>
      <c r="F353" s="14" t="inlineStr">
        <is>
          <t>0</t>
        </is>
      </c>
      <c r="G353" s="14" t="inlineStr">
        <is>
          <t>NORMAL</t>
        </is>
      </c>
      <c r="H353" s="15" t="n">
        <v>1600</v>
      </c>
      <c r="I353" s="15" t="n">
        <v>1350.99</v>
      </c>
      <c r="J353" s="16" t="inlineStr">
        <is>
          <t>SIM</t>
        </is>
      </c>
      <c r="K353" s="15" t="n">
        <v>1350.99</v>
      </c>
      <c r="L353" s="35">
        <f>IF(K353&lt;&gt;"",K353,I353)</f>
        <v/>
      </c>
      <c r="M353" s="28" t="n"/>
      <c r="N353" s="28" t="n"/>
      <c r="O353" s="29" t="n"/>
      <c r="P353" s="80">
        <f>IF($O353="","",L353-O353-(L353*IF(L353&lt;=79.99,20%,14%)+IF(L353&lt;=79.99,4,IF(L353&lt;=99.99,16,IF(L353&lt;=199.99,20,IF(L353&lt;=499.99,26,28)))))-L353*1.3%-L353*6%-(L353-O353)*9.25%-L353*3%-L353*3%-1)</f>
        <v/>
      </c>
      <c r="Q353" s="17">
        <f>IF(AND(K353&lt;&gt;"",H353&gt;0),(H353-K353)/H353,"")</f>
        <v/>
      </c>
      <c r="R353" s="14" t="inlineStr">
        <is>
          <t>909477973245952</t>
        </is>
      </c>
      <c r="S353" s="18" t="n">
        <v>46144.38263888889</v>
      </c>
      <c r="T353" s="18" t="n">
        <v>46295.4375</v>
      </c>
      <c r="U353" s="14" t="inlineStr">
        <is>
          <t>100944</t>
        </is>
      </c>
      <c r="W353" t="inlineStr">
        <is>
          <t>sem correspondência</t>
        </is>
      </c>
      <c r="Y353" t="inlineStr"/>
    </row>
    <row r="354" ht="15" customFormat="1" customHeight="1" s="19">
      <c r="A354" s="14" t="inlineStr">
        <is>
          <t>Espaço De Bicho</t>
        </is>
      </c>
      <c r="B354" s="14" t="inlineStr">
        <is>
          <t>Probiótico Vetnil para Cães e Gatos 14 g</t>
        </is>
      </c>
      <c r="C354" s="14" t="inlineStr">
        <is>
          <t>Sem variação</t>
        </is>
      </c>
      <c r="D354" s="14" t="inlineStr">
        <is>
          <t>PROBIOTICO-14G-VETNIL</t>
        </is>
      </c>
      <c r="E354" s="14" t="inlineStr">
        <is>
          <t>20799865230</t>
        </is>
      </c>
      <c r="F354" s="14" t="inlineStr">
        <is>
          <t>0</t>
        </is>
      </c>
      <c r="G354" s="14" t="inlineStr">
        <is>
          <t>NORMAL</t>
        </is>
      </c>
      <c r="H354" s="15" t="n">
        <v>99.90000000000001</v>
      </c>
      <c r="I354" s="15" t="n">
        <v>46.9</v>
      </c>
      <c r="J354" s="16" t="inlineStr">
        <is>
          <t>SIM</t>
        </is>
      </c>
      <c r="K354" s="15" t="n">
        <v>46.9</v>
      </c>
      <c r="L354" s="35">
        <f>IF(K354&lt;&gt;"",K354,I354)</f>
        <v/>
      </c>
      <c r="M354" s="84" t="n">
        <v>1</v>
      </c>
      <c r="N354" s="85" t="n">
        <v>24.65</v>
      </c>
      <c r="O354" s="80">
        <f>ROUND(M354*N354,2)</f>
        <v/>
      </c>
      <c r="P354" s="80">
        <f>IF($O354="","",L354-O354-(L354*IF(L354&lt;=79.99,20%,14%)+IF(L354&lt;=79.99,4,IF(L354&lt;=99.99,16,IF(L354&lt;=199.99,20,IF(L354&lt;=499.99,26,28)))))-L354*1.3%-L354*6%-(L354-O354)*9.25%-L354*3%-L354*3%-1)</f>
        <v/>
      </c>
      <c r="Q354" s="17">
        <f>IF(AND(K354&lt;&gt;"",H354&gt;0),(H354-K354)/H354,"")</f>
        <v/>
      </c>
      <c r="R354" s="14" t="inlineStr">
        <is>
          <t>909477973245952</t>
        </is>
      </c>
      <c r="S354" s="18" t="n">
        <v>46144.38263888889</v>
      </c>
      <c r="T354" s="18" t="n">
        <v>46295.4375</v>
      </c>
      <c r="U354" s="14" t="inlineStr">
        <is>
          <t>100944</t>
        </is>
      </c>
      <c r="V354" t="inlineStr">
        <is>
          <t>213278</t>
        </is>
      </c>
      <c r="W354" t="inlineStr">
        <is>
          <t>venda casada (8 pedidos)</t>
        </is>
      </c>
      <c r="X354" t="n">
        <v>8</v>
      </c>
      <c r="Y354" t="inlineStr">
        <is>
          <t>ok</t>
        </is>
      </c>
    </row>
    <row r="355" ht="15" customFormat="1" customHeight="1" s="14">
      <c r="A355" s="14" t="inlineStr">
        <is>
          <t>Espaço De Bicho</t>
        </is>
      </c>
      <c r="B355" s="14" t="inlineStr">
        <is>
          <t>Provermin Pó 20g Cada Vermífugo Oral Aves E Suínos</t>
        </is>
      </c>
      <c r="C355" s="14" t="inlineStr">
        <is>
          <t>Sem variação</t>
        </is>
      </c>
      <c r="D355" s="14" t="inlineStr">
        <is>
          <t>PROVERMIN-20g</t>
        </is>
      </c>
      <c r="E355" s="14" t="inlineStr">
        <is>
          <t>58260760619</t>
        </is>
      </c>
      <c r="F355" s="14" t="inlineStr">
        <is>
          <t>0</t>
        </is>
      </c>
      <c r="G355" s="14" t="inlineStr">
        <is>
          <t>NORMAL</t>
        </is>
      </c>
      <c r="H355" s="15" t="n">
        <v>29.9</v>
      </c>
      <c r="I355" s="15" t="n">
        <v>7.99</v>
      </c>
      <c r="J355" s="16" t="inlineStr">
        <is>
          <t>SIM</t>
        </is>
      </c>
      <c r="K355" s="15" t="n">
        <v>7.99</v>
      </c>
      <c r="L355" s="35">
        <f>IF(K355&lt;&gt;"",K355,I355)</f>
        <v/>
      </c>
      <c r="M355" s="84" t="n">
        <v>1</v>
      </c>
      <c r="N355" s="85" t="n">
        <v>3.11</v>
      </c>
      <c r="O355" s="80">
        <f>ROUND(M355*N355,2)</f>
        <v/>
      </c>
      <c r="P355" s="80">
        <f>IF($O355="","",L355-O355-(L355*IF(L355&lt;=79.99,20%,14%)+IF(L355&lt;=79.99,4,IF(L355&lt;=99.99,16,IF(L355&lt;=199.99,20,IF(L355&lt;=499.99,26,28)))))-L355*1.3%-L355*6%-(L355-O355)*9.25%-L355*3%-L355*3%-1)</f>
        <v/>
      </c>
      <c r="Q355" s="17">
        <f>IF(AND(K355&lt;&gt;"",H355&gt;0),(H355-K355)/H355,"")</f>
        <v/>
      </c>
      <c r="R355" s="14" t="inlineStr">
        <is>
          <t>909477973245952</t>
        </is>
      </c>
      <c r="S355" s="18" t="n">
        <v>46144.38263888889</v>
      </c>
      <c r="T355" s="18" t="n">
        <v>46295.4375</v>
      </c>
      <c r="U355" s="14" t="inlineStr">
        <is>
          <t>100942</t>
        </is>
      </c>
      <c r="V355" t="inlineStr">
        <is>
          <t>213139</t>
        </is>
      </c>
      <c r="W355" t="inlineStr">
        <is>
          <t>venda casada (57 pedidos)</t>
        </is>
      </c>
      <c r="X355" t="n">
        <v>57</v>
      </c>
      <c r="Y355" t="inlineStr">
        <is>
          <t>ok</t>
        </is>
      </c>
    </row>
    <row r="356" ht="15" customFormat="1" customHeight="1" s="19">
      <c r="A356" s="19" t="inlineStr">
        <is>
          <t>Espaço De Bicho</t>
        </is>
      </c>
      <c r="B356" s="19" t="inlineStr">
        <is>
          <t>Puppy Action C/ 30ml</t>
        </is>
      </c>
      <c r="C356" s="19" t="inlineStr">
        <is>
          <t>Sem variação</t>
        </is>
      </c>
      <c r="D356" s="19" t="inlineStr">
        <is>
          <t>PUPPY-ACTION-30ML</t>
        </is>
      </c>
      <c r="E356" s="19" t="inlineStr">
        <is>
          <t>40233029048</t>
        </is>
      </c>
      <c r="F356" s="19" t="inlineStr">
        <is>
          <t>0</t>
        </is>
      </c>
      <c r="G356" s="19" t="inlineStr">
        <is>
          <t>NORMAL</t>
        </is>
      </c>
      <c r="H356" s="20" t="n">
        <v>59.8</v>
      </c>
      <c r="I356" s="20" t="n">
        <v>59.8</v>
      </c>
      <c r="J356" s="21" t="inlineStr">
        <is>
          <t>NÃO</t>
        </is>
      </c>
      <c r="K356" s="20" t="n"/>
      <c r="L356" s="35">
        <f>IF(K356&lt;&gt;"",K356,I356)</f>
        <v/>
      </c>
      <c r="M356" s="30" t="n"/>
      <c r="N356" s="30" t="n"/>
      <c r="O356" s="31" t="n"/>
      <c r="P356" s="80">
        <f>IF($O356="","",L356-O356-(L356*IF(L356&lt;=79.99,20%,14%)+IF(L356&lt;=79.99,4,IF(L356&lt;=99.99,16,IF(L356&lt;=199.99,20,IF(L356&lt;=499.99,26,28)))))-L356*1.3%-L356*6%-(L356-O356)*9.25%-L356*3%-L356*3%-1)</f>
        <v/>
      </c>
      <c r="Q356" s="22">
        <f>IF(AND(K356&lt;&gt;"",H356&gt;0),(H356-K356)/H356,"")</f>
        <v/>
      </c>
      <c r="R356" s="19" t="inlineStr"/>
      <c r="S356" s="23" t="n"/>
      <c r="T356" s="23" t="n"/>
      <c r="U356" s="19" t="inlineStr">
        <is>
          <t>100942</t>
        </is>
      </c>
      <c r="W356" t="inlineStr">
        <is>
          <t>sem correspondência</t>
        </is>
      </c>
      <c r="Y356" t="inlineStr"/>
    </row>
    <row r="357" ht="15" customFormat="1" customHeight="1" s="14">
      <c r="A357" s="14" t="inlineStr">
        <is>
          <t>Espaço De Bicho</t>
        </is>
      </c>
      <c r="B357" s="14" t="inlineStr">
        <is>
          <t>Ração Biofresh Cães Adultos Castrados Grandes E Gigantes - 15Kg</t>
        </is>
      </c>
      <c r="C357" s="14" t="inlineStr">
        <is>
          <t>Sem variação</t>
        </is>
      </c>
      <c r="D357" s="14" t="inlineStr">
        <is>
          <t>RAÇÃO-BIOFRESH-DOGCAST-GRANDE-15KG</t>
        </is>
      </c>
      <c r="E357" s="14" t="inlineStr">
        <is>
          <t>22493620700</t>
        </is>
      </c>
      <c r="F357" s="14" t="inlineStr">
        <is>
          <t>0</t>
        </is>
      </c>
      <c r="G357" s="14" t="inlineStr">
        <is>
          <t>NORMAL</t>
        </is>
      </c>
      <c r="H357" s="15" t="n">
        <v>420.9</v>
      </c>
      <c r="I357" s="15" t="n">
        <v>405.9</v>
      </c>
      <c r="J357" s="16" t="inlineStr">
        <is>
          <t>SIM</t>
        </is>
      </c>
      <c r="K357" s="15" t="n">
        <v>405.9</v>
      </c>
      <c r="L357" s="35">
        <f>IF(K357&lt;&gt;"",K357,I357)</f>
        <v/>
      </c>
      <c r="M357" s="28" t="n"/>
      <c r="N357" s="28" t="n"/>
      <c r="O357" s="29" t="n"/>
      <c r="P357" s="80">
        <f>IF($O357="","",L357-O357-(L357*IF(L357&lt;=79.99,20%,14%)+IF(L357&lt;=79.99,4,IF(L357&lt;=99.99,16,IF(L357&lt;=199.99,20,IF(L357&lt;=499.99,26,28)))))-L357*1.3%-L357*6%-(L357-O357)*9.25%-L357*3%-L357*3%-1)</f>
        <v/>
      </c>
      <c r="Q357" s="17">
        <f>IF(AND(K357&lt;&gt;"",H357&gt;0),(H357-K357)/H357,"")</f>
        <v/>
      </c>
      <c r="R357" s="14" t="inlineStr">
        <is>
          <t>909477973245952</t>
        </is>
      </c>
      <c r="S357" s="18" t="n">
        <v>46144.38263888889</v>
      </c>
      <c r="T357" s="18" t="n">
        <v>46295.4375</v>
      </c>
      <c r="U357" s="14" t="inlineStr">
        <is>
          <t>100906</t>
        </is>
      </c>
      <c r="W357" t="inlineStr">
        <is>
          <t>sem correspondência</t>
        </is>
      </c>
      <c r="Y357" t="inlineStr"/>
    </row>
    <row r="358" ht="15" customFormat="1" customHeight="1" s="19">
      <c r="A358" s="19" t="inlineStr">
        <is>
          <t>Espaço De Bicho</t>
        </is>
      </c>
      <c r="B358" s="19" t="inlineStr">
        <is>
          <t>Ração Biofresh Cães Adultos Raças Grandes e Gigantes - 15Kg</t>
        </is>
      </c>
      <c r="C358" s="19" t="inlineStr">
        <is>
          <t>Sem variação</t>
        </is>
      </c>
      <c r="D358" s="19" t="inlineStr">
        <is>
          <t>RAÇÃO-BIOFRESH-DOGADULT-GRANDE-15KG</t>
        </is>
      </c>
      <c r="E358" s="19" t="inlineStr">
        <is>
          <t>20799576903</t>
        </is>
      </c>
      <c r="F358" s="19" t="inlineStr">
        <is>
          <t>0</t>
        </is>
      </c>
      <c r="G358" s="19" t="inlineStr">
        <is>
          <t>NORMAL</t>
        </is>
      </c>
      <c r="H358" s="20" t="n">
        <v>399.9</v>
      </c>
      <c r="I358" s="20" t="n">
        <v>382.9</v>
      </c>
      <c r="J358" s="21" t="inlineStr">
        <is>
          <t>SIM</t>
        </is>
      </c>
      <c r="K358" s="20" t="n">
        <v>382.9</v>
      </c>
      <c r="L358" s="35">
        <f>IF(K358&lt;&gt;"",K358,I358)</f>
        <v/>
      </c>
      <c r="M358" s="30" t="n"/>
      <c r="N358" s="30" t="n"/>
      <c r="O358" s="29" t="n"/>
      <c r="P358" s="80">
        <f>IF($O358="","",L358-O358-(L358*IF(L358&lt;=79.99,20%,14%)+IF(L358&lt;=79.99,4,IF(L358&lt;=99.99,16,IF(L358&lt;=199.99,20,IF(L358&lt;=499.99,26,28)))))-L358*1.3%-L358*6%-(L358-O358)*9.25%-L358*3%-L358*3%-1)</f>
        <v/>
      </c>
      <c r="Q358" s="22">
        <f>IF(AND(K358&lt;&gt;"",H358&gt;0),(H358-K358)/H358,"")</f>
        <v/>
      </c>
      <c r="R358" s="19" t="inlineStr">
        <is>
          <t>909477973245952</t>
        </is>
      </c>
      <c r="S358" s="23" t="n">
        <v>46144.38263888889</v>
      </c>
      <c r="T358" s="23" t="n">
        <v>46295.4375</v>
      </c>
      <c r="U358" s="19" t="inlineStr">
        <is>
          <t>100906</t>
        </is>
      </c>
      <c r="W358" t="inlineStr">
        <is>
          <t>sem correspondência</t>
        </is>
      </c>
      <c r="Y358" t="inlineStr"/>
    </row>
    <row r="359" ht="15" customFormat="1" customHeight="1" s="14">
      <c r="A359" s="14" t="inlineStr">
        <is>
          <t>Espaço De Bicho</t>
        </is>
      </c>
      <c r="B359" s="14" t="inlineStr">
        <is>
          <t>Ração Biofresh Para Gatos Sabor Salmão Adultos Salmão - 1,5Kg</t>
        </is>
      </c>
      <c r="C359" s="14" t="inlineStr">
        <is>
          <t>Sem variação</t>
        </is>
      </c>
      <c r="D359" s="14" t="inlineStr">
        <is>
          <t>BIOFRESH-CAT-ADULT-SALMÃO-1,5KG</t>
        </is>
      </c>
      <c r="E359" s="14" t="inlineStr">
        <is>
          <t>21999578861</t>
        </is>
      </c>
      <c r="F359" s="14" t="inlineStr">
        <is>
          <t>0</t>
        </is>
      </c>
      <c r="G359" s="14" t="inlineStr">
        <is>
          <t>NORMAL</t>
        </is>
      </c>
      <c r="H359" s="15" t="n">
        <v>199.9</v>
      </c>
      <c r="I359" s="15" t="n">
        <v>179.9</v>
      </c>
      <c r="J359" s="16" t="inlineStr">
        <is>
          <t>SIM</t>
        </is>
      </c>
      <c r="K359" s="15" t="n">
        <v>179.9</v>
      </c>
      <c r="L359" s="35">
        <f>IF(K359&lt;&gt;"",K359,I359)</f>
        <v/>
      </c>
      <c r="M359" s="28" t="n"/>
      <c r="N359" s="28" t="n"/>
      <c r="O359" s="29" t="n"/>
      <c r="P359" s="80">
        <f>IF($O359="","",L359-O359-(L359*IF(L359&lt;=79.99,20%,14%)+IF(L359&lt;=79.99,4,IF(L359&lt;=99.99,16,IF(L359&lt;=199.99,20,IF(L359&lt;=499.99,26,28)))))-L359*1.3%-L359*6%-(L359-O359)*9.25%-L359*3%-L359*3%-1)</f>
        <v/>
      </c>
      <c r="Q359" s="17">
        <f>IF(AND(K359&lt;&gt;"",H359&gt;0),(H359-K359)/H359,"")</f>
        <v/>
      </c>
      <c r="R359" s="14" t="inlineStr">
        <is>
          <t>909477973245952</t>
        </is>
      </c>
      <c r="S359" s="18" t="n">
        <v>46144.38263888889</v>
      </c>
      <c r="T359" s="18" t="n">
        <v>46295.4375</v>
      </c>
      <c r="U359" s="14" t="inlineStr">
        <is>
          <t>100908</t>
        </is>
      </c>
      <c r="W359" t="inlineStr">
        <is>
          <t>sem correspondência</t>
        </is>
      </c>
      <c r="Y359" t="inlineStr"/>
    </row>
    <row r="360" ht="15" customFormat="1" customHeight="1" s="19">
      <c r="A360" s="19" t="inlineStr">
        <is>
          <t>Espaço De Bicho</t>
        </is>
      </c>
      <c r="B360" s="19" t="inlineStr">
        <is>
          <t>Ração Cães Biofresh Adultos Castrados Racas Medias – 3kg</t>
        </is>
      </c>
      <c r="C360" s="19" t="inlineStr">
        <is>
          <t>Sem variação</t>
        </is>
      </c>
      <c r="D360" s="19" t="inlineStr">
        <is>
          <t>BIOFRESH-DOG-ADULT-CAST-MÉDIO-3KG</t>
        </is>
      </c>
      <c r="E360" s="19" t="inlineStr">
        <is>
          <t>23798118790</t>
        </is>
      </c>
      <c r="F360" s="19" t="inlineStr">
        <is>
          <t>0</t>
        </is>
      </c>
      <c r="G360" s="19" t="inlineStr">
        <is>
          <t>NORMAL</t>
        </is>
      </c>
      <c r="H360" s="20" t="n">
        <v>299.9</v>
      </c>
      <c r="I360" s="20" t="n">
        <v>249.9</v>
      </c>
      <c r="J360" s="21" t="inlineStr">
        <is>
          <t>SIM</t>
        </is>
      </c>
      <c r="K360" s="20" t="n">
        <v>249.9</v>
      </c>
      <c r="L360" s="35">
        <f>IF(K360&lt;&gt;"",K360,I360)</f>
        <v/>
      </c>
      <c r="M360" s="30" t="n"/>
      <c r="N360" s="30" t="n"/>
      <c r="O360" s="29" t="n"/>
      <c r="P360" s="80">
        <f>IF($O360="","",L360-O360-(L360*IF(L360&lt;=79.99,20%,14%)+IF(L360&lt;=79.99,4,IF(L360&lt;=99.99,16,IF(L360&lt;=199.99,20,IF(L360&lt;=499.99,26,28)))))-L360*1.3%-L360*6%-(L360-O360)*9.25%-L360*3%-L360*3%-1)</f>
        <v/>
      </c>
      <c r="Q360" s="22">
        <f>IF(AND(K360&lt;&gt;"",H360&gt;0),(H360-K360)/H360,"")</f>
        <v/>
      </c>
      <c r="R360" s="19" t="inlineStr">
        <is>
          <t>909477973245952</t>
        </is>
      </c>
      <c r="S360" s="23" t="n">
        <v>46144.38263888889</v>
      </c>
      <c r="T360" s="23" t="n">
        <v>46295.4375</v>
      </c>
      <c r="U360" s="19" t="inlineStr">
        <is>
          <t>100906</t>
        </is>
      </c>
      <c r="W360" t="inlineStr">
        <is>
          <t>sem correspondência</t>
        </is>
      </c>
      <c r="Y360" t="inlineStr"/>
    </row>
    <row r="361" ht="15" customFormat="1" customHeight="1" s="14">
      <c r="A361" s="14" t="inlineStr">
        <is>
          <t>Espaço De Bicho</t>
        </is>
      </c>
      <c r="B361" s="14" t="inlineStr">
        <is>
          <t>Ração Cães Biofresh Adultos Frango Raças Medias 10,1kg</t>
        </is>
      </c>
      <c r="C361" s="14" t="inlineStr">
        <is>
          <t>Sem variação</t>
        </is>
      </c>
      <c r="D361" s="14" t="inlineStr">
        <is>
          <t>BIOFRESH-DOG-ADULTO-MED-FRANGO-10,1KG</t>
        </is>
      </c>
      <c r="E361" s="14" t="inlineStr">
        <is>
          <t>20599578313</t>
        </is>
      </c>
      <c r="F361" s="14" t="inlineStr">
        <is>
          <t>0</t>
        </is>
      </c>
      <c r="G361" s="14" t="inlineStr">
        <is>
          <t>NORMAL</t>
        </is>
      </c>
      <c r="H361" s="15" t="n">
        <v>350.9</v>
      </c>
      <c r="I361" s="15" t="n">
        <v>305.9</v>
      </c>
      <c r="J361" s="16" t="inlineStr">
        <is>
          <t>SIM</t>
        </is>
      </c>
      <c r="K361" s="15" t="n">
        <v>305.9</v>
      </c>
      <c r="L361" s="35">
        <f>IF(K361&lt;&gt;"",K361,I361)</f>
        <v/>
      </c>
      <c r="M361" s="28" t="n"/>
      <c r="N361" s="28" t="n"/>
      <c r="O361" s="29" t="n"/>
      <c r="P361" s="80">
        <f>IF($O361="","",L361-O361-(L361*IF(L361&lt;=79.99,20%,14%)+IF(L361&lt;=79.99,4,IF(L361&lt;=99.99,16,IF(L361&lt;=199.99,20,IF(L361&lt;=499.99,26,28)))))-L361*1.3%-L361*6%-(L361-O361)*9.25%-L361*3%-L361*3%-1)</f>
        <v/>
      </c>
      <c r="Q361" s="17">
        <f>IF(AND(K361&lt;&gt;"",H361&gt;0),(H361-K361)/H361,"")</f>
        <v/>
      </c>
      <c r="R361" s="14" t="inlineStr">
        <is>
          <t>909477973245952</t>
        </is>
      </c>
      <c r="S361" s="18" t="n">
        <v>46144.38263888889</v>
      </c>
      <c r="T361" s="18" t="n">
        <v>46295.4375</v>
      </c>
      <c r="U361" s="14" t="inlineStr">
        <is>
          <t>100906</t>
        </is>
      </c>
      <c r="W361" t="inlineStr">
        <is>
          <t>sem correspondência</t>
        </is>
      </c>
      <c r="Y361" t="inlineStr"/>
    </row>
    <row r="362" ht="15" customFormat="1" customHeight="1" s="19">
      <c r="A362" s="19" t="inlineStr">
        <is>
          <t>Espaço De Bicho</t>
        </is>
      </c>
      <c r="B362" s="19" t="inlineStr">
        <is>
          <t>Ração Cães Biofresh Filhotes Raças Grandes E Gigantes 15kg</t>
        </is>
      </c>
      <c r="C362" s="19" t="inlineStr">
        <is>
          <t>RAÇÃO - 15KG</t>
        </is>
      </c>
      <c r="D362" s="19" t="inlineStr">
        <is>
          <t>BIOFRESH-DOG-FILHOTE-GRANDE-15KG</t>
        </is>
      </c>
      <c r="E362" s="19" t="inlineStr">
        <is>
          <t>22793632533</t>
        </is>
      </c>
      <c r="F362" s="19" t="inlineStr">
        <is>
          <t>159781436559</t>
        </is>
      </c>
      <c r="G362" s="19" t="inlineStr">
        <is>
          <t>NORMAL</t>
        </is>
      </c>
      <c r="H362" s="20" t="n">
        <v>599.9</v>
      </c>
      <c r="I362" s="20" t="n">
        <v>396.9</v>
      </c>
      <c r="J362" s="21" t="inlineStr">
        <is>
          <t>SIM</t>
        </is>
      </c>
      <c r="K362" s="20" t="n">
        <v>396.9</v>
      </c>
      <c r="L362" s="35">
        <f>IF(K362&lt;&gt;"",K362,I362)</f>
        <v/>
      </c>
      <c r="M362" s="30" t="n"/>
      <c r="N362" s="30" t="n"/>
      <c r="O362" s="29" t="n"/>
      <c r="P362" s="80">
        <f>IF($O362="","",L362-O362-(L362*IF(L362&lt;=79.99,20%,14%)+IF(L362&lt;=79.99,4,IF(L362&lt;=99.99,16,IF(L362&lt;=199.99,20,IF(L362&lt;=499.99,26,28)))))-L362*1.3%-L362*6%-(L362-O362)*9.25%-L362*3%-L362*3%-1)</f>
        <v/>
      </c>
      <c r="Q362" s="22">
        <f>IF(AND(K362&lt;&gt;"",H362&gt;0),(H362-K362)/H362,"")</f>
        <v/>
      </c>
      <c r="R362" s="19" t="inlineStr">
        <is>
          <t>909477973245952</t>
        </is>
      </c>
      <c r="S362" s="23" t="n">
        <v>46144.38263888889</v>
      </c>
      <c r="T362" s="23" t="n">
        <v>46295.4375</v>
      </c>
      <c r="U362" s="19" t="inlineStr">
        <is>
          <t>100906</t>
        </is>
      </c>
      <c r="W362" t="inlineStr">
        <is>
          <t>sem correspondência</t>
        </is>
      </c>
      <c r="Y362" t="inlineStr"/>
    </row>
    <row r="363" ht="15" customFormat="1" customHeight="1" s="14">
      <c r="A363" s="14" t="inlineStr">
        <is>
          <t>Espaço De Bicho</t>
        </is>
      </c>
      <c r="B363" s="14" t="inlineStr">
        <is>
          <t>Ração Cães Biofresh Filhotes Raças Grandes E Gigantes 15kg</t>
        </is>
      </c>
      <c r="C363" s="14" t="inlineStr">
        <is>
          <t>RAÇÃO - 3KG</t>
        </is>
      </c>
      <c r="D363" s="14" t="inlineStr">
        <is>
          <t>BIOFRESH-DOG-FILHOTE-GRANDE-3KG</t>
        </is>
      </c>
      <c r="E363" s="14" t="inlineStr">
        <is>
          <t>22793632533</t>
        </is>
      </c>
      <c r="F363" s="14" t="inlineStr">
        <is>
          <t>159781436558</t>
        </is>
      </c>
      <c r="G363" s="14" t="inlineStr">
        <is>
          <t>NORMAL</t>
        </is>
      </c>
      <c r="H363" s="15" t="n">
        <v>599.9</v>
      </c>
      <c r="I363" s="15" t="n">
        <v>599.9</v>
      </c>
      <c r="J363" s="16" t="inlineStr">
        <is>
          <t>NÃO</t>
        </is>
      </c>
      <c r="K363" s="15" t="n"/>
      <c r="L363" s="35">
        <f>IF(K363&lt;&gt;"",K363,I363)</f>
        <v/>
      </c>
      <c r="M363" s="28" t="n"/>
      <c r="N363" s="28" t="n"/>
      <c r="O363" s="29" t="n"/>
      <c r="P363" s="80">
        <f>IF($O363="","",L363-O363-(L363*IF(L363&lt;=79.99,20%,14%)+IF(L363&lt;=79.99,4,IF(L363&lt;=99.99,16,IF(L363&lt;=199.99,20,IF(L363&lt;=499.99,26,28)))))-L363*1.3%-L363*6%-(L363-O363)*9.25%-L363*3%-L363*3%-1)</f>
        <v/>
      </c>
      <c r="Q363" s="17">
        <f>IF(AND(K363&lt;&gt;"",H363&gt;0),(H363-K363)/H363,"")</f>
        <v/>
      </c>
      <c r="R363" s="14" t="inlineStr"/>
      <c r="S363" s="18" t="n"/>
      <c r="T363" s="18" t="n"/>
      <c r="U363" s="14" t="inlineStr">
        <is>
          <t>100906</t>
        </is>
      </c>
      <c r="W363" t="inlineStr">
        <is>
          <t>sem correspondência</t>
        </is>
      </c>
      <c r="Y363" t="inlineStr"/>
    </row>
    <row r="364" ht="15" customFormat="1" customHeight="1" s="19">
      <c r="A364" s="19" t="inlineStr">
        <is>
          <t>Espaço De Bicho</t>
        </is>
      </c>
      <c r="B364" s="19" t="inlineStr">
        <is>
          <t>Ração Cães Biofresh Filhotes Raças Medias 3kg</t>
        </is>
      </c>
      <c r="C364" s="19" t="inlineStr">
        <is>
          <t>Sem variação</t>
        </is>
      </c>
      <c r="D364" s="19" t="inlineStr">
        <is>
          <t>BIOFRESH-DOG-FILHOTE-MÉDIO-3KG</t>
        </is>
      </c>
      <c r="E364" s="19" t="inlineStr">
        <is>
          <t>22393644396</t>
        </is>
      </c>
      <c r="F364" s="19" t="inlineStr">
        <is>
          <t>0</t>
        </is>
      </c>
      <c r="G364" s="19" t="inlineStr">
        <is>
          <t>NORMAL</t>
        </is>
      </c>
      <c r="H364" s="20" t="n">
        <v>299.9</v>
      </c>
      <c r="I364" s="20" t="n">
        <v>245.9</v>
      </c>
      <c r="J364" s="21" t="inlineStr">
        <is>
          <t>SIM</t>
        </is>
      </c>
      <c r="K364" s="20" t="n">
        <v>245.9</v>
      </c>
      <c r="L364" s="35">
        <f>IF(K364&lt;&gt;"",K364,I364)</f>
        <v/>
      </c>
      <c r="M364" s="30" t="n"/>
      <c r="N364" s="30" t="n"/>
      <c r="O364" s="29" t="n"/>
      <c r="P364" s="80">
        <f>IF($O364="","",L364-O364-(L364*IF(L364&lt;=79.99,20%,14%)+IF(L364&lt;=79.99,4,IF(L364&lt;=99.99,16,IF(L364&lt;=199.99,20,IF(L364&lt;=499.99,26,28)))))-L364*1.3%-L364*6%-(L364-O364)*9.25%-L364*3%-L364*3%-1)</f>
        <v/>
      </c>
      <c r="Q364" s="22">
        <f>IF(AND(K364&lt;&gt;"",H364&gt;0),(H364-K364)/H364,"")</f>
        <v/>
      </c>
      <c r="R364" s="19" t="inlineStr">
        <is>
          <t>909477973245952</t>
        </is>
      </c>
      <c r="S364" s="23" t="n">
        <v>46144.38263888889</v>
      </c>
      <c r="T364" s="23" t="n">
        <v>46295.4375</v>
      </c>
      <c r="U364" s="19" t="inlineStr">
        <is>
          <t>100906</t>
        </is>
      </c>
      <c r="W364" t="inlineStr">
        <is>
          <t>sem correspondência</t>
        </is>
      </c>
      <c r="Y364" t="inlineStr"/>
    </row>
    <row r="365" ht="15" customFormat="1" customHeight="1" s="14">
      <c r="A365" s="14" t="inlineStr">
        <is>
          <t>Espaço De Bicho</t>
        </is>
      </c>
      <c r="B365" s="14" t="inlineStr">
        <is>
          <t>Ração Cães Biofresh Light Raças Pequenas E Mini 1kg</t>
        </is>
      </c>
      <c r="C365" s="14" t="inlineStr">
        <is>
          <t>Sem variação</t>
        </is>
      </c>
      <c r="D365" s="14" t="inlineStr">
        <is>
          <t>RAÇÃO-BIOFRESH-DOG-LIGTH-1KG</t>
        </is>
      </c>
      <c r="E365" s="14" t="inlineStr">
        <is>
          <t>22398109379</t>
        </is>
      </c>
      <c r="F365" s="14" t="inlineStr">
        <is>
          <t>0</t>
        </is>
      </c>
      <c r="G365" s="14" t="inlineStr">
        <is>
          <t>NORMAL</t>
        </is>
      </c>
      <c r="H365" s="15" t="n">
        <v>150.9</v>
      </c>
      <c r="I365" s="15" t="n">
        <v>97.90000000000001</v>
      </c>
      <c r="J365" s="16" t="inlineStr">
        <is>
          <t>SIM</t>
        </is>
      </c>
      <c r="K365" s="15" t="n">
        <v>97.90000000000001</v>
      </c>
      <c r="L365" s="35">
        <f>IF(K365&lt;&gt;"",K365,I365)</f>
        <v/>
      </c>
      <c r="M365" s="28" t="n"/>
      <c r="N365" s="28" t="n"/>
      <c r="O365" s="29" t="n"/>
      <c r="P365" s="80">
        <f>IF($O365="","",L365-O365-(L365*IF(L365&lt;=79.99,20%,14%)+IF(L365&lt;=79.99,4,IF(L365&lt;=99.99,16,IF(L365&lt;=199.99,20,IF(L365&lt;=499.99,26,28)))))-L365*1.3%-L365*6%-(L365-O365)*9.25%-L365*3%-L365*3%-1)</f>
        <v/>
      </c>
      <c r="Q365" s="17">
        <f>IF(AND(K365&lt;&gt;"",H365&gt;0),(H365-K365)/H365,"")</f>
        <v/>
      </c>
      <c r="R365" s="14" t="inlineStr">
        <is>
          <t>909477973245952</t>
        </is>
      </c>
      <c r="S365" s="18" t="n">
        <v>46144.38263888889</v>
      </c>
      <c r="T365" s="18" t="n">
        <v>46295.4375</v>
      </c>
      <c r="U365" s="14" t="inlineStr">
        <is>
          <t>100906</t>
        </is>
      </c>
      <c r="W365" t="inlineStr">
        <is>
          <t>sem correspondência</t>
        </is>
      </c>
      <c r="Y365" t="inlineStr"/>
    </row>
    <row r="366" ht="15" customFormat="1" customHeight="1" s="19">
      <c r="A366" s="19" t="inlineStr">
        <is>
          <t>Espaço De Bicho</t>
        </is>
      </c>
      <c r="B366" s="19" t="inlineStr">
        <is>
          <t>Ração Cães Biofresh Sênior Raças Raças Grandes/Gig15kg</t>
        </is>
      </c>
      <c r="C366" s="19" t="inlineStr">
        <is>
          <t>Sem variação</t>
        </is>
      </c>
      <c r="D366" s="19" t="inlineStr">
        <is>
          <t>BIOFRESH-DOG-SENIOR-RÇ-GRANDES-15KG</t>
        </is>
      </c>
      <c r="E366" s="19" t="inlineStr">
        <is>
          <t>23098131771</t>
        </is>
      </c>
      <c r="F366" s="19" t="inlineStr">
        <is>
          <t>0</t>
        </is>
      </c>
      <c r="G366" s="19" t="inlineStr">
        <is>
          <t>NORMAL</t>
        </is>
      </c>
      <c r="H366" s="20" t="n">
        <v>599.9</v>
      </c>
      <c r="I366" s="20" t="n">
        <v>559.9</v>
      </c>
      <c r="J366" s="21" t="inlineStr">
        <is>
          <t>SIM</t>
        </is>
      </c>
      <c r="K366" s="20" t="n">
        <v>559.9</v>
      </c>
      <c r="L366" s="35">
        <f>IF(K366&lt;&gt;"",K366,I366)</f>
        <v/>
      </c>
      <c r="M366" s="30" t="n"/>
      <c r="N366" s="30" t="n"/>
      <c r="O366" s="29" t="n"/>
      <c r="P366" s="80">
        <f>IF($O366="","",L366-O366-(L366*IF(L366&lt;=79.99,20%,14%)+IF(L366&lt;=79.99,4,IF(L366&lt;=99.99,16,IF(L366&lt;=199.99,20,IF(L366&lt;=499.99,26,28)))))-L366*1.3%-L366*6%-(L366-O366)*9.25%-L366*3%-L366*3%-1)</f>
        <v/>
      </c>
      <c r="Q366" s="22">
        <f>IF(AND(K366&lt;&gt;"",H366&gt;0),(H366-K366)/H366,"")</f>
        <v/>
      </c>
      <c r="R366" s="19" t="inlineStr">
        <is>
          <t>909477973245952</t>
        </is>
      </c>
      <c r="S366" s="23" t="n">
        <v>46144.38263888889</v>
      </c>
      <c r="T366" s="23" t="n">
        <v>46295.4375</v>
      </c>
      <c r="U366" s="19" t="inlineStr">
        <is>
          <t>100906</t>
        </is>
      </c>
      <c r="W366" t="inlineStr">
        <is>
          <t>sem correspondência</t>
        </is>
      </c>
      <c r="Y366" t="inlineStr"/>
    </row>
    <row r="367" ht="15" customFormat="1" customHeight="1" s="14">
      <c r="A367" s="14" t="inlineStr">
        <is>
          <t>Espaço De Bicho</t>
        </is>
      </c>
      <c r="B367" s="14" t="inlineStr">
        <is>
          <t>Ração Guabi Natural Cães Obesos Raças Mini e Pequenas 10,1kg</t>
        </is>
      </c>
      <c r="C367" s="14" t="inlineStr">
        <is>
          <t>Sem variação</t>
        </is>
      </c>
      <c r="D367" s="14" t="inlineStr">
        <is>
          <t>GUABI-DOG-OBESOS-PEQ-10,1KG</t>
        </is>
      </c>
      <c r="E367" s="14" t="inlineStr">
        <is>
          <t>23798126537</t>
        </is>
      </c>
      <c r="F367" s="14" t="inlineStr">
        <is>
          <t>0</t>
        </is>
      </c>
      <c r="G367" s="14" t="inlineStr">
        <is>
          <t>NORMAL</t>
        </is>
      </c>
      <c r="H367" s="15" t="n">
        <v>350.9</v>
      </c>
      <c r="I367" s="15" t="n">
        <v>319.9</v>
      </c>
      <c r="J367" s="16" t="inlineStr">
        <is>
          <t>SIM</t>
        </is>
      </c>
      <c r="K367" s="15" t="n">
        <v>319.9</v>
      </c>
      <c r="L367" s="35">
        <f>IF(K367&lt;&gt;"",K367,I367)</f>
        <v/>
      </c>
      <c r="M367" s="28" t="n"/>
      <c r="N367" s="28" t="n"/>
      <c r="O367" s="29" t="n"/>
      <c r="P367" s="80">
        <f>IF($O367="","",L367-O367-(L367*IF(L367&lt;=79.99,20%,14%)+IF(L367&lt;=79.99,4,IF(L367&lt;=99.99,16,IF(L367&lt;=199.99,20,IF(L367&lt;=499.99,26,28)))))-L367*1.3%-L367*6%-(L367-O367)*9.25%-L367*3%-L367*3%-1)</f>
        <v/>
      </c>
      <c r="Q367" s="17">
        <f>IF(AND(K367&lt;&gt;"",H367&gt;0),(H367-K367)/H367,"")</f>
        <v/>
      </c>
      <c r="R367" s="14" t="inlineStr">
        <is>
          <t>909477973245952</t>
        </is>
      </c>
      <c r="S367" s="18" t="n">
        <v>46144.38263888889</v>
      </c>
      <c r="T367" s="18" t="n">
        <v>46295.4375</v>
      </c>
      <c r="U367" s="14" t="inlineStr">
        <is>
          <t>100906</t>
        </is>
      </c>
      <c r="W367" t="inlineStr">
        <is>
          <t>sem correspondência</t>
        </is>
      </c>
      <c r="Y367" t="inlineStr"/>
    </row>
    <row r="368" ht="15" customFormat="1" customHeight="1" s="19">
      <c r="A368" s="19" t="inlineStr">
        <is>
          <t>Espaço De Bicho</t>
        </is>
      </c>
      <c r="B368" s="19" t="inlineStr">
        <is>
          <t>Remédio para carrapato cachorro e anti pulgas Confront Plus</t>
        </is>
      </c>
      <c r="C368" s="19" t="inlineStr">
        <is>
          <t>2 A 10KG</t>
        </is>
      </c>
      <c r="D368" s="19" t="inlineStr">
        <is>
          <t>CONFRONT-PLUS-2A10KG</t>
        </is>
      </c>
      <c r="E368" s="19" t="inlineStr">
        <is>
          <t>22493004901</t>
        </is>
      </c>
      <c r="F368" s="19" t="inlineStr">
        <is>
          <t>169708443632</t>
        </is>
      </c>
      <c r="G368" s="19" t="inlineStr">
        <is>
          <t>NORMAL</t>
        </is>
      </c>
      <c r="H368" s="20" t="n">
        <v>59.9</v>
      </c>
      <c r="I368" s="20" t="n">
        <v>59.9</v>
      </c>
      <c r="J368" s="21" t="inlineStr">
        <is>
          <t>NÃO</t>
        </is>
      </c>
      <c r="K368" s="20" t="n"/>
      <c r="L368" s="35">
        <f>IF(K368&lt;&gt;"",K368,I368)</f>
        <v/>
      </c>
      <c r="M368" s="30" t="n"/>
      <c r="N368" s="30" t="n"/>
      <c r="O368" s="31" t="n"/>
      <c r="P368" s="80">
        <f>IF($O368="","",L368-O368-(L368*IF(L368&lt;=79.99,20%,14%)+IF(L368&lt;=79.99,4,IF(L368&lt;=99.99,16,IF(L368&lt;=199.99,20,IF(L368&lt;=499.99,26,28)))))-L368*1.3%-L368*6%-(L368-O368)*9.25%-L368*3%-L368*3%-1)</f>
        <v/>
      </c>
      <c r="Q368" s="22">
        <f>IF(AND(K368&lt;&gt;"",H368&gt;0),(H368-K368)/H368,"")</f>
        <v/>
      </c>
      <c r="R368" s="19" t="inlineStr"/>
      <c r="S368" s="23" t="n"/>
      <c r="T368" s="23" t="n"/>
      <c r="U368" s="19" t="inlineStr">
        <is>
          <t>100942</t>
        </is>
      </c>
      <c r="W368" t="inlineStr">
        <is>
          <t>sem correspondência</t>
        </is>
      </c>
      <c r="Y368" t="inlineStr"/>
    </row>
    <row r="369" ht="15" customFormat="1" customHeight="1" s="14">
      <c r="A369" s="14" t="inlineStr">
        <is>
          <t>Espaço De Bicho</t>
        </is>
      </c>
      <c r="B369" s="14" t="inlineStr">
        <is>
          <t>Remédio para carrapato cachorro e anti pulgas Confront Plus</t>
        </is>
      </c>
      <c r="C369" s="14" t="inlineStr">
        <is>
          <t>20 A 40KG</t>
        </is>
      </c>
      <c r="D369" s="14" t="inlineStr">
        <is>
          <t>CONFRONT-PLUS-20A40KG</t>
        </is>
      </c>
      <c r="E369" s="14" t="inlineStr">
        <is>
          <t>22493004901</t>
        </is>
      </c>
      <c r="F369" s="14" t="inlineStr">
        <is>
          <t>169708443634</t>
        </is>
      </c>
      <c r="G369" s="14" t="inlineStr">
        <is>
          <t>NORMAL</t>
        </is>
      </c>
      <c r="H369" s="15" t="n">
        <v>59.9</v>
      </c>
      <c r="I369" s="15" t="n">
        <v>59.9</v>
      </c>
      <c r="J369" s="16" t="inlineStr">
        <is>
          <t>NÃO</t>
        </is>
      </c>
      <c r="K369" s="15" t="n"/>
      <c r="L369" s="35">
        <f>IF(K369&lt;&gt;"",K369,I369)</f>
        <v/>
      </c>
      <c r="M369" s="28" t="n"/>
      <c r="N369" s="28" t="n"/>
      <c r="O369" s="29" t="n"/>
      <c r="P369" s="80">
        <f>IF($O369="","",L369-O369-(L369*IF(L369&lt;=79.99,20%,14%)+IF(L369&lt;=79.99,4,IF(L369&lt;=99.99,16,IF(L369&lt;=199.99,20,IF(L369&lt;=499.99,26,28)))))-L369*1.3%-L369*6%-(L369-O369)*9.25%-L369*3%-L369*3%-1)</f>
        <v/>
      </c>
      <c r="Q369" s="17">
        <f>IF(AND(K369&lt;&gt;"",H369&gt;0),(H369-K369)/H369,"")</f>
        <v/>
      </c>
      <c r="R369" s="14" t="inlineStr"/>
      <c r="S369" s="18" t="n"/>
      <c r="T369" s="18" t="n"/>
      <c r="U369" s="14" t="inlineStr">
        <is>
          <t>100942</t>
        </is>
      </c>
      <c r="W369" t="inlineStr">
        <is>
          <t>sem correspondência</t>
        </is>
      </c>
      <c r="Y369" t="inlineStr"/>
    </row>
    <row r="370" ht="15" customFormat="1" customHeight="1" s="19">
      <c r="A370" s="14" t="inlineStr">
        <is>
          <t>Espaço De Bicho</t>
        </is>
      </c>
      <c r="B370" s="14" t="inlineStr">
        <is>
          <t>Rolo Removedor Tira Pelos Pet Cães &amp; Gatos Sofá Roupa Carro Ecológico Pratico remove todo o pelo</t>
        </is>
      </c>
      <c r="C370" s="14" t="inlineStr">
        <is>
          <t>1 UNIDADE</t>
        </is>
      </c>
      <c r="D370" s="14" t="inlineStr">
        <is>
          <t>ROLO-TIRA-PELOS-1UNI</t>
        </is>
      </c>
      <c r="E370" s="14" t="inlineStr">
        <is>
          <t>57264677886</t>
        </is>
      </c>
      <c r="F370" s="14" t="inlineStr">
        <is>
          <t>421261984743</t>
        </is>
      </c>
      <c r="G370" s="14" t="inlineStr">
        <is>
          <t>NORMAL</t>
        </is>
      </c>
      <c r="H370" s="15" t="n">
        <v>32.9</v>
      </c>
      <c r="I370" s="15" t="n">
        <v>32.9</v>
      </c>
      <c r="J370" s="16" t="inlineStr">
        <is>
          <t>NÃO</t>
        </is>
      </c>
      <c r="K370" s="15" t="n"/>
      <c r="L370" s="35">
        <f>IF(K370&lt;&gt;"",K370,I370)</f>
        <v/>
      </c>
      <c r="M370" s="28" t="n"/>
      <c r="N370" s="28" t="n"/>
      <c r="O370" s="29" t="n"/>
      <c r="P370" s="80">
        <f>IF($O370="","",L370-O370-(L370*IF(L370&lt;=79.99,20%,14%)+IF(L370&lt;=79.99,4,IF(L370&lt;=99.99,16,IF(L370&lt;=199.99,20,IF(L370&lt;=499.99,26,28)))))-L370*1.3%-L370*6%-(L370-O370)*9.25%-L370*3%-L370*3%-1)</f>
        <v/>
      </c>
      <c r="Q370" s="17">
        <f>IF(AND(K370&lt;&gt;"",H370&gt;0),(H370-K370)/H370,"")</f>
        <v/>
      </c>
      <c r="R370" s="14" t="inlineStr"/>
      <c r="S370" s="18" t="n"/>
      <c r="T370" s="18" t="n"/>
      <c r="U370" s="14" t="inlineStr">
        <is>
          <t>100929</t>
        </is>
      </c>
      <c r="W370" t="inlineStr">
        <is>
          <t>sem correspondência</t>
        </is>
      </c>
      <c r="Y370" t="inlineStr"/>
    </row>
    <row r="371" ht="15" customFormat="1" customHeight="1" s="14">
      <c r="A371" s="14" t="inlineStr">
        <is>
          <t>Espaço De Bicho</t>
        </is>
      </c>
      <c r="B371" s="14" t="inlineStr">
        <is>
          <t>Sal Mineral Cavalos Atletas Aminosal Cromo Lavizoo 25kg</t>
        </is>
      </c>
      <c r="C371" s="14" t="inlineStr">
        <is>
          <t>Sem variação</t>
        </is>
      </c>
      <c r="D371" s="14" t="inlineStr">
        <is>
          <t>AMINOSAL-CROMO-25KG</t>
        </is>
      </c>
      <c r="E371" s="14" t="inlineStr">
        <is>
          <t>22492949695</t>
        </is>
      </c>
      <c r="F371" s="14" t="inlineStr">
        <is>
          <t>0</t>
        </is>
      </c>
      <c r="G371" s="14" t="inlineStr">
        <is>
          <t>NORMAL</t>
        </is>
      </c>
      <c r="H371" s="15" t="n">
        <v>399.9</v>
      </c>
      <c r="I371" s="15" t="n">
        <v>399.9</v>
      </c>
      <c r="J371" s="16" t="inlineStr">
        <is>
          <t>NÃO</t>
        </is>
      </c>
      <c r="K371" s="15" t="n"/>
      <c r="L371" s="35">
        <f>IF(K371&lt;&gt;"",K371,I371)</f>
        <v/>
      </c>
      <c r="M371" s="28" t="n"/>
      <c r="N371" s="28" t="n"/>
      <c r="O371" s="29" t="n"/>
      <c r="P371" s="80">
        <f>IF($O371="","",L371-O371-(L371*IF(L371&lt;=79.99,20%,14%)+IF(L371&lt;=79.99,4,IF(L371&lt;=99.99,16,IF(L371&lt;=199.99,20,IF(L371&lt;=499.99,26,28)))))-L371*1.3%-L371*6%-(L371-O371)*9.25%-L371*3%-L371*3%-1)</f>
        <v/>
      </c>
      <c r="Q371" s="17">
        <f>IF(AND(K371&lt;&gt;"",H371&gt;0),(H371-K371)/H371,"")</f>
        <v/>
      </c>
      <c r="R371" s="14" t="inlineStr"/>
      <c r="S371" s="18" t="n"/>
      <c r="T371" s="18" t="n"/>
      <c r="U371" s="14" t="inlineStr">
        <is>
          <t>100944</t>
        </is>
      </c>
      <c r="W371" t="inlineStr">
        <is>
          <t>sem correspondência</t>
        </is>
      </c>
      <c r="Y371" t="inlineStr"/>
    </row>
    <row r="372" ht="15" customFormat="1" customHeight="1" s="19">
      <c r="A372" s="19" t="inlineStr">
        <is>
          <t>Espaço De Bicho</t>
        </is>
      </c>
      <c r="B372" s="19" t="inlineStr">
        <is>
          <t>Snacks Petisco  Funcionais para Gatos Organnact 40g</t>
        </is>
      </c>
      <c r="C372" s="19" t="inlineStr">
        <is>
          <t>BALL FELINE</t>
        </is>
      </c>
      <c r="D372" s="19" t="inlineStr">
        <is>
          <t>ORGANNACT-GATOS-BALL</t>
        </is>
      </c>
      <c r="E372" s="19" t="inlineStr">
        <is>
          <t>52564924042</t>
        </is>
      </c>
      <c r="F372" s="19" t="inlineStr">
        <is>
          <t>351282880037</t>
        </is>
      </c>
      <c r="G372" s="19" t="inlineStr">
        <is>
          <t>NORMAL</t>
        </is>
      </c>
      <c r="H372" s="20" t="n">
        <v>63.8</v>
      </c>
      <c r="I372" s="20" t="n">
        <v>63.8</v>
      </c>
      <c r="J372" s="21" t="inlineStr">
        <is>
          <t>NÃO</t>
        </is>
      </c>
      <c r="K372" s="20" t="n"/>
      <c r="L372" s="35">
        <f>IF(K372&lt;&gt;"",K372,I372)</f>
        <v/>
      </c>
      <c r="M372" s="30" t="n"/>
      <c r="N372" s="30" t="n"/>
      <c r="O372" s="31" t="n"/>
      <c r="P372" s="80">
        <f>IF($O372="","",L372-O372-(L372*IF(L372&lt;=79.99,20%,14%)+IF(L372&lt;=79.99,4,IF(L372&lt;=99.99,16,IF(L372&lt;=199.99,20,IF(L372&lt;=499.99,26,28)))))-L372*1.3%-L372*6%-(L372-O372)*9.25%-L372*3%-L372*3%-1)</f>
        <v/>
      </c>
      <c r="Q372" s="22">
        <f>IF(AND(K372&lt;&gt;"",H372&gt;0),(H372-K372)/H372,"")</f>
        <v/>
      </c>
      <c r="R372" s="19" t="inlineStr"/>
      <c r="S372" s="23" t="n"/>
      <c r="T372" s="23" t="n"/>
      <c r="U372" s="19" t="inlineStr">
        <is>
          <t>100909</t>
        </is>
      </c>
      <c r="W372" t="inlineStr">
        <is>
          <t>sem correspondência</t>
        </is>
      </c>
      <c r="Y372" t="inlineStr"/>
    </row>
    <row r="373" ht="15" customFormat="1" customHeight="1" s="14">
      <c r="A373" s="14" t="inlineStr">
        <is>
          <t>Espaço De Bicho</t>
        </is>
      </c>
      <c r="B373" s="14" t="inlineStr">
        <is>
          <t>Snacks Petisco  Funcionais para Gatos Organnact 40g</t>
        </is>
      </c>
      <c r="C373" s="14" t="inlineStr">
        <is>
          <t>CALMYN</t>
        </is>
      </c>
      <c r="D373" s="14" t="inlineStr">
        <is>
          <t>ORGANNACT-GATIS-CALMYN</t>
        </is>
      </c>
      <c r="E373" s="14" t="inlineStr">
        <is>
          <t>52564924042</t>
        </is>
      </c>
      <c r="F373" s="14" t="inlineStr">
        <is>
          <t>351282880039</t>
        </is>
      </c>
      <c r="G373" s="14" t="inlineStr">
        <is>
          <t>NORMAL</t>
        </is>
      </c>
      <c r="H373" s="15" t="n">
        <v>63.8</v>
      </c>
      <c r="I373" s="15" t="n">
        <v>63.8</v>
      </c>
      <c r="J373" s="16" t="inlineStr">
        <is>
          <t>NÃO</t>
        </is>
      </c>
      <c r="K373" s="15" t="n"/>
      <c r="L373" s="35">
        <f>IF(K373&lt;&gt;"",K373,I373)</f>
        <v/>
      </c>
      <c r="M373" s="28" t="n"/>
      <c r="N373" s="28" t="n"/>
      <c r="O373" s="29" t="n"/>
      <c r="P373" s="80">
        <f>IF($O373="","",L373-O373-(L373*IF(L373&lt;=79.99,20%,14%)+IF(L373&lt;=79.99,4,IF(L373&lt;=99.99,16,IF(L373&lt;=199.99,20,IF(L373&lt;=499.99,26,28)))))-L373*1.3%-L373*6%-(L373-O373)*9.25%-L373*3%-L373*3%-1)</f>
        <v/>
      </c>
      <c r="Q373" s="17">
        <f>IF(AND(K373&lt;&gt;"",H373&gt;0),(H373-K373)/H373,"")</f>
        <v/>
      </c>
      <c r="R373" s="14" t="inlineStr"/>
      <c r="S373" s="18" t="n"/>
      <c r="T373" s="18" t="n"/>
      <c r="U373" s="14" t="inlineStr">
        <is>
          <t>100909</t>
        </is>
      </c>
      <c r="W373" t="inlineStr">
        <is>
          <t>sem correspondência</t>
        </is>
      </c>
      <c r="Y373" t="inlineStr"/>
    </row>
    <row r="374" ht="15" customFormat="1" customHeight="1" s="19">
      <c r="A374" s="19" t="inlineStr">
        <is>
          <t>Espaço De Bicho</t>
        </is>
      </c>
      <c r="B374" s="19" t="inlineStr">
        <is>
          <t>Snacks Petisco  Funcionais para Gatos Organnact 40g</t>
        </is>
      </c>
      <c r="C374" s="19" t="inlineStr">
        <is>
          <t>FITODENT</t>
        </is>
      </c>
      <c r="D374" s="19" t="inlineStr">
        <is>
          <t>ORGANNACT-GATOS-FITODENT</t>
        </is>
      </c>
      <c r="E374" s="19" t="inlineStr">
        <is>
          <t>52564924042</t>
        </is>
      </c>
      <c r="F374" s="19" t="inlineStr">
        <is>
          <t>351282880038</t>
        </is>
      </c>
      <c r="G374" s="19" t="inlineStr">
        <is>
          <t>NORMAL</t>
        </is>
      </c>
      <c r="H374" s="20" t="n">
        <v>63.8</v>
      </c>
      <c r="I374" s="20" t="n">
        <v>63.8</v>
      </c>
      <c r="J374" s="21" t="inlineStr">
        <is>
          <t>NÃO</t>
        </is>
      </c>
      <c r="K374" s="20" t="n"/>
      <c r="L374" s="35">
        <f>IF(K374&lt;&gt;"",K374,I374)</f>
        <v/>
      </c>
      <c r="M374" s="30" t="n"/>
      <c r="N374" s="30" t="n"/>
      <c r="O374" s="31" t="n"/>
      <c r="P374" s="80">
        <f>IF($O374="","",L374-O374-(L374*IF(L374&lt;=79.99,20%,14%)+IF(L374&lt;=79.99,4,IF(L374&lt;=99.99,16,IF(L374&lt;=199.99,20,IF(L374&lt;=499.99,26,28)))))-L374*1.3%-L374*6%-(L374-O374)*9.25%-L374*3%-L374*3%-1)</f>
        <v/>
      </c>
      <c r="Q374" s="22">
        <f>IF(AND(K374&lt;&gt;"",H374&gt;0),(H374-K374)/H374,"")</f>
        <v/>
      </c>
      <c r="R374" s="19" t="inlineStr"/>
      <c r="S374" s="23" t="n"/>
      <c r="T374" s="23" t="n"/>
      <c r="U374" s="19" t="inlineStr">
        <is>
          <t>100909</t>
        </is>
      </c>
      <c r="W374" t="inlineStr">
        <is>
          <t>sem correspondência</t>
        </is>
      </c>
      <c r="Y374" t="inlineStr"/>
    </row>
    <row r="375" ht="15" customFormat="1" customHeight="1" s="14">
      <c r="A375" s="14" t="inlineStr">
        <is>
          <t>Espaço De Bicho</t>
        </is>
      </c>
      <c r="B375" s="14" t="inlineStr">
        <is>
          <t>Snacks Petisco  Funcionais para Gatos Organnact 40g</t>
        </is>
      </c>
      <c r="C375" s="14" t="inlineStr">
        <is>
          <t>INDOOR</t>
        </is>
      </c>
      <c r="D375" s="14" t="inlineStr">
        <is>
          <t>ORGANNACT-GATOS-INDOOR</t>
        </is>
      </c>
      <c r="E375" s="14" t="inlineStr">
        <is>
          <t>52564924042</t>
        </is>
      </c>
      <c r="F375" s="14" t="inlineStr">
        <is>
          <t>351282880036</t>
        </is>
      </c>
      <c r="G375" s="14" t="inlineStr">
        <is>
          <t>NORMAL</t>
        </is>
      </c>
      <c r="H375" s="15" t="n">
        <v>63.8</v>
      </c>
      <c r="I375" s="15" t="n">
        <v>63.8</v>
      </c>
      <c r="J375" s="16" t="inlineStr">
        <is>
          <t>NÃO</t>
        </is>
      </c>
      <c r="K375" s="15" t="n"/>
      <c r="L375" s="35">
        <f>IF(K375&lt;&gt;"",K375,I375)</f>
        <v/>
      </c>
      <c r="M375" s="28" t="n"/>
      <c r="N375" s="28" t="n"/>
      <c r="O375" s="29" t="n"/>
      <c r="P375" s="80">
        <f>IF($O375="","",L375-O375-(L375*IF(L375&lt;=79.99,20%,14%)+IF(L375&lt;=79.99,4,IF(L375&lt;=99.99,16,IF(L375&lt;=199.99,20,IF(L375&lt;=499.99,26,28)))))-L375*1.3%-L375*6%-(L375-O375)*9.25%-L375*3%-L375*3%-1)</f>
        <v/>
      </c>
      <c r="Q375" s="17">
        <f>IF(AND(K375&lt;&gt;"",H375&gt;0),(H375-K375)/H375,"")</f>
        <v/>
      </c>
      <c r="R375" s="14" t="inlineStr"/>
      <c r="S375" s="18" t="n"/>
      <c r="T375" s="18" t="n"/>
      <c r="U375" s="14" t="inlineStr">
        <is>
          <t>100909</t>
        </is>
      </c>
      <c r="W375" t="inlineStr">
        <is>
          <t>sem correspondência</t>
        </is>
      </c>
      <c r="Y375" t="inlineStr"/>
    </row>
    <row r="376" ht="15" customFormat="1" customHeight="1" s="19">
      <c r="A376" s="19" t="inlineStr">
        <is>
          <t>Espaço De Bicho</t>
        </is>
      </c>
      <c r="B376" s="19" t="inlineStr">
        <is>
          <t>Snacks Petisco  Funcionais para Gatos Organnact 40g</t>
        </is>
      </c>
      <c r="C376" s="19" t="inlineStr">
        <is>
          <t>SORTIDO</t>
        </is>
      </c>
      <c r="D376" s="19" t="inlineStr">
        <is>
          <t>ORGANNACT-GATOS-SORTIDO</t>
        </is>
      </c>
      <c r="E376" s="19" t="inlineStr">
        <is>
          <t>52564924042</t>
        </is>
      </c>
      <c r="F376" s="19" t="inlineStr">
        <is>
          <t>351282880040</t>
        </is>
      </c>
      <c r="G376" s="19" t="inlineStr">
        <is>
          <t>NORMAL</t>
        </is>
      </c>
      <c r="H376" s="20" t="n">
        <v>59.8</v>
      </c>
      <c r="I376" s="20" t="n">
        <v>59.8</v>
      </c>
      <c r="J376" s="21" t="inlineStr">
        <is>
          <t>NÃO</t>
        </is>
      </c>
      <c r="K376" s="20" t="n"/>
      <c r="L376" s="35">
        <f>IF(K376&lt;&gt;"",K376,I376)</f>
        <v/>
      </c>
      <c r="M376" s="30" t="n"/>
      <c r="N376" s="30" t="n"/>
      <c r="O376" s="31" t="n"/>
      <c r="P376" s="80">
        <f>IF($O376="","",L376-O376-(L376*IF(L376&lt;=79.99,20%,14%)+IF(L376&lt;=79.99,4,IF(L376&lt;=99.99,16,IF(L376&lt;=199.99,20,IF(L376&lt;=499.99,26,28)))))-L376*1.3%-L376*6%-(L376-O376)*9.25%-L376*3%-L376*3%-1)</f>
        <v/>
      </c>
      <c r="Q376" s="22">
        <f>IF(AND(K376&lt;&gt;"",H376&gt;0),(H376-K376)/H376,"")</f>
        <v/>
      </c>
      <c r="R376" s="19" t="inlineStr"/>
      <c r="S376" s="23" t="n"/>
      <c r="T376" s="23" t="n"/>
      <c r="U376" s="19" t="inlineStr">
        <is>
          <t>100909</t>
        </is>
      </c>
      <c r="W376" t="inlineStr">
        <is>
          <t>sem correspondência</t>
        </is>
      </c>
      <c r="Y376" t="inlineStr"/>
    </row>
    <row r="377" ht="15" customFormat="1" customHeight="1" s="14">
      <c r="A377" s="19" t="inlineStr">
        <is>
          <t>Espaço De Bicho</t>
        </is>
      </c>
      <c r="B377" s="19" t="inlineStr">
        <is>
          <t>Soro Antitetânico Liofilizado Vencosat 5.500 UI 5ml</t>
        </is>
      </c>
      <c r="C377" s="19" t="inlineStr">
        <is>
          <t>Sem variação</t>
        </is>
      </c>
      <c r="D377" s="19" t="inlineStr">
        <is>
          <t>SORO-ANTITETANICO-5ML</t>
        </is>
      </c>
      <c r="E377" s="19" t="inlineStr">
        <is>
          <t>58260754706</t>
        </is>
      </c>
      <c r="F377" s="19" t="inlineStr">
        <is>
          <t>0</t>
        </is>
      </c>
      <c r="G377" s="19" t="inlineStr">
        <is>
          <t>NORMAL</t>
        </is>
      </c>
      <c r="H377" s="20" t="n">
        <v>59.9</v>
      </c>
      <c r="I377" s="20" t="n">
        <v>24.9</v>
      </c>
      <c r="J377" s="21" t="inlineStr">
        <is>
          <t>SIM</t>
        </is>
      </c>
      <c r="K377" s="20" t="n">
        <v>24.9</v>
      </c>
      <c r="L377" s="35">
        <f>IF(K377&lt;&gt;"",K377,I377)</f>
        <v/>
      </c>
      <c r="M377" s="81" t="n">
        <v>1</v>
      </c>
      <c r="N377" s="82" t="n">
        <v>21.23</v>
      </c>
      <c r="O377" s="80">
        <f>ROUND(M377*N377,2)</f>
        <v/>
      </c>
      <c r="P377" s="80">
        <f>IF($O377="","",L377-O377-(L377*IF(L377&lt;=79.99,20%,14%)+IF(L377&lt;=79.99,4,IF(L377&lt;=99.99,16,IF(L377&lt;=199.99,20,IF(L377&lt;=499.99,26,28)))))-L377*1.3%-L377*6%-(L377-O377)*9.25%-L377*3%-L377*3%-1)</f>
        <v/>
      </c>
      <c r="Q377" s="22">
        <f>IF(AND(K377&lt;&gt;"",H377&gt;0),(H377-K377)/H377,"")</f>
        <v/>
      </c>
      <c r="R377" s="19" t="inlineStr">
        <is>
          <t>909477973245952</t>
        </is>
      </c>
      <c r="S377" s="23" t="n">
        <v>46144.38263888889</v>
      </c>
      <c r="T377" s="23" t="n">
        <v>46295.4375</v>
      </c>
      <c r="U377" s="19" t="inlineStr">
        <is>
          <t>100942</t>
        </is>
      </c>
      <c r="V377" t="inlineStr">
        <is>
          <t>215296</t>
        </is>
      </c>
      <c r="W377" t="inlineStr">
        <is>
          <t>venda casada (1 pedido)</t>
        </is>
      </c>
      <c r="X377" t="n">
        <v>1</v>
      </c>
      <c r="Y377" t="inlineStr">
        <is>
          <t>⚠ evidência fraca (1 pedido)</t>
        </is>
      </c>
    </row>
    <row r="378" ht="15" customFormat="1" customHeight="1" s="19">
      <c r="A378" s="14" t="inlineStr">
        <is>
          <t>Espaço De Bicho</t>
        </is>
      </c>
      <c r="B378" s="14" t="inlineStr">
        <is>
          <t>Spray Dental Vetradent Para Cães 60ml Retira O Mau Hálito</t>
        </is>
      </c>
      <c r="C378" s="14" t="inlineStr">
        <is>
          <t>Sem variação</t>
        </is>
      </c>
      <c r="D378" s="14" t="inlineStr">
        <is>
          <t>VETRADENT-60ML</t>
        </is>
      </c>
      <c r="E378" s="14" t="inlineStr">
        <is>
          <t>48314942380</t>
        </is>
      </c>
      <c r="F378" s="14" t="inlineStr">
        <is>
          <t>0</t>
        </is>
      </c>
      <c r="G378" s="14" t="inlineStr">
        <is>
          <t>NORMAL</t>
        </is>
      </c>
      <c r="H378" s="15" t="n">
        <v>150.9</v>
      </c>
      <c r="I378" s="15" t="n">
        <v>128.9</v>
      </c>
      <c r="J378" s="16" t="inlineStr">
        <is>
          <t>SIM</t>
        </is>
      </c>
      <c r="K378" s="15" t="n">
        <v>128.9</v>
      </c>
      <c r="L378" s="35">
        <f>IF(K378&lt;&gt;"",K378,I378)</f>
        <v/>
      </c>
      <c r="M378" s="28" t="n"/>
      <c r="N378" s="28" t="n"/>
      <c r="O378" s="29" t="n"/>
      <c r="P378" s="80">
        <f>IF($O378="","",L378-O378-(L378*IF(L378&lt;=79.99,20%,14%)+IF(L378&lt;=79.99,4,IF(L378&lt;=99.99,16,IF(L378&lt;=199.99,20,IF(L378&lt;=499.99,26,28)))))-L378*1.3%-L378*6%-(L378-O378)*9.25%-L378*3%-L378*3%-1)</f>
        <v/>
      </c>
      <c r="Q378" s="17">
        <f>IF(AND(K378&lt;&gt;"",H378&gt;0),(H378-K378)/H378,"")</f>
        <v/>
      </c>
      <c r="R378" s="14" t="inlineStr">
        <is>
          <t>909477973245952</t>
        </is>
      </c>
      <c r="S378" s="18" t="n">
        <v>46144.38263888889</v>
      </c>
      <c r="T378" s="18" t="n">
        <v>46295.4375</v>
      </c>
      <c r="U378" s="14" t="inlineStr">
        <is>
          <t>100930</t>
        </is>
      </c>
      <c r="W378" t="inlineStr">
        <is>
          <t>sem correspondência</t>
        </is>
      </c>
      <c r="Y378" t="inlineStr"/>
    </row>
    <row r="379" ht="15" customFormat="1" customHeight="1" s="14">
      <c r="A379" s="19" t="inlineStr">
        <is>
          <t>Espaço De Bicho</t>
        </is>
      </c>
      <c r="B379" s="19" t="inlineStr">
        <is>
          <t>Suplemento Vitamínico Aminomix Gold Vetnil 500GRS</t>
        </is>
      </c>
      <c r="C379" s="19" t="inlineStr">
        <is>
          <t>Sem variação</t>
        </is>
      </c>
      <c r="D379" s="19" t="inlineStr">
        <is>
          <t>AMINOMIX-GOLD-500G-VETNIL</t>
        </is>
      </c>
      <c r="E379" s="19" t="inlineStr">
        <is>
          <t>21498281793</t>
        </is>
      </c>
      <c r="F379" s="19" t="inlineStr">
        <is>
          <t>0</t>
        </is>
      </c>
      <c r="G379" s="19" t="inlineStr">
        <is>
          <t>NORMAL</t>
        </is>
      </c>
      <c r="H379" s="20" t="n">
        <v>199.9</v>
      </c>
      <c r="I379" s="20" t="n">
        <v>149.9</v>
      </c>
      <c r="J379" s="21" t="inlineStr">
        <is>
          <t>SIM</t>
        </is>
      </c>
      <c r="K379" s="20" t="n">
        <v>149.9</v>
      </c>
      <c r="L379" s="35">
        <f>IF(K379&lt;&gt;"",K379,I379)</f>
        <v/>
      </c>
      <c r="M379" s="81" t="n">
        <v>1</v>
      </c>
      <c r="N379" s="82" t="n">
        <v>101.83</v>
      </c>
      <c r="O379" s="80">
        <f>ROUND(M379*N379,2)</f>
        <v/>
      </c>
      <c r="P379" s="80">
        <f>IF($O379="","",L379-O379-(L379*IF(L379&lt;=79.99,20%,14%)+IF(L379&lt;=79.99,4,IF(L379&lt;=99.99,16,IF(L379&lt;=199.99,20,IF(L379&lt;=499.99,26,28)))))-L379*1.3%-L379*6%-(L379-O379)*9.25%-L379*3%-L379*3%-1)</f>
        <v/>
      </c>
      <c r="Q379" s="22">
        <f>IF(AND(K379&lt;&gt;"",H379&gt;0),(H379-K379)/H379,"")</f>
        <v/>
      </c>
      <c r="R379" s="19" t="inlineStr">
        <is>
          <t>909477973245952</t>
        </is>
      </c>
      <c r="S379" s="23" t="n">
        <v>46144.38263888889</v>
      </c>
      <c r="T379" s="23" t="n">
        <v>46295.4375</v>
      </c>
      <c r="U379" s="19" t="inlineStr">
        <is>
          <t>100944</t>
        </is>
      </c>
      <c r="V379" t="inlineStr">
        <is>
          <t>213272</t>
        </is>
      </c>
      <c r="W379" t="inlineStr">
        <is>
          <t>venda casada (12 pedidos)</t>
        </is>
      </c>
      <c r="X379" t="n">
        <v>12</v>
      </c>
      <c r="Y379" t="inlineStr">
        <is>
          <t>ok</t>
        </is>
      </c>
    </row>
    <row r="380" ht="15" customFormat="1" customHeight="1" s="19">
      <c r="A380" s="14" t="inlineStr">
        <is>
          <t>Espaço De Bicho</t>
        </is>
      </c>
      <c r="B380" s="14" t="inlineStr">
        <is>
          <t>Tapete Higiênico Cães Ultra Pads Natural 80cmx60cm 30 unidades</t>
        </is>
      </c>
      <c r="C380" s="14" t="inlineStr">
        <is>
          <t>Sem variação</t>
        </is>
      </c>
      <c r="D380" s="14" t="inlineStr">
        <is>
          <t>ULTRAPADS-30</t>
        </is>
      </c>
      <c r="E380" s="14" t="inlineStr">
        <is>
          <t>21699081244</t>
        </is>
      </c>
      <c r="F380" s="14" t="inlineStr">
        <is>
          <t>0</t>
        </is>
      </c>
      <c r="G380" s="14" t="inlineStr">
        <is>
          <t>NORMAL</t>
        </is>
      </c>
      <c r="H380" s="15" t="n">
        <v>99.90000000000001</v>
      </c>
      <c r="I380" s="15" t="n">
        <v>61.9</v>
      </c>
      <c r="J380" s="16" t="inlineStr">
        <is>
          <t>SIM</t>
        </is>
      </c>
      <c r="K380" s="15" t="n">
        <v>61.9</v>
      </c>
      <c r="L380" s="35">
        <f>IF(K380&lt;&gt;"",K380,I380)</f>
        <v/>
      </c>
      <c r="M380" s="84" t="n">
        <v>1</v>
      </c>
      <c r="N380" s="85" t="n">
        <v>24.66</v>
      </c>
      <c r="O380" s="80">
        <f>ROUND(M380*N380,2)</f>
        <v/>
      </c>
      <c r="P380" s="80">
        <f>IF($O380="","",L380-O380-(L380*IF(L380&lt;=79.99,20%,14%)+IF(L380&lt;=79.99,4,IF(L380&lt;=99.99,16,IF(L380&lt;=199.99,20,IF(L380&lt;=499.99,26,28)))))-L380*1.3%-L380*6%-(L380-O380)*9.25%-L380*3%-L380*3%-1)</f>
        <v/>
      </c>
      <c r="Q380" s="17">
        <f>IF(AND(K380&lt;&gt;"",H380&gt;0),(H380-K380)/H380,"")</f>
        <v/>
      </c>
      <c r="R380" s="14" t="inlineStr">
        <is>
          <t>909477973245952</t>
        </is>
      </c>
      <c r="S380" s="18" t="n">
        <v>46144.38263888889</v>
      </c>
      <c r="T380" s="18" t="n">
        <v>46295.4375</v>
      </c>
      <c r="U380" s="14" t="inlineStr">
        <is>
          <t>100926</t>
        </is>
      </c>
      <c r="V380" t="inlineStr">
        <is>
          <t>212968</t>
        </is>
      </c>
      <c r="W380" t="inlineStr">
        <is>
          <t>venda casada (138 pedidos) · custo do KIT 213852 (1× 212968)</t>
        </is>
      </c>
      <c r="X380" t="n">
        <v>138</v>
      </c>
      <c r="Y380" t="inlineStr">
        <is>
          <t>ok</t>
        </is>
      </c>
    </row>
    <row r="381" ht="15" customFormat="1" customHeight="1" s="14">
      <c r="A381" s="14" t="inlineStr">
        <is>
          <t>Espaço De Bicho</t>
        </is>
      </c>
      <c r="B381" s="14" t="inlineStr">
        <is>
          <t>Tapete Higienico Espaço De Bicho 50 Unidades Envio Imediato</t>
        </is>
      </c>
      <c r="C381" s="14" t="inlineStr">
        <is>
          <t>Sem variação</t>
        </is>
      </c>
      <c r="D381" s="14" t="inlineStr">
        <is>
          <t>0840</t>
        </is>
      </c>
      <c r="E381" s="14" t="inlineStr">
        <is>
          <t>11199127038</t>
        </is>
      </c>
      <c r="F381" s="14" t="inlineStr">
        <is>
          <t>0</t>
        </is>
      </c>
      <c r="G381" s="14" t="inlineStr">
        <is>
          <t>NORMAL</t>
        </is>
      </c>
      <c r="H381" s="15" t="n">
        <v>82.90000000000001</v>
      </c>
      <c r="I381" s="15" t="n">
        <v>56.9</v>
      </c>
      <c r="J381" s="16" t="inlineStr">
        <is>
          <t>SIM</t>
        </is>
      </c>
      <c r="K381" s="15" t="n">
        <v>56.9</v>
      </c>
      <c r="L381" s="35">
        <f>IF(K381&lt;&gt;"",K381,I381)</f>
        <v/>
      </c>
      <c r="M381" s="84" t="n">
        <v>1</v>
      </c>
      <c r="N381" s="85" t="n">
        <v>33.1</v>
      </c>
      <c r="O381" s="80">
        <f>ROUND(M381*N381,2)</f>
        <v/>
      </c>
      <c r="P381" s="80">
        <f>IF($O381="","",L381-O381-(L381*IF(L381&lt;=79.99,20%,14%)+IF(L381&lt;=79.99,4,IF(L381&lt;=99.99,16,IF(L381&lt;=199.99,20,IF(L381&lt;=499.99,26,28)))))-L381*1.3%-L381*6%-(L381-O381)*9.25%-L381*3%-L381*3%-1)</f>
        <v/>
      </c>
      <c r="Q381" s="17">
        <f>IF(AND(K381&lt;&gt;"",H381&gt;0),(H381-K381)/H381,"")</f>
        <v/>
      </c>
      <c r="R381" s="14" t="inlineStr">
        <is>
          <t>909475783836672</t>
        </is>
      </c>
      <c r="S381" s="18" t="n">
        <v>46144.37916666667</v>
      </c>
      <c r="T381" s="18" t="n">
        <v>46295.4375</v>
      </c>
      <c r="U381" s="14" t="inlineStr">
        <is>
          <t>100926</t>
        </is>
      </c>
      <c r="V381" t="inlineStr">
        <is>
          <t>EDB60X60-50UN</t>
        </is>
      </c>
      <c r="W381" t="inlineStr">
        <is>
          <t>venda casada (2165 pedidos) · custo do KIT 213839 (1× EDB60X60-50UN)</t>
        </is>
      </c>
      <c r="X381" t="n">
        <v>2165</v>
      </c>
      <c r="Y381" t="inlineStr">
        <is>
          <t>ok</t>
        </is>
      </c>
    </row>
    <row r="382" ht="15" customFormat="1" customHeight="1" s="19">
      <c r="A382" s="14" t="inlineStr">
        <is>
          <t>Espaço De Bicho</t>
        </is>
      </c>
      <c r="B382" s="14" t="inlineStr">
        <is>
          <t>Tapete Higiênico Espaço De Bicho Shopito Oficial 150 Unidades Envio Imediato</t>
        </is>
      </c>
      <c r="C382" s="14" t="inlineStr">
        <is>
          <t>Sem variação</t>
        </is>
      </c>
      <c r="D382" s="14" t="inlineStr">
        <is>
          <t>KIT150-TAPETE-SHOPITOO</t>
        </is>
      </c>
      <c r="E382" s="14" t="inlineStr">
        <is>
          <t>22397399130</t>
        </is>
      </c>
      <c r="F382" s="14" t="inlineStr">
        <is>
          <t>0</t>
        </is>
      </c>
      <c r="G382" s="14" t="inlineStr">
        <is>
          <t>NORMAL</t>
        </is>
      </c>
      <c r="H382" s="15" t="n">
        <v>269.9</v>
      </c>
      <c r="I382" s="15" t="n">
        <v>189.9</v>
      </c>
      <c r="J382" s="16" t="inlineStr">
        <is>
          <t>SIM</t>
        </is>
      </c>
      <c r="K382" s="15" t="n">
        <v>189.9</v>
      </c>
      <c r="L382" s="35">
        <f>IF(K382&lt;&gt;"",K382,I382)</f>
        <v/>
      </c>
      <c r="M382" s="84" t="n">
        <v>3</v>
      </c>
      <c r="N382" s="85" t="n">
        <v>32.79</v>
      </c>
      <c r="O382" s="80">
        <f>ROUND(M382*N382,2)</f>
        <v/>
      </c>
      <c r="P382" s="80">
        <f>IF($O382="","",L382-O382-(L382*IF(L382&lt;=79.99,20%,14%)+IF(L382&lt;=79.99,4,IF(L382&lt;=99.99,16,IF(L382&lt;=199.99,20,IF(L382&lt;=499.99,26,28)))))-L382*1.3%-L382*6%-(L382-O382)*9.25%-L382*3%-L382*3%-1)</f>
        <v/>
      </c>
      <c r="Q382" s="17">
        <f>IF(AND(K382&lt;&gt;"",H382&gt;0),(H382-K382)/H382,"")</f>
        <v/>
      </c>
      <c r="R382" s="14" t="inlineStr">
        <is>
          <t>909474743648256</t>
        </is>
      </c>
      <c r="S382" s="18" t="n">
        <v>46144.37777777778</v>
      </c>
      <c r="T382" s="18" t="n">
        <v>46295.97916666666</v>
      </c>
      <c r="U382" s="14" t="inlineStr">
        <is>
          <t>100926</t>
        </is>
      </c>
      <c r="V382" t="inlineStr">
        <is>
          <t>212955</t>
        </is>
      </c>
      <c r="W382" t="inlineStr">
        <is>
          <t>venda casada (2 pedidos) · custo do KIT 212449 (3× 212955)</t>
        </is>
      </c>
      <c r="X382" t="n">
        <v>2</v>
      </c>
      <c r="Y382" t="inlineStr">
        <is>
          <t>ok</t>
        </is>
      </c>
    </row>
    <row r="383" ht="15" customFormat="1" customHeight="1" s="14">
      <c r="A383" s="14" t="inlineStr">
        <is>
          <t>Espaço De Bicho</t>
        </is>
      </c>
      <c r="B383" s="14" t="inlineStr">
        <is>
          <t>Tapete Higiênico Fralda Cachorro Ultra Pads 60x60cm  30un</t>
        </is>
      </c>
      <c r="C383" s="14" t="inlineStr">
        <is>
          <t>Sem variação</t>
        </is>
      </c>
      <c r="D383" s="14" t="inlineStr">
        <is>
          <t>0772</t>
        </is>
      </c>
      <c r="E383" s="14" t="inlineStr">
        <is>
          <t>19735109147</t>
        </is>
      </c>
      <c r="F383" s="14" t="inlineStr">
        <is>
          <t>0</t>
        </is>
      </c>
      <c r="G383" s="14" t="inlineStr">
        <is>
          <t>NORMAL</t>
        </is>
      </c>
      <c r="H383" s="15" t="n">
        <v>91.8</v>
      </c>
      <c r="I383" s="15" t="n">
        <v>49.9</v>
      </c>
      <c r="J383" s="16" t="inlineStr">
        <is>
          <t>SIM</t>
        </is>
      </c>
      <c r="K383" s="15" t="n">
        <v>49.9</v>
      </c>
      <c r="L383" s="35">
        <f>IF(K383&lt;&gt;"",K383,I383)</f>
        <v/>
      </c>
      <c r="M383" s="84" t="n">
        <v>1</v>
      </c>
      <c r="N383" s="85" t="n">
        <v>20.44</v>
      </c>
      <c r="O383" s="80">
        <f>ROUND(M383*N383,2)</f>
        <v/>
      </c>
      <c r="P383" s="80">
        <f>IF($O383="","",L383-O383-(L383*IF(L383&lt;=79.99,20%,14%)+IF(L383&lt;=79.99,4,IF(L383&lt;=99.99,16,IF(L383&lt;=199.99,20,IF(L383&lt;=499.99,26,28)))))-L383*1.3%-L383*6%-(L383-O383)*9.25%-L383*3%-L383*3%-1)</f>
        <v/>
      </c>
      <c r="Q383" s="17">
        <f>IF(AND(K383&lt;&gt;"",H383&gt;0),(H383-K383)/H383,"")</f>
        <v/>
      </c>
      <c r="R383" s="14" t="inlineStr">
        <is>
          <t>909477973245952</t>
        </is>
      </c>
      <c r="S383" s="18" t="n">
        <v>46144.38263888889</v>
      </c>
      <c r="T383" s="18" t="n">
        <v>46295.4375</v>
      </c>
      <c r="U383" s="14" t="inlineStr">
        <is>
          <t>100926</t>
        </is>
      </c>
      <c r="V383" t="inlineStr">
        <is>
          <t>213380</t>
        </is>
      </c>
      <c r="W383" t="inlineStr">
        <is>
          <t>venda casada (1 pedido)</t>
        </is>
      </c>
      <c r="X383" t="n">
        <v>1</v>
      </c>
      <c r="Y383" t="inlineStr">
        <is>
          <t>⚠ evidência fraca (1 pedido)</t>
        </is>
      </c>
    </row>
    <row r="384" ht="15" customFormat="1" customHeight="1" s="19">
      <c r="A384" s="19" t="inlineStr">
        <is>
          <t>Espaço De Bicho</t>
        </is>
      </c>
      <c r="B384" s="19" t="inlineStr">
        <is>
          <t>Tapete Higiênico Good Pad com 90 Unidades 80x60</t>
        </is>
      </c>
      <c r="C384" s="19" t="inlineStr">
        <is>
          <t>Sem variação</t>
        </is>
      </c>
      <c r="D384" s="19" t="inlineStr">
        <is>
          <t>0794</t>
        </is>
      </c>
      <c r="E384" s="19" t="inlineStr">
        <is>
          <t>21059158449</t>
        </is>
      </c>
      <c r="F384" s="19" t="inlineStr">
        <is>
          <t>0</t>
        </is>
      </c>
      <c r="G384" s="19" t="inlineStr">
        <is>
          <t>NORMAL</t>
        </is>
      </c>
      <c r="H384" s="20" t="n">
        <v>299.9</v>
      </c>
      <c r="I384" s="20" t="n">
        <v>169.9</v>
      </c>
      <c r="J384" s="21" t="inlineStr">
        <is>
          <t>SIM</t>
        </is>
      </c>
      <c r="K384" s="20" t="n">
        <v>169.9</v>
      </c>
      <c r="L384" s="35">
        <f>IF(K384&lt;&gt;"",K384,I384)</f>
        <v/>
      </c>
      <c r="M384" s="30" t="n"/>
      <c r="N384" s="30" t="n"/>
      <c r="O384" s="29" t="n"/>
      <c r="P384" s="80">
        <f>IF($O384="","",L384-O384-(L384*IF(L384&lt;=79.99,20%,14%)+IF(L384&lt;=79.99,4,IF(L384&lt;=99.99,16,IF(L384&lt;=199.99,20,IF(L384&lt;=499.99,26,28)))))-L384*1.3%-L384*6%-(L384-O384)*9.25%-L384*3%-L384*3%-1)</f>
        <v/>
      </c>
      <c r="Q384" s="22">
        <f>IF(AND(K384&lt;&gt;"",H384&gt;0),(H384-K384)/H384,"")</f>
        <v/>
      </c>
      <c r="R384" s="19" t="inlineStr">
        <is>
          <t>909477973245952</t>
        </is>
      </c>
      <c r="S384" s="23" t="n">
        <v>46144.38263888889</v>
      </c>
      <c r="T384" s="23" t="n">
        <v>46295.4375</v>
      </c>
      <c r="U384" s="19" t="inlineStr">
        <is>
          <t>100926</t>
        </is>
      </c>
      <c r="W384" t="inlineStr">
        <is>
          <t>sem correspondência</t>
        </is>
      </c>
      <c r="Y384" t="inlineStr"/>
    </row>
    <row r="385" ht="15" customFormat="1" customHeight="1" s="14">
      <c r="A385" s="19" t="inlineStr">
        <is>
          <t>Espaço De Bicho</t>
        </is>
      </c>
      <c r="B385" s="19" t="inlineStr">
        <is>
          <t>Tapete Higiênico Mozão Aroma Lavanda 80x60cm 30 Unidades</t>
        </is>
      </c>
      <c r="C385" s="19" t="inlineStr">
        <is>
          <t>Sem variação</t>
        </is>
      </c>
      <c r="D385" s="19" t="inlineStr">
        <is>
          <t>TAPETE-MOZAO-LAVANDA-30</t>
        </is>
      </c>
      <c r="E385" s="19" t="inlineStr">
        <is>
          <t>52965156434</t>
        </is>
      </c>
      <c r="F385" s="19" t="inlineStr">
        <is>
          <t>0</t>
        </is>
      </c>
      <c r="G385" s="19" t="inlineStr">
        <is>
          <t>NORMAL</t>
        </is>
      </c>
      <c r="H385" s="20" t="n">
        <v>69.90000000000001</v>
      </c>
      <c r="I385" s="20" t="n">
        <v>69.90000000000001</v>
      </c>
      <c r="J385" s="21" t="inlineStr">
        <is>
          <t>NÃO</t>
        </is>
      </c>
      <c r="K385" s="20" t="n"/>
      <c r="L385" s="35">
        <f>IF(K385&lt;&gt;"",K385,I385)</f>
        <v/>
      </c>
      <c r="M385" s="81" t="n">
        <v>1</v>
      </c>
      <c r="N385" s="82" t="n">
        <v>33.98</v>
      </c>
      <c r="O385" s="83">
        <f>ROUND(M385*N385,2)</f>
        <v/>
      </c>
      <c r="P385" s="80">
        <f>IF($O385="","",L385-O385-(L385*IF(L385&lt;=79.99,20%,14%)+IF(L385&lt;=79.99,4,IF(L385&lt;=99.99,16,IF(L385&lt;=199.99,20,IF(L385&lt;=499.99,26,28)))))-L385*1.3%-L385*6%-(L385-O385)*9.25%-L385*3%-L385*3%-1)</f>
        <v/>
      </c>
      <c r="Q385" s="22">
        <f>IF(AND(K385&lt;&gt;"",H385&gt;0),(H385-K385)/H385,"")</f>
        <v/>
      </c>
      <c r="R385" s="19" t="inlineStr"/>
      <c r="S385" s="23" t="n"/>
      <c r="T385" s="23" t="n"/>
      <c r="U385" s="19" t="inlineStr">
        <is>
          <t>100926</t>
        </is>
      </c>
      <c r="V385" t="inlineStr">
        <is>
          <t>216182</t>
        </is>
      </c>
      <c r="W385" t="inlineStr">
        <is>
          <t>venda casada (1 pedido) · custo do KIT 216202 (1× 216182)</t>
        </is>
      </c>
      <c r="X385" t="n">
        <v>1</v>
      </c>
      <c r="Y385" t="inlineStr">
        <is>
          <t>⚠ evidência fraca (1 pedido)</t>
        </is>
      </c>
    </row>
    <row r="386" ht="15" customFormat="1" customHeight="1" s="19">
      <c r="A386" s="14" t="inlineStr">
        <is>
          <t>Espaço De Bicho</t>
        </is>
      </c>
      <c r="B386" s="14" t="inlineStr">
        <is>
          <t>Tapete Higiênico Mozão Aroma Neutro 50cm x 60cm 30unidades</t>
        </is>
      </c>
      <c r="C386" s="14" t="inlineStr">
        <is>
          <t>Sem variação</t>
        </is>
      </c>
      <c r="D386" s="14" t="inlineStr">
        <is>
          <t>MOZAON30</t>
        </is>
      </c>
      <c r="E386" s="14" t="inlineStr">
        <is>
          <t>56265143504</t>
        </is>
      </c>
      <c r="F386" s="14" t="inlineStr">
        <is>
          <t>0</t>
        </is>
      </c>
      <c r="G386" s="14" t="inlineStr">
        <is>
          <t>NORMAL</t>
        </is>
      </c>
      <c r="H386" s="15" t="n">
        <v>39.9</v>
      </c>
      <c r="I386" s="15" t="n">
        <v>39.9</v>
      </c>
      <c r="J386" s="16" t="inlineStr">
        <is>
          <t>NÃO</t>
        </is>
      </c>
      <c r="K386" s="15" t="n"/>
      <c r="L386" s="35">
        <f>IF(K386&lt;&gt;"",K386,I386)</f>
        <v/>
      </c>
      <c r="M386" s="28" t="n"/>
      <c r="N386" s="28" t="n"/>
      <c r="O386" s="29" t="n"/>
      <c r="P386" s="80">
        <f>IF($O386="","",L386-O386-(L386*IF(L386&lt;=79.99,20%,14%)+IF(L386&lt;=79.99,4,IF(L386&lt;=99.99,16,IF(L386&lt;=199.99,20,IF(L386&lt;=499.99,26,28)))))-L386*1.3%-L386*6%-(L386-O386)*9.25%-L386*3%-L386*3%-1)</f>
        <v/>
      </c>
      <c r="Q386" s="17">
        <f>IF(AND(K386&lt;&gt;"",H386&gt;0),(H386-K386)/H386,"")</f>
        <v/>
      </c>
      <c r="R386" s="14" t="inlineStr"/>
      <c r="S386" s="18" t="n"/>
      <c r="T386" s="18" t="n"/>
      <c r="U386" s="14" t="inlineStr">
        <is>
          <t>100926</t>
        </is>
      </c>
      <c r="W386" t="inlineStr">
        <is>
          <t>sem correspondência</t>
        </is>
      </c>
      <c r="Y386" t="inlineStr"/>
    </row>
    <row r="387" ht="15" customFormat="1" customHeight="1" s="14">
      <c r="A387" s="19" t="inlineStr">
        <is>
          <t>Espaço De Bicho</t>
        </is>
      </c>
      <c r="B387" s="19" t="inlineStr">
        <is>
          <t>Tergenvet 250ml</t>
        </is>
      </c>
      <c r="C387" s="19" t="inlineStr">
        <is>
          <t>Sem variação</t>
        </is>
      </c>
      <c r="D387" s="19" t="inlineStr">
        <is>
          <t>TERGENVET-250ML</t>
        </is>
      </c>
      <c r="E387" s="19" t="inlineStr">
        <is>
          <t>45164951309</t>
        </is>
      </c>
      <c r="F387" s="19" t="inlineStr">
        <is>
          <t>0</t>
        </is>
      </c>
      <c r="G387" s="19" t="inlineStr">
        <is>
          <t>NORMAL</t>
        </is>
      </c>
      <c r="H387" s="20" t="n">
        <v>83.8</v>
      </c>
      <c r="I387" s="20" t="n">
        <v>83.8</v>
      </c>
      <c r="J387" s="21" t="inlineStr">
        <is>
          <t>NÃO</t>
        </is>
      </c>
      <c r="K387" s="20" t="n"/>
      <c r="L387" s="35">
        <f>IF(K387&lt;&gt;"",K387,I387)</f>
        <v/>
      </c>
      <c r="M387" s="30" t="n"/>
      <c r="N387" s="30" t="n"/>
      <c r="O387" s="31" t="n"/>
      <c r="P387" s="80">
        <f>IF($O387="","",L387-O387-(L387*IF(L387&lt;=79.99,20%,14%)+IF(L387&lt;=79.99,4,IF(L387&lt;=99.99,16,IF(L387&lt;=199.99,20,IF(L387&lt;=499.99,26,28)))))-L387*1.3%-L387*6%-(L387-O387)*9.25%-L387*3%-L387*3%-1)</f>
        <v/>
      </c>
      <c r="Q387" s="22">
        <f>IF(AND(K387&lt;&gt;"",H387&gt;0),(H387-K387)/H387,"")</f>
        <v/>
      </c>
      <c r="R387" s="19" t="inlineStr"/>
      <c r="S387" s="23" t="n"/>
      <c r="T387" s="23" t="n"/>
      <c r="U387" s="19" t="inlineStr">
        <is>
          <t>100942</t>
        </is>
      </c>
      <c r="W387" t="inlineStr">
        <is>
          <t>sem correspondência</t>
        </is>
      </c>
      <c r="Y387" t="inlineStr"/>
    </row>
    <row r="388" ht="15" customFormat="1" customHeight="1" s="19">
      <c r="A388" s="14" t="inlineStr">
        <is>
          <t>Espaço De Bicho</t>
        </is>
      </c>
      <c r="B388" s="14" t="inlineStr">
        <is>
          <t>Teste SensPERT Cinomose - Dechra</t>
        </is>
      </c>
      <c r="C388" s="14" t="inlineStr">
        <is>
          <t>Sem variação</t>
        </is>
      </c>
      <c r="D388" s="14" t="inlineStr">
        <is>
          <t>0030</t>
        </is>
      </c>
      <c r="E388" s="14" t="inlineStr">
        <is>
          <t>19527902576</t>
        </is>
      </c>
      <c r="F388" s="14" t="inlineStr">
        <is>
          <t>0</t>
        </is>
      </c>
      <c r="G388" s="14" t="inlineStr">
        <is>
          <t>NORMAL</t>
        </is>
      </c>
      <c r="H388" s="15" t="n">
        <v>67.90000000000001</v>
      </c>
      <c r="I388" s="15" t="n">
        <v>49.9</v>
      </c>
      <c r="J388" s="16" t="inlineStr">
        <is>
          <t>SIM</t>
        </is>
      </c>
      <c r="K388" s="15" t="n">
        <v>49.9</v>
      </c>
      <c r="L388" s="35">
        <f>IF(K388&lt;&gt;"",K388,I388)</f>
        <v/>
      </c>
      <c r="M388" s="84" t="n">
        <v>1</v>
      </c>
      <c r="N388" s="85" t="n">
        <v>26.5</v>
      </c>
      <c r="O388" s="80">
        <f>ROUND(M388*N388,2)</f>
        <v/>
      </c>
      <c r="P388" s="80">
        <f>IF($O388="","",L388-O388-(L388*IF(L388&lt;=79.99,20%,14%)+IF(L388&lt;=79.99,4,IF(L388&lt;=99.99,16,IF(L388&lt;=199.99,20,IF(L388&lt;=499.99,26,28)))))-L388*1.3%-L388*6%-(L388-O388)*9.25%-L388*3%-L388*3%-1)</f>
        <v/>
      </c>
      <c r="Q388" s="17">
        <f>IF(AND(K388&lt;&gt;"",H388&gt;0),(H388-K388)/H388,"")</f>
        <v/>
      </c>
      <c r="R388" s="14" t="inlineStr">
        <is>
          <t>909477973245952</t>
        </is>
      </c>
      <c r="S388" s="18" t="n">
        <v>46144.38263888889</v>
      </c>
      <c r="T388" s="18" t="n">
        <v>46295.4375</v>
      </c>
      <c r="U388" s="14" t="inlineStr">
        <is>
          <t>100942</t>
        </is>
      </c>
      <c r="V388" t="inlineStr">
        <is>
          <t>213487</t>
        </is>
      </c>
      <c r="W388" t="inlineStr">
        <is>
          <t>venda casada (5 pedidos)</t>
        </is>
      </c>
      <c r="X388" t="n">
        <v>5</v>
      </c>
      <c r="Y388" t="inlineStr">
        <is>
          <t>ok</t>
        </is>
      </c>
    </row>
    <row r="389" ht="15" customFormat="1" customHeight="1" s="14">
      <c r="A389" s="19" t="inlineStr">
        <is>
          <t>Espaço De Bicho</t>
        </is>
      </c>
      <c r="B389" s="19" t="inlineStr">
        <is>
          <t>Tiuran Aerossol + Sabonete + Solução 30ml Sarnicida Fungicida Remédio para Sarna de Cachorro e Gato</t>
        </is>
      </c>
      <c r="C389" s="19" t="inlineStr">
        <is>
          <t>Kit 2</t>
        </is>
      </c>
      <c r="D389" s="19" t="inlineStr">
        <is>
          <t>KIT-TIURAN-2AEROSSOL-2SABONETE-2SOLUÇÃO-30ML</t>
        </is>
      </c>
      <c r="E389" s="19" t="inlineStr">
        <is>
          <t>21398316412</t>
        </is>
      </c>
      <c r="F389" s="19" t="inlineStr">
        <is>
          <t>179409556639</t>
        </is>
      </c>
      <c r="G389" s="19" t="inlineStr">
        <is>
          <t>NORMAL</t>
        </is>
      </c>
      <c r="H389" s="20" t="n">
        <v>150.9</v>
      </c>
      <c r="I389" s="20" t="n">
        <v>135.9</v>
      </c>
      <c r="J389" s="21" t="inlineStr">
        <is>
          <t>SIM</t>
        </is>
      </c>
      <c r="K389" s="20" t="n">
        <v>135.9</v>
      </c>
      <c r="L389" s="35">
        <f>IF(K389&lt;&gt;"",K389,I389)</f>
        <v/>
      </c>
      <c r="M389" s="30" t="n"/>
      <c r="N389" s="30" t="n"/>
      <c r="O389" s="29" t="n"/>
      <c r="P389" s="80">
        <f>IF($O389="","",L389-O389-(L389*IF(L389&lt;=79.99,20%,14%)+IF(L389&lt;=79.99,4,IF(L389&lt;=99.99,16,IF(L389&lt;=199.99,20,IF(L389&lt;=499.99,26,28)))))-L389*1.3%-L389*6%-(L389-O389)*9.25%-L389*3%-L389*3%-1)</f>
        <v/>
      </c>
      <c r="Q389" s="22">
        <f>IF(AND(K389&lt;&gt;"",H389&gt;0),(H389-K389)/H389,"")</f>
        <v/>
      </c>
      <c r="R389" s="19" t="inlineStr">
        <is>
          <t>909477973245952</t>
        </is>
      </c>
      <c r="S389" s="23" t="n">
        <v>46144.38263888889</v>
      </c>
      <c r="T389" s="23" t="n">
        <v>46295.4375</v>
      </c>
      <c r="U389" s="19" t="inlineStr">
        <is>
          <t>100942</t>
        </is>
      </c>
      <c r="V389" t="inlineStr">
        <is>
          <t>KIT-TIURAN-1AEROSSOL-1SABONETE-1SOLUÇÃO-30ML</t>
        </is>
      </c>
      <c r="W389" t="inlineStr">
        <is>
          <t>herdado do anúncio · CUSTO ZERADO na Olist (conferido hoje)</t>
        </is>
      </c>
      <c r="Y389" t="inlineStr">
        <is>
          <t>ok</t>
        </is>
      </c>
    </row>
    <row r="390" ht="15" customFormat="1" customHeight="1" s="19">
      <c r="A390" s="14" t="inlineStr">
        <is>
          <t>Espaço De Bicho</t>
        </is>
      </c>
      <c r="B390" s="14" t="inlineStr">
        <is>
          <t>Tratamento Renal Renadogs Para Cães Bioctal 85g</t>
        </is>
      </c>
      <c r="C390" s="14" t="inlineStr">
        <is>
          <t>Sem variação</t>
        </is>
      </c>
      <c r="D390" s="14" t="inlineStr">
        <is>
          <t>0078</t>
        </is>
      </c>
      <c r="E390" s="14" t="inlineStr">
        <is>
          <t>21427929887</t>
        </is>
      </c>
      <c r="F390" s="14" t="inlineStr">
        <is>
          <t>0</t>
        </is>
      </c>
      <c r="G390" s="14" t="inlineStr">
        <is>
          <t>NORMAL</t>
        </is>
      </c>
      <c r="H390" s="15" t="n">
        <v>545.8</v>
      </c>
      <c r="I390" s="15" t="n">
        <v>545.8</v>
      </c>
      <c r="J390" s="16" t="inlineStr">
        <is>
          <t>NÃO</t>
        </is>
      </c>
      <c r="K390" s="15" t="n"/>
      <c r="L390" s="35">
        <f>IF(K390&lt;&gt;"",K390,I390)</f>
        <v/>
      </c>
      <c r="M390" s="28" t="n"/>
      <c r="N390" s="28" t="n"/>
      <c r="O390" s="29" t="n"/>
      <c r="P390" s="80">
        <f>IF($O390="","",L390-O390-(L390*IF(L390&lt;=79.99,20%,14%)+IF(L390&lt;=79.99,4,IF(L390&lt;=99.99,16,IF(L390&lt;=199.99,20,IF(L390&lt;=499.99,26,28)))))-L390*1.3%-L390*6%-(L390-O390)*9.25%-L390*3%-L390*3%-1)</f>
        <v/>
      </c>
      <c r="Q390" s="17">
        <f>IF(AND(K390&lt;&gt;"",H390&gt;0),(H390-K390)/H390,"")</f>
        <v/>
      </c>
      <c r="R390" s="14" t="inlineStr"/>
      <c r="S390" s="18" t="n"/>
      <c r="T390" s="18" t="n"/>
      <c r="U390" s="14" t="inlineStr">
        <is>
          <t>100942</t>
        </is>
      </c>
      <c r="W390" t="inlineStr">
        <is>
          <t>sem correspondência</t>
        </is>
      </c>
      <c r="Y390" t="inlineStr"/>
    </row>
    <row r="391" ht="15" customFormat="1" customHeight="1" s="14">
      <c r="A391" s="14" t="inlineStr">
        <is>
          <t>Espaço De Bicho</t>
        </is>
      </c>
      <c r="B391" s="14" t="inlineStr">
        <is>
          <t>Vermicanis Plus 800mg C/4 Comprimidos Vermífugo P/cães 10kg</t>
        </is>
      </c>
      <c r="C391" s="14" t="inlineStr">
        <is>
          <t>Sem variação</t>
        </is>
      </c>
      <c r="D391" s="14" t="inlineStr">
        <is>
          <t>IVERCANIS-800MG</t>
        </is>
      </c>
      <c r="E391" s="14" t="inlineStr">
        <is>
          <t>23897491626</t>
        </is>
      </c>
      <c r="F391" s="14" t="inlineStr">
        <is>
          <t>0</t>
        </is>
      </c>
      <c r="G391" s="14" t="inlineStr">
        <is>
          <t>NORMAL</t>
        </is>
      </c>
      <c r="H391" s="15" t="n">
        <v>39.9</v>
      </c>
      <c r="I391" s="15" t="n">
        <v>39.9</v>
      </c>
      <c r="J391" s="16" t="inlineStr">
        <is>
          <t>NÃO</t>
        </is>
      </c>
      <c r="K391" s="15" t="n"/>
      <c r="L391" s="35">
        <f>IF(K391&lt;&gt;"",K391,I391)</f>
        <v/>
      </c>
      <c r="M391" s="28" t="n"/>
      <c r="N391" s="28" t="n"/>
      <c r="O391" s="29" t="n"/>
      <c r="P391" s="80">
        <f>IF($O391="","",L391-O391-(L391*IF(L391&lt;=79.99,20%,14%)+IF(L391&lt;=79.99,4,IF(L391&lt;=99.99,16,IF(L391&lt;=199.99,20,IF(L391&lt;=499.99,26,28)))))-L391*1.3%-L391*6%-(L391-O391)*9.25%-L391*3%-L391*3%-1)</f>
        <v/>
      </c>
      <c r="Q391" s="17">
        <f>IF(AND(K391&lt;&gt;"",H391&gt;0),(H391-K391)/H391,"")</f>
        <v/>
      </c>
      <c r="R391" s="14" t="inlineStr"/>
      <c r="S391" s="18" t="n"/>
      <c r="T391" s="18" t="n"/>
      <c r="U391" s="14" t="inlineStr">
        <is>
          <t>100942</t>
        </is>
      </c>
      <c r="W391" t="inlineStr">
        <is>
          <t>sem correspondência</t>
        </is>
      </c>
      <c r="Y391" t="inlineStr"/>
    </row>
    <row r="392" ht="15" customFormat="1" customHeight="1" s="19">
      <c r="A392" s="19" t="inlineStr">
        <is>
          <t>Espaço De Bicho</t>
        </is>
      </c>
      <c r="B392" s="19" t="inlineStr">
        <is>
          <t>Vermifugo Duprazol Soluçao Oral 30 Ml</t>
        </is>
      </c>
      <c r="C392" s="19" t="inlineStr">
        <is>
          <t>Sem variação</t>
        </is>
      </c>
      <c r="D392" s="19" t="inlineStr">
        <is>
          <t>0659</t>
        </is>
      </c>
      <c r="E392" s="19" t="inlineStr">
        <is>
          <t>19927596338</t>
        </is>
      </c>
      <c r="F392" s="19" t="inlineStr">
        <is>
          <t>0</t>
        </is>
      </c>
      <c r="G392" s="19" t="inlineStr">
        <is>
          <t>NORMAL</t>
        </is>
      </c>
      <c r="H392" s="20" t="n">
        <v>32.9</v>
      </c>
      <c r="I392" s="20" t="n">
        <v>17.9</v>
      </c>
      <c r="J392" s="21" t="inlineStr">
        <is>
          <t>SIM</t>
        </is>
      </c>
      <c r="K392" s="20" t="n">
        <v>17.9</v>
      </c>
      <c r="L392" s="35">
        <f>IF(K392&lt;&gt;"",K392,I392)</f>
        <v/>
      </c>
      <c r="M392" s="30" t="n"/>
      <c r="N392" s="30" t="n"/>
      <c r="O392" s="29" t="n"/>
      <c r="P392" s="80">
        <f>IF($O392="","",L392-O392-(L392*IF(L392&lt;=79.99,20%,14%)+IF(L392&lt;=79.99,4,IF(L392&lt;=99.99,16,IF(L392&lt;=199.99,20,IF(L392&lt;=499.99,26,28)))))-L392*1.3%-L392*6%-(L392-O392)*9.25%-L392*3%-L392*3%-1)</f>
        <v/>
      </c>
      <c r="Q392" s="22">
        <f>IF(AND(K392&lt;&gt;"",H392&gt;0),(H392-K392)/H392,"")</f>
        <v/>
      </c>
      <c r="R392" s="19" t="inlineStr">
        <is>
          <t>909477973245952</t>
        </is>
      </c>
      <c r="S392" s="23" t="n">
        <v>46144.38263888889</v>
      </c>
      <c r="T392" s="23" t="n">
        <v>46295.4375</v>
      </c>
      <c r="U392" s="19" t="inlineStr">
        <is>
          <t>100942</t>
        </is>
      </c>
      <c r="W392" t="inlineStr">
        <is>
          <t>sem correspondência</t>
        </is>
      </c>
      <c r="Y392" t="inlineStr"/>
    </row>
    <row r="393" ht="15" customFormat="1" customHeight="1" s="14">
      <c r="A393" s="14" t="inlineStr">
        <is>
          <t>Espaço De Bicho</t>
        </is>
      </c>
      <c r="B393" s="14" t="inlineStr">
        <is>
          <t>Vermifugo P/ Gatos 3kg Vermicats 600mg World 12 Comprimidos</t>
        </is>
      </c>
      <c r="C393" s="14" t="inlineStr">
        <is>
          <t>Sem variação</t>
        </is>
      </c>
      <c r="D393" s="14" t="inlineStr">
        <is>
          <t>VERMICATS-500MG-12COMP</t>
        </is>
      </c>
      <c r="E393" s="14" t="inlineStr">
        <is>
          <t>42683033489</t>
        </is>
      </c>
      <c r="F393" s="14" t="inlineStr">
        <is>
          <t>0</t>
        </is>
      </c>
      <c r="G393" s="14" t="inlineStr">
        <is>
          <t>NORMAL</t>
        </is>
      </c>
      <c r="H393" s="15" t="n">
        <v>49.9</v>
      </c>
      <c r="I393" s="15" t="n">
        <v>24.9</v>
      </c>
      <c r="J393" s="16" t="inlineStr">
        <is>
          <t>SIM</t>
        </is>
      </c>
      <c r="K393" s="15" t="n">
        <v>24.9</v>
      </c>
      <c r="L393" s="35">
        <f>IF(K393&lt;&gt;"",K393,I393)</f>
        <v/>
      </c>
      <c r="M393" s="28" t="n"/>
      <c r="N393" s="28" t="n"/>
      <c r="O393" s="29" t="n"/>
      <c r="P393" s="80">
        <f>IF($O393="","",L393-O393-(L393*IF(L393&lt;=79.99,20%,14%)+IF(L393&lt;=79.99,4,IF(L393&lt;=99.99,16,IF(L393&lt;=199.99,20,IF(L393&lt;=499.99,26,28)))))-L393*1.3%-L393*6%-(L393-O393)*9.25%-L393*3%-L393*3%-1)</f>
        <v/>
      </c>
      <c r="Q393" s="17">
        <f>IF(AND(K393&lt;&gt;"",H393&gt;0),(H393-K393)/H393,"")</f>
        <v/>
      </c>
      <c r="R393" s="14" t="inlineStr">
        <is>
          <t>909477973245952</t>
        </is>
      </c>
      <c r="S393" s="18" t="n">
        <v>46144.38263888889</v>
      </c>
      <c r="T393" s="18" t="n">
        <v>46295.4375</v>
      </c>
      <c r="U393" s="14" t="inlineStr">
        <is>
          <t>100942</t>
        </is>
      </c>
      <c r="W393" t="inlineStr">
        <is>
          <t>sem correspondência</t>
        </is>
      </c>
      <c r="Y393" t="inlineStr"/>
    </row>
    <row r="394" ht="15" customFormat="1" customHeight="1" s="19">
      <c r="A394" s="14" t="inlineStr">
        <is>
          <t>Espaço De Bicho</t>
        </is>
      </c>
      <c r="B394" s="14" t="inlineStr">
        <is>
          <t>Vermífugo World Veterinária VermiCats para Gatos de 3 Kg ( 4 Comprimidos)</t>
        </is>
      </c>
      <c r="C394" s="14" t="inlineStr">
        <is>
          <t>4 Comprimidos</t>
        </is>
      </c>
      <c r="D394" s="14" t="inlineStr">
        <is>
          <t>4COMP-VERMICATS-600MG</t>
        </is>
      </c>
      <c r="E394" s="14" t="inlineStr">
        <is>
          <t>50514936013</t>
        </is>
      </c>
      <c r="F394" s="14" t="inlineStr">
        <is>
          <t>441282606062</t>
        </is>
      </c>
      <c r="G394" s="14" t="inlineStr">
        <is>
          <t>NORMAL</t>
        </is>
      </c>
      <c r="H394" s="15" t="n">
        <v>49.9</v>
      </c>
      <c r="I394" s="15" t="n">
        <v>49.9</v>
      </c>
      <c r="J394" s="16" t="inlineStr">
        <is>
          <t>NÃO</t>
        </is>
      </c>
      <c r="K394" s="15" t="n"/>
      <c r="L394" s="35">
        <f>IF(K394&lt;&gt;"",K394,I394)</f>
        <v/>
      </c>
      <c r="M394" s="28" t="n"/>
      <c r="N394" s="28" t="n"/>
      <c r="O394" s="29" t="n"/>
      <c r="P394" s="80">
        <f>IF($O394="","",L394-O394-(L394*IF(L394&lt;=79.99,20%,14%)+IF(L394&lt;=79.99,4,IF(L394&lt;=99.99,16,IF(L394&lt;=199.99,20,IF(L394&lt;=499.99,26,28)))))-L394*1.3%-L394*6%-(L394-O394)*9.25%-L394*3%-L394*3%-1)</f>
        <v/>
      </c>
      <c r="Q394" s="17">
        <f>IF(AND(K394&lt;&gt;"",H394&gt;0),(H394-K394)/H394,"")</f>
        <v/>
      </c>
      <c r="R394" s="14" t="inlineStr"/>
      <c r="S394" s="18" t="n"/>
      <c r="T394" s="18" t="n"/>
      <c r="U394" s="14" t="inlineStr">
        <is>
          <t>100942</t>
        </is>
      </c>
      <c r="W394" t="inlineStr">
        <is>
          <t>sem correspondência</t>
        </is>
      </c>
      <c r="Y394" t="inlineStr"/>
    </row>
    <row r="395" ht="15" customFormat="1" customHeight="1" s="14">
      <c r="A395" s="19" t="inlineStr">
        <is>
          <t>Espaço De Bicho</t>
        </is>
      </c>
      <c r="B395" s="19" t="inlineStr">
        <is>
          <t>Vermífugo World Veterinária VermiCats para Gatos de 3 Kg ( 4 Comprimidos)</t>
        </is>
      </c>
      <c r="C395" s="19" t="inlineStr">
        <is>
          <t>8 Comprimidos</t>
        </is>
      </c>
      <c r="D395" s="19" t="inlineStr">
        <is>
          <t>8COMP-VERMICATS-600MG</t>
        </is>
      </c>
      <c r="E395" s="19" t="inlineStr">
        <is>
          <t>50514936013</t>
        </is>
      </c>
      <c r="F395" s="19" t="inlineStr">
        <is>
          <t>441282606063</t>
        </is>
      </c>
      <c r="G395" s="19" t="inlineStr">
        <is>
          <t>NORMAL</t>
        </is>
      </c>
      <c r="H395" s="20" t="n">
        <v>49.9</v>
      </c>
      <c r="I395" s="20" t="n">
        <v>49.9</v>
      </c>
      <c r="J395" s="21" t="inlineStr">
        <is>
          <t>NÃO</t>
        </is>
      </c>
      <c r="K395" s="20" t="n"/>
      <c r="L395" s="35">
        <f>IF(K395&lt;&gt;"",K395,I395)</f>
        <v/>
      </c>
      <c r="M395" s="30" t="n"/>
      <c r="N395" s="30" t="n"/>
      <c r="O395" s="31" t="n"/>
      <c r="P395" s="80">
        <f>IF($O395="","",L395-O395-(L395*IF(L395&lt;=79.99,20%,14%)+IF(L395&lt;=79.99,4,IF(L395&lt;=99.99,16,IF(L395&lt;=199.99,20,IF(L395&lt;=499.99,26,28)))))-L395*1.3%-L395*6%-(L395-O395)*9.25%-L395*3%-L395*3%-1)</f>
        <v/>
      </c>
      <c r="Q395" s="22">
        <f>IF(AND(K395&lt;&gt;"",H395&gt;0),(H395-K395)/H395,"")</f>
        <v/>
      </c>
      <c r="R395" s="19" t="inlineStr"/>
      <c r="S395" s="23" t="n"/>
      <c r="T395" s="23" t="n"/>
      <c r="U395" s="19" t="inlineStr">
        <is>
          <t>100942</t>
        </is>
      </c>
      <c r="W395" t="inlineStr">
        <is>
          <t>sem correspondência</t>
        </is>
      </c>
      <c r="Y395" t="inlineStr"/>
    </row>
    <row r="396" ht="15" customFormat="1" customHeight="1" s="19">
      <c r="A396" s="14" t="inlineStr">
        <is>
          <t>Espaço De Bicho</t>
        </is>
      </c>
      <c r="B396" s="14" t="inlineStr">
        <is>
          <t>Vetmax Plus Blister 4 Comprimidos Vermífugo - Vetnil</t>
        </is>
      </c>
      <c r="C396" s="14" t="inlineStr">
        <is>
          <t>12 Comprimidos</t>
        </is>
      </c>
      <c r="D396" s="14" t="inlineStr">
        <is>
          <t>VETMAX-PLUS-12COMP</t>
        </is>
      </c>
      <c r="E396" s="14" t="inlineStr">
        <is>
          <t>58210761591</t>
        </is>
      </c>
      <c r="F396" s="14" t="inlineStr">
        <is>
          <t>228805508331</t>
        </is>
      </c>
      <c r="G396" s="14" t="inlineStr">
        <is>
          <t>NORMAL</t>
        </is>
      </c>
      <c r="H396" s="15" t="n">
        <v>150.9</v>
      </c>
      <c r="I396" s="15" t="n">
        <v>119.9</v>
      </c>
      <c r="J396" s="16" t="inlineStr">
        <is>
          <t>SIM</t>
        </is>
      </c>
      <c r="K396" s="15" t="n">
        <v>119.9</v>
      </c>
      <c r="L396" s="35">
        <f>IF(K396&lt;&gt;"",K396,I396)</f>
        <v/>
      </c>
      <c r="M396" s="28" t="n"/>
      <c r="N396" s="28" t="n"/>
      <c r="O396" s="29" t="n"/>
      <c r="P396" s="80">
        <f>IF($O396="","",L396-O396-(L396*IF(L396&lt;=79.99,20%,14%)+IF(L396&lt;=79.99,4,IF(L396&lt;=99.99,16,IF(L396&lt;=199.99,20,IF(L396&lt;=499.99,26,28)))))-L396*1.3%-L396*6%-(L396-O396)*9.25%-L396*3%-L396*3%-1)</f>
        <v/>
      </c>
      <c r="Q396" s="17">
        <f>IF(AND(K396&lt;&gt;"",H396&gt;0),(H396-K396)/H396,"")</f>
        <v/>
      </c>
      <c r="R396" s="14" t="inlineStr">
        <is>
          <t>909477973245952</t>
        </is>
      </c>
      <c r="S396" s="18" t="n">
        <v>46144.38263888889</v>
      </c>
      <c r="T396" s="18" t="n">
        <v>46295.4375</v>
      </c>
      <c r="U396" s="14" t="inlineStr">
        <is>
          <t>100942</t>
        </is>
      </c>
      <c r="W396" t="inlineStr">
        <is>
          <t>ambíguo: 215293 (75%) vs VETMAX-PLUS-12COMP</t>
        </is>
      </c>
      <c r="X396" t="n">
        <v>4</v>
      </c>
      <c r="Y396" t="inlineStr"/>
    </row>
    <row r="397" ht="15" customFormat="1" customHeight="1" s="14">
      <c r="A397" s="19" t="inlineStr">
        <is>
          <t>Espaço De Bicho</t>
        </is>
      </c>
      <c r="B397" s="19" t="inlineStr">
        <is>
          <t>Vetmax Plus Blister 4 Comprimidos Vermífugo - Vetnil</t>
        </is>
      </c>
      <c r="C397" s="19" t="inlineStr">
        <is>
          <t>4 Comprimidos</t>
        </is>
      </c>
      <c r="D397" s="19" t="inlineStr">
        <is>
          <t>VETMAX-PLUS-4COMP</t>
        </is>
      </c>
      <c r="E397" s="19" t="inlineStr">
        <is>
          <t>58210761591</t>
        </is>
      </c>
      <c r="F397" s="19" t="inlineStr">
        <is>
          <t>228805508332</t>
        </is>
      </c>
      <c r="G397" s="19" t="inlineStr">
        <is>
          <t>NORMAL</t>
        </is>
      </c>
      <c r="H397" s="20" t="n">
        <v>59.9</v>
      </c>
      <c r="I397" s="20" t="n">
        <v>38.9</v>
      </c>
      <c r="J397" s="21" t="inlineStr">
        <is>
          <t>SIM</t>
        </is>
      </c>
      <c r="K397" s="20" t="n">
        <v>38.9</v>
      </c>
      <c r="L397" s="35">
        <f>IF(K397&lt;&gt;"",K397,I397)</f>
        <v/>
      </c>
      <c r="M397" s="30" t="n"/>
      <c r="N397" s="30" t="n"/>
      <c r="O397" s="29" t="n"/>
      <c r="P397" s="80">
        <f>IF($O397="","",L397-O397-(L397*IF(L397&lt;=79.99,20%,14%)+IF(L397&lt;=79.99,4,IF(L397&lt;=99.99,16,IF(L397&lt;=199.99,20,IF(L397&lt;=499.99,26,28)))))-L397*1.3%-L397*6%-(L397-O397)*9.25%-L397*3%-L397*3%-1)</f>
        <v/>
      </c>
      <c r="Q397" s="22">
        <f>IF(AND(K397&lt;&gt;"",H397&gt;0),(H397-K397)/H397,"")</f>
        <v/>
      </c>
      <c r="R397" s="19" t="inlineStr">
        <is>
          <t>909477973245952</t>
        </is>
      </c>
      <c r="S397" s="23" t="n">
        <v>46144.38263888889</v>
      </c>
      <c r="T397" s="23" t="n">
        <v>46295.4375</v>
      </c>
      <c r="U397" s="19" t="inlineStr">
        <is>
          <t>100942</t>
        </is>
      </c>
      <c r="W397" t="inlineStr">
        <is>
          <t>ambíguo: 215293 (75%) vs VETMAX-PLUS-4COMP</t>
        </is>
      </c>
      <c r="X397" t="n">
        <v>51</v>
      </c>
      <c r="Y397" t="inlineStr"/>
    </row>
    <row r="398" ht="15" customFormat="1" customHeight="1" s="19">
      <c r="A398" s="14" t="inlineStr">
        <is>
          <t>Espaço De Bicho</t>
        </is>
      </c>
      <c r="B398" s="14" t="inlineStr">
        <is>
          <t>Vetmax Plus Blister 4 Comprimidos Vermífugo - Vetnil</t>
        </is>
      </c>
      <c r="C398" s="14" t="inlineStr">
        <is>
          <t>8 Comprimidos</t>
        </is>
      </c>
      <c r="D398" s="14" t="inlineStr">
        <is>
          <t>VETMAX-PLUS-8COMP</t>
        </is>
      </c>
      <c r="E398" s="14" t="inlineStr">
        <is>
          <t>58210761591</t>
        </is>
      </c>
      <c r="F398" s="14" t="inlineStr">
        <is>
          <t>228805508333</t>
        </is>
      </c>
      <c r="G398" s="14" t="inlineStr">
        <is>
          <t>NORMAL</t>
        </is>
      </c>
      <c r="H398" s="15" t="n">
        <v>89.90000000000001</v>
      </c>
      <c r="I398" s="15" t="n">
        <v>76.90000000000001</v>
      </c>
      <c r="J398" s="16" t="inlineStr">
        <is>
          <t>SIM</t>
        </is>
      </c>
      <c r="K398" s="15" t="n">
        <v>76.90000000000001</v>
      </c>
      <c r="L398" s="35">
        <f>IF(K398&lt;&gt;"",K398,I398)</f>
        <v/>
      </c>
      <c r="M398" s="28" t="n"/>
      <c r="N398" s="28" t="n"/>
      <c r="O398" s="29" t="n"/>
      <c r="P398" s="80">
        <f>IF($O398="","",L398-O398-(L398*IF(L398&lt;=79.99,20%,14%)+IF(L398&lt;=79.99,4,IF(L398&lt;=99.99,16,IF(L398&lt;=199.99,20,IF(L398&lt;=499.99,26,28)))))-L398*1.3%-L398*6%-(L398-O398)*9.25%-L398*3%-L398*3%-1)</f>
        <v/>
      </c>
      <c r="Q398" s="17">
        <f>IF(AND(K398&lt;&gt;"",H398&gt;0),(H398-K398)/H398,"")</f>
        <v/>
      </c>
      <c r="R398" s="14" t="inlineStr">
        <is>
          <t>909477973245952</t>
        </is>
      </c>
      <c r="S398" s="18" t="n">
        <v>46144.38263888889</v>
      </c>
      <c r="T398" s="18" t="n">
        <v>46295.4375</v>
      </c>
      <c r="U398" s="14" t="inlineStr">
        <is>
          <t>100942</t>
        </is>
      </c>
      <c r="W398" t="inlineStr">
        <is>
          <t>sem correspondência</t>
        </is>
      </c>
      <c r="Y398" t="inlineStr"/>
    </row>
    <row r="399" ht="15" customFormat="1" customHeight="1" s="14">
      <c r="A399" s="19" t="inlineStr">
        <is>
          <t>Espaço De Bicho</t>
        </is>
      </c>
      <c r="B399" s="19" t="inlineStr">
        <is>
          <t>Vetmedin Mastigavel Para Caes 5mg C/ 50 Comprimidos</t>
        </is>
      </c>
      <c r="C399" s="19" t="inlineStr">
        <is>
          <t>Sem variação</t>
        </is>
      </c>
      <c r="D399" s="19" t="inlineStr">
        <is>
          <t>0039</t>
        </is>
      </c>
      <c r="E399" s="19" t="inlineStr">
        <is>
          <t>20327970016</t>
        </is>
      </c>
      <c r="F399" s="19" t="inlineStr">
        <is>
          <t>0</t>
        </is>
      </c>
      <c r="G399" s="19" t="inlineStr">
        <is>
          <t>NORMAL</t>
        </is>
      </c>
      <c r="H399" s="20" t="n">
        <v>432.9</v>
      </c>
      <c r="I399" s="20" t="n">
        <v>432.9</v>
      </c>
      <c r="J399" s="21" t="inlineStr">
        <is>
          <t>NÃO</t>
        </is>
      </c>
      <c r="K399" s="20" t="n"/>
      <c r="L399" s="35">
        <f>IF(K399&lt;&gt;"",K399,I399)</f>
        <v/>
      </c>
      <c r="M399" s="30" t="n"/>
      <c r="N399" s="30" t="n"/>
      <c r="O399" s="31" t="n"/>
      <c r="P399" s="80">
        <f>IF($O399="","",L399-O399-(L399*IF(L399&lt;=79.99,20%,14%)+IF(L399&lt;=79.99,4,IF(L399&lt;=99.99,16,IF(L399&lt;=199.99,20,IF(L399&lt;=499.99,26,28)))))-L399*1.3%-L399*6%-(L399-O399)*9.25%-L399*3%-L399*3%-1)</f>
        <v/>
      </c>
      <c r="Q399" s="22">
        <f>IF(AND(K399&lt;&gt;"",H399&gt;0),(H399-K399)/H399,"")</f>
        <v/>
      </c>
      <c r="R399" s="19" t="inlineStr"/>
      <c r="S399" s="23" t="n"/>
      <c r="T399" s="23" t="n"/>
      <c r="U399" s="19" t="inlineStr">
        <is>
          <t>100942</t>
        </is>
      </c>
      <c r="W399" t="inlineStr">
        <is>
          <t>sem correspondência</t>
        </is>
      </c>
      <c r="Y399" t="inlineStr"/>
    </row>
    <row r="400" ht="15" customFormat="1" customHeight="1" s="19">
      <c r="A400" s="19" t="inlineStr">
        <is>
          <t>Espaço De Bicho</t>
        </is>
      </c>
      <c r="B400" s="19" t="inlineStr">
        <is>
          <t>VITA VET C PO 500GR</t>
        </is>
      </c>
      <c r="C400" s="19" t="inlineStr">
        <is>
          <t>Sem variação</t>
        </is>
      </c>
      <c r="D400" s="19" t="inlineStr">
        <is>
          <t>VITAVET-500G</t>
        </is>
      </c>
      <c r="E400" s="19" t="inlineStr">
        <is>
          <t>44964961345</t>
        </is>
      </c>
      <c r="F400" s="19" t="inlineStr">
        <is>
          <t>0</t>
        </is>
      </c>
      <c r="G400" s="19" t="inlineStr">
        <is>
          <t>NORMAL</t>
        </is>
      </c>
      <c r="H400" s="20" t="n">
        <v>467.8</v>
      </c>
      <c r="I400" s="20" t="n">
        <v>467.8</v>
      </c>
      <c r="J400" s="21" t="inlineStr">
        <is>
          <t>NÃO</t>
        </is>
      </c>
      <c r="K400" s="20" t="n"/>
      <c r="L400" s="35">
        <f>IF(K400&lt;&gt;"",K400,I400)</f>
        <v/>
      </c>
      <c r="M400" s="30" t="n"/>
      <c r="N400" s="30" t="n"/>
      <c r="O400" s="31" t="n"/>
      <c r="P400" s="80">
        <f>IF($O400="","",L400-O400-(L400*IF(L400&lt;=79.99,20%,14%)+IF(L400&lt;=79.99,4,IF(L400&lt;=99.99,16,IF(L400&lt;=199.99,20,IF(L400&lt;=499.99,26,28)))))-L400*1.3%-L400*6%-(L400-O400)*9.25%-L400*3%-L400*3%-1)</f>
        <v/>
      </c>
      <c r="Q400" s="22">
        <f>IF(AND(K400&lt;&gt;"",H400&gt;0),(H400-K400)/H400,"")</f>
        <v/>
      </c>
      <c r="R400" s="19" t="inlineStr"/>
      <c r="S400" s="23" t="n"/>
      <c r="T400" s="23" t="n"/>
      <c r="U400" s="19" t="inlineStr">
        <is>
          <t>100944</t>
        </is>
      </c>
      <c r="W400" t="inlineStr">
        <is>
          <t>sem correspondência</t>
        </is>
      </c>
      <c r="Y400" t="inlineStr"/>
    </row>
    <row r="401" ht="15" customFormat="1" customHeight="1" s="14">
      <c r="A401" s="14" t="inlineStr">
        <is>
          <t>Jacartta</t>
        </is>
      </c>
      <c r="B401" s="14" t="inlineStr">
        <is>
          <t>10x SENSPERT CINOMOSE</t>
        </is>
      </c>
      <c r="C401" s="14" t="inlineStr">
        <is>
          <t>Sem variação</t>
        </is>
      </c>
      <c r="D401" s="14" t="inlineStr">
        <is>
          <t>0030</t>
        </is>
      </c>
      <c r="E401" s="14" t="inlineStr">
        <is>
          <t>9074389155</t>
        </is>
      </c>
      <c r="F401" s="14" t="inlineStr">
        <is>
          <t>0</t>
        </is>
      </c>
      <c r="G401" s="14" t="inlineStr">
        <is>
          <t>NORMAL</t>
        </is>
      </c>
      <c r="H401" s="15" t="n">
        <v>1248</v>
      </c>
      <c r="I401" s="15" t="n">
        <v>699.9</v>
      </c>
      <c r="J401" s="16" t="inlineStr">
        <is>
          <t>SIM</t>
        </is>
      </c>
      <c r="K401" s="15" t="n">
        <v>699.9</v>
      </c>
      <c r="L401" s="35">
        <f>IF(K401&lt;&gt;"",K401,I401)</f>
        <v/>
      </c>
      <c r="M401" s="84" t="n">
        <v>1</v>
      </c>
      <c r="N401" s="85" t="n">
        <v>26.5</v>
      </c>
      <c r="O401" s="80">
        <f>ROUND(M401*N401,2)</f>
        <v/>
      </c>
      <c r="P401" s="80">
        <f>IF($O401="","",L401-O401-(L401*IF(L401&lt;=79.99,20%,14%)+IF(L401&lt;=79.99,4,IF(L401&lt;=99.99,16,IF(L401&lt;=199.99,20,IF(L401&lt;=499.99,26,28)))))-L401*1.3%-L401*6%-(L401-O401)*9.25%-L401*3%-L401*3%-1)</f>
        <v/>
      </c>
      <c r="Q401" s="17">
        <f>IF(AND(K401&lt;&gt;"",H401&gt;0),(H401-K401)/H401,"")</f>
        <v/>
      </c>
      <c r="R401" s="14" t="inlineStr">
        <is>
          <t>909481504866304</t>
        </is>
      </c>
      <c r="S401" s="18" t="n">
        <v>46144.3875</v>
      </c>
      <c r="T401" s="18" t="n">
        <v>46295.4375</v>
      </c>
      <c r="U401" s="14" t="inlineStr">
        <is>
          <t>100942</t>
        </is>
      </c>
      <c r="V401" t="inlineStr">
        <is>
          <t>213487</t>
        </is>
      </c>
      <c r="W401" t="inlineStr">
        <is>
          <t>SKU do de-para</t>
        </is>
      </c>
      <c r="X401" t="n">
        <v>9</v>
      </c>
      <c r="Y401" t="inlineStr">
        <is>
          <t>ok</t>
        </is>
      </c>
    </row>
    <row r="402" ht="15" customFormat="1" customHeight="1" s="19">
      <c r="A402" s="19" t="inlineStr">
        <is>
          <t>Jacartta</t>
        </is>
      </c>
      <c r="B402" s="19" t="inlineStr">
        <is>
          <t>2 Alcance Anti Vespa Marimbondo Abelha Mangava 400ml Labgard</t>
        </is>
      </c>
      <c r="C402" s="19" t="inlineStr">
        <is>
          <t>Sem variação</t>
        </is>
      </c>
      <c r="D402" s="19" t="inlineStr">
        <is>
          <t>0302</t>
        </is>
      </c>
      <c r="E402" s="19" t="inlineStr">
        <is>
          <t>23791373780</t>
        </is>
      </c>
      <c r="F402" s="19" t="inlineStr">
        <is>
          <t>0</t>
        </is>
      </c>
      <c r="G402" s="19" t="inlineStr">
        <is>
          <t>NORMAL</t>
        </is>
      </c>
      <c r="H402" s="20" t="n">
        <v>163.8</v>
      </c>
      <c r="I402" s="20" t="n">
        <v>163.8</v>
      </c>
      <c r="J402" s="21" t="inlineStr">
        <is>
          <t>NÃO</t>
        </is>
      </c>
      <c r="K402" s="20" t="n"/>
      <c r="L402" s="35">
        <f>IF(K402&lt;&gt;"",K402,I402)</f>
        <v/>
      </c>
      <c r="M402" s="30" t="n"/>
      <c r="N402" s="30" t="n"/>
      <c r="O402" s="31" t="n"/>
      <c r="P402" s="80">
        <f>IF($O402="","",L402-O402-(L402*IF(L402&lt;=79.99,20%,14%)+IF(L402&lt;=79.99,4,IF(L402&lt;=99.99,16,IF(L402&lt;=199.99,20,IF(L402&lt;=499.99,26,28)))))-L402*1.3%-L402*6%-(L402-O402)*9.25%-L402*3%-L402*3%-1)</f>
        <v/>
      </c>
      <c r="Q402" s="22">
        <f>IF(AND(K402&lt;&gt;"",H402&gt;0),(H402-K402)/H402,"")</f>
        <v/>
      </c>
      <c r="R402" s="19" t="inlineStr"/>
      <c r="S402" s="23" t="n"/>
      <c r="T402" s="23" t="n"/>
      <c r="U402" s="19" t="inlineStr">
        <is>
          <t>100942</t>
        </is>
      </c>
      <c r="W402" t="inlineStr">
        <is>
          <t>sem correspondência</t>
        </is>
      </c>
      <c r="Y402" t="inlineStr"/>
    </row>
    <row r="403" ht="15" customFormat="1" customHeight="1" s="14">
      <c r="A403" s="19" t="inlineStr">
        <is>
          <t>Jacartta</t>
        </is>
      </c>
      <c r="B403" s="19" t="inlineStr">
        <is>
          <t>3 Rolos Removedor De Pelos Pet de Gato e Cachorro Removedor de pelos</t>
        </is>
      </c>
      <c r="C403" s="19" t="inlineStr">
        <is>
          <t>1 Unidades</t>
        </is>
      </c>
      <c r="D403" s="19" t="inlineStr">
        <is>
          <t>854</t>
        </is>
      </c>
      <c r="E403" s="19" t="inlineStr">
        <is>
          <t>23494514165</t>
        </is>
      </c>
      <c r="F403" s="19" t="inlineStr">
        <is>
          <t>189180496160</t>
        </is>
      </c>
      <c r="G403" s="19" t="inlineStr">
        <is>
          <t>NORMAL</t>
        </is>
      </c>
      <c r="H403" s="20" t="n">
        <v>89.90000000000001</v>
      </c>
      <c r="I403" s="20" t="n">
        <v>24.9</v>
      </c>
      <c r="J403" s="21" t="inlineStr">
        <is>
          <t>SIM</t>
        </is>
      </c>
      <c r="K403" s="20" t="n">
        <v>24.9</v>
      </c>
      <c r="L403" s="35">
        <f>IF(K403&lt;&gt;"",K403,I403)</f>
        <v/>
      </c>
      <c r="M403" s="30" t="n"/>
      <c r="N403" s="30" t="n"/>
      <c r="O403" s="29" t="n"/>
      <c r="P403" s="80">
        <f>IF($O403="","",L403-O403-(L403*IF(L403&lt;=79.99,20%,14%)+IF(L403&lt;=79.99,4,IF(L403&lt;=99.99,16,IF(L403&lt;=199.99,20,IF(L403&lt;=499.99,26,28)))))-L403*1.3%-L403*6%-(L403-O403)*9.25%-L403*3%-L403*3%-1)</f>
        <v/>
      </c>
      <c r="Q403" s="22">
        <f>IF(AND(K403&lt;&gt;"",H403&gt;0),(H403-K403)/H403,"")</f>
        <v/>
      </c>
      <c r="R403" s="19" t="inlineStr">
        <is>
          <t>478386871025791</t>
        </is>
      </c>
      <c r="S403" s="23" t="n">
        <v>46209.64583333334</v>
      </c>
      <c r="T403" s="23" t="n">
        <v>46326.99930555555</v>
      </c>
      <c r="U403" s="19" t="inlineStr">
        <is>
          <t>100419</t>
        </is>
      </c>
      <c r="W403" t="inlineStr">
        <is>
          <t>sem correspondência</t>
        </is>
      </c>
      <c r="Y403" t="inlineStr"/>
    </row>
    <row r="404" ht="15" customFormat="1" customHeight="1" s="19">
      <c r="A404" s="19" t="inlineStr">
        <is>
          <t>Jacartta</t>
        </is>
      </c>
      <c r="B404" s="19" t="inlineStr">
        <is>
          <t>3 Rolos Removedor De Pelos Pet de Gato e Cachorro Removedor de pelos</t>
        </is>
      </c>
      <c r="C404" s="19" t="inlineStr">
        <is>
          <t>3 Unidades</t>
        </is>
      </c>
      <c r="D404" s="19" t="inlineStr">
        <is>
          <t>854</t>
        </is>
      </c>
      <c r="E404" s="19" t="inlineStr">
        <is>
          <t>23494514165</t>
        </is>
      </c>
      <c r="F404" s="19" t="inlineStr">
        <is>
          <t>189180496159</t>
        </is>
      </c>
      <c r="G404" s="19" t="inlineStr">
        <is>
          <t>NORMAL</t>
        </is>
      </c>
      <c r="H404" s="20" t="n">
        <v>89.90000000000001</v>
      </c>
      <c r="I404" s="20" t="n">
        <v>54.9</v>
      </c>
      <c r="J404" s="21" t="inlineStr">
        <is>
          <t>SIM</t>
        </is>
      </c>
      <c r="K404" s="20" t="n">
        <v>54.9</v>
      </c>
      <c r="L404" s="35">
        <f>IF(K404&lt;&gt;"",K404,I404)</f>
        <v/>
      </c>
      <c r="M404" s="30" t="n"/>
      <c r="N404" s="30" t="n"/>
      <c r="O404" s="29" t="n"/>
      <c r="P404" s="80">
        <f>IF($O404="","",L404-O404-(L404*IF(L404&lt;=79.99,20%,14%)+IF(L404&lt;=79.99,4,IF(L404&lt;=99.99,16,IF(L404&lt;=199.99,20,IF(L404&lt;=499.99,26,28)))))-L404*1.3%-L404*6%-(L404-O404)*9.25%-L404*3%-L404*3%-1)</f>
        <v/>
      </c>
      <c r="Q404" s="22">
        <f>IF(AND(K404&lt;&gt;"",H404&gt;0),(H404-K404)/H404,"")</f>
        <v/>
      </c>
      <c r="R404" s="19" t="inlineStr">
        <is>
          <t>478386871025791</t>
        </is>
      </c>
      <c r="S404" s="23" t="n">
        <v>46209.64583333334</v>
      </c>
      <c r="T404" s="23" t="n">
        <v>46326.99930555555</v>
      </c>
      <c r="U404" s="19" t="inlineStr">
        <is>
          <t>100419</t>
        </is>
      </c>
      <c r="W404" t="inlineStr">
        <is>
          <t>sem correspondência</t>
        </is>
      </c>
      <c r="Y404" t="inlineStr"/>
    </row>
    <row r="405" ht="15" customFormat="1" customHeight="1" s="14">
      <c r="A405" s="19" t="inlineStr">
        <is>
          <t>Jacartta</t>
        </is>
      </c>
      <c r="B405" s="19" t="inlineStr">
        <is>
          <t>Alicate cortador de unha cachorros para cães pets dog profissionais</t>
        </is>
      </c>
      <c r="C405" s="19" t="inlineStr">
        <is>
          <t>Preto/Vermelho</t>
        </is>
      </c>
      <c r="D405" s="19" t="inlineStr">
        <is>
          <t>ALICATE-PET-PT/VM</t>
        </is>
      </c>
      <c r="E405" s="19" t="inlineStr">
        <is>
          <t>54264695513</t>
        </is>
      </c>
      <c r="F405" s="19" t="inlineStr">
        <is>
          <t>446262825889</t>
        </is>
      </c>
      <c r="G405" s="19" t="inlineStr">
        <is>
          <t>NORMAL</t>
        </is>
      </c>
      <c r="H405" s="20" t="n">
        <v>59.9</v>
      </c>
      <c r="I405" s="20" t="n">
        <v>59.9</v>
      </c>
      <c r="J405" s="21" t="inlineStr">
        <is>
          <t>NÃO</t>
        </is>
      </c>
      <c r="K405" s="20" t="n"/>
      <c r="L405" s="35">
        <f>IF(K405&lt;&gt;"",K405,I405)</f>
        <v/>
      </c>
      <c r="M405" s="81" t="n">
        <v>1</v>
      </c>
      <c r="N405" s="82" t="n">
        <v>3.28</v>
      </c>
      <c r="O405" s="83">
        <f>ROUND(M405*N405,2)</f>
        <v/>
      </c>
      <c r="P405" s="80">
        <f>IF($O405="","",L405-O405-(L405*IF(L405&lt;=79.99,20%,14%)+IF(L405&lt;=79.99,4,IF(L405&lt;=99.99,16,IF(L405&lt;=199.99,20,IF(L405&lt;=499.99,26,28)))))-L405*1.3%-L405*6%-(L405-O405)*9.25%-L405*3%-L405*3%-1)</f>
        <v/>
      </c>
      <c r="Q405" s="22">
        <f>IF(AND(K405&lt;&gt;"",H405&gt;0),(H405-K405)/H405,"")</f>
        <v/>
      </c>
      <c r="R405" s="19" t="inlineStr"/>
      <c r="S405" s="23" t="n"/>
      <c r="T405" s="23" t="n"/>
      <c r="U405" s="19" t="inlineStr">
        <is>
          <t>100931</t>
        </is>
      </c>
      <c r="V405" t="inlineStr">
        <is>
          <t>215132</t>
        </is>
      </c>
      <c r="W405" t="inlineStr">
        <is>
          <t>SKU do de-para</t>
        </is>
      </c>
      <c r="X405" t="n">
        <v>11</v>
      </c>
      <c r="Y405" t="inlineStr">
        <is>
          <t>ok</t>
        </is>
      </c>
    </row>
    <row r="406" ht="15" customFormat="1" customHeight="1" s="19">
      <c r="A406" s="14" t="inlineStr">
        <is>
          <t>Jacartta</t>
        </is>
      </c>
      <c r="B406" s="14" t="inlineStr">
        <is>
          <t>Antiemético Duprat Emetim Oral para Cães e Gatos 60ml</t>
        </is>
      </c>
      <c r="C406" s="14" t="inlineStr">
        <is>
          <t>Sem variação</t>
        </is>
      </c>
      <c r="D406" s="14" t="inlineStr">
        <is>
          <t>EMETIM-SOLUCAOORAL-60 ML</t>
        </is>
      </c>
      <c r="E406" s="14" t="inlineStr">
        <is>
          <t>20499903876</t>
        </is>
      </c>
      <c r="F406" s="14" t="inlineStr">
        <is>
          <t>0</t>
        </is>
      </c>
      <c r="G406" s="14" t="inlineStr">
        <is>
          <t>NORMAL</t>
        </is>
      </c>
      <c r="H406" s="15" t="n">
        <v>89.90000000000001</v>
      </c>
      <c r="I406" s="15" t="n">
        <v>18.9</v>
      </c>
      <c r="J406" s="16" t="inlineStr">
        <is>
          <t>SIM</t>
        </is>
      </c>
      <c r="K406" s="15" t="n">
        <v>18.9</v>
      </c>
      <c r="L406" s="35">
        <f>IF(K406&lt;&gt;"",K406,I406)</f>
        <v/>
      </c>
      <c r="M406" s="84" t="n">
        <v>1</v>
      </c>
      <c r="N406" s="85" t="n">
        <v>9.6</v>
      </c>
      <c r="O406" s="80">
        <f>ROUND(M406*N406,2)</f>
        <v/>
      </c>
      <c r="P406" s="80">
        <f>IF($O406="","",L406-O406-(L406*IF(L406&lt;=79.99,20%,14%)+IF(L406&lt;=79.99,4,IF(L406&lt;=99.99,16,IF(L406&lt;=199.99,20,IF(L406&lt;=499.99,26,28)))))-L406*1.3%-L406*6%-(L406-O406)*9.25%-L406*3%-L406*3%-1)</f>
        <v/>
      </c>
      <c r="Q406" s="17">
        <f>IF(AND(K406&lt;&gt;"",H406&gt;0),(H406-K406)/H406,"")</f>
        <v/>
      </c>
      <c r="R406" s="14" t="inlineStr">
        <is>
          <t>909481504866304</t>
        </is>
      </c>
      <c r="S406" s="18" t="n">
        <v>46144.3875</v>
      </c>
      <c r="T406" s="18" t="n">
        <v>46295.4375</v>
      </c>
      <c r="U406" s="14" t="inlineStr">
        <is>
          <t>100942</t>
        </is>
      </c>
      <c r="V406" t="inlineStr">
        <is>
          <t>213643</t>
        </is>
      </c>
      <c r="W406" t="inlineStr">
        <is>
          <t>venda casada (1 pedido)</t>
        </is>
      </c>
      <c r="X406" t="n">
        <v>1</v>
      </c>
      <c r="Y406" t="inlineStr">
        <is>
          <t>⚠ evidência fraca (1 pedido)</t>
        </is>
      </c>
    </row>
    <row r="407" ht="15" customFormat="1" customHeight="1" s="14">
      <c r="A407" s="19" t="inlineStr">
        <is>
          <t>Jacartta</t>
        </is>
      </c>
      <c r="B407" s="19" t="inlineStr">
        <is>
          <t>Antiparasitário Nexgard Spectra P Para Cães de 2kg a 60kg- 1 Comprimido</t>
        </is>
      </c>
      <c r="C407" s="19" t="inlineStr">
        <is>
          <t>Nexgard Spectra 15 a 30kg</t>
        </is>
      </c>
      <c r="D407" s="19" t="inlineStr">
        <is>
          <t>NEXGARD-SPECTRA-15-30</t>
        </is>
      </c>
      <c r="E407" s="19" t="inlineStr">
        <is>
          <t>21597750259</t>
        </is>
      </c>
      <c r="F407" s="19" t="inlineStr">
        <is>
          <t>189164116366</t>
        </is>
      </c>
      <c r="G407" s="19" t="inlineStr">
        <is>
          <t>NORMAL</t>
        </is>
      </c>
      <c r="H407" s="20" t="n">
        <v>150.9</v>
      </c>
      <c r="I407" s="20" t="n">
        <v>150.9</v>
      </c>
      <c r="J407" s="21" t="inlineStr">
        <is>
          <t>NÃO</t>
        </is>
      </c>
      <c r="K407" s="20" t="n"/>
      <c r="L407" s="35">
        <f>IF(K407&lt;&gt;"",K407,I407)</f>
        <v/>
      </c>
      <c r="M407" s="30" t="n"/>
      <c r="N407" s="30" t="n"/>
      <c r="O407" s="31" t="n"/>
      <c r="P407" s="80">
        <f>IF($O407="","",L407-O407-(L407*IF(L407&lt;=79.99,20%,14%)+IF(L407&lt;=79.99,4,IF(L407&lt;=99.99,16,IF(L407&lt;=199.99,20,IF(L407&lt;=499.99,26,28)))))-L407*1.3%-L407*6%-(L407-O407)*9.25%-L407*3%-L407*3%-1)</f>
        <v/>
      </c>
      <c r="Q407" s="22">
        <f>IF(AND(K407&lt;&gt;"",H407&gt;0),(H407-K407)/H407,"")</f>
        <v/>
      </c>
      <c r="R407" s="19" t="inlineStr"/>
      <c r="S407" s="23" t="n"/>
      <c r="T407" s="23" t="n"/>
      <c r="U407" s="19" t="inlineStr">
        <is>
          <t>100942</t>
        </is>
      </c>
      <c r="V407" t="inlineStr">
        <is>
          <t>NEXGARD-SPECTRA-7,5-15</t>
        </is>
      </c>
      <c r="W407" t="inlineStr">
        <is>
          <t>herdado do anúncio</t>
        </is>
      </c>
      <c r="Y407" t="inlineStr">
        <is>
          <t>ok</t>
        </is>
      </c>
    </row>
    <row r="408" ht="15" customFormat="1" customHeight="1" s="19">
      <c r="A408" s="14" t="inlineStr">
        <is>
          <t>Jacartta</t>
        </is>
      </c>
      <c r="B408" s="14" t="inlineStr">
        <is>
          <t>Antiparasitário Nexgard Spectra P Para Cães de 2kg a 60kg- 1 Comprimido</t>
        </is>
      </c>
      <c r="C408" s="14" t="inlineStr">
        <is>
          <t>Nexgard Spectra 2 a 3,5kg</t>
        </is>
      </c>
      <c r="D408" s="14" t="inlineStr">
        <is>
          <t>NEXGARD-SPECTRA-2-3,5</t>
        </is>
      </c>
      <c r="E408" s="14" t="inlineStr">
        <is>
          <t>21597750259</t>
        </is>
      </c>
      <c r="F408" s="14" t="inlineStr">
        <is>
          <t>189164116363</t>
        </is>
      </c>
      <c r="G408" s="14" t="inlineStr">
        <is>
          <t>NORMAL</t>
        </is>
      </c>
      <c r="H408" s="15" t="n">
        <v>99.90000000000001</v>
      </c>
      <c r="I408" s="15" t="n">
        <v>99.90000000000001</v>
      </c>
      <c r="J408" s="16" t="inlineStr">
        <is>
          <t>NÃO</t>
        </is>
      </c>
      <c r="K408" s="15" t="n"/>
      <c r="L408" s="35">
        <f>IF(K408&lt;&gt;"",K408,I408)</f>
        <v/>
      </c>
      <c r="M408" s="28" t="n"/>
      <c r="N408" s="28" t="n"/>
      <c r="O408" s="29" t="n"/>
      <c r="P408" s="80">
        <f>IF($O408="","",L408-O408-(L408*IF(L408&lt;=79.99,20%,14%)+IF(L408&lt;=79.99,4,IF(L408&lt;=99.99,16,IF(L408&lt;=199.99,20,IF(L408&lt;=499.99,26,28)))))-L408*1.3%-L408*6%-(L408-O408)*9.25%-L408*3%-L408*3%-1)</f>
        <v/>
      </c>
      <c r="Q408" s="17">
        <f>IF(AND(K408&lt;&gt;"",H408&gt;0),(H408-K408)/H408,"")</f>
        <v/>
      </c>
      <c r="R408" s="14" t="inlineStr"/>
      <c r="S408" s="18" t="n"/>
      <c r="T408" s="18" t="n"/>
      <c r="U408" s="14" t="inlineStr">
        <is>
          <t>100942</t>
        </is>
      </c>
      <c r="V408" t="inlineStr">
        <is>
          <t>NEXGARD-SPECTRA-7,5-15</t>
        </is>
      </c>
      <c r="W408" t="inlineStr">
        <is>
          <t>herdado do anúncio</t>
        </is>
      </c>
      <c r="Y408" t="inlineStr">
        <is>
          <t>ok</t>
        </is>
      </c>
    </row>
    <row r="409" ht="15" customFormat="1" customHeight="1" s="14">
      <c r="A409" s="19" t="inlineStr">
        <is>
          <t>Jacartta</t>
        </is>
      </c>
      <c r="B409" s="19" t="inlineStr">
        <is>
          <t>Antiparasitário Nexgard Spectra P Para Cães de 2kg a 60kg- 1 Comprimido</t>
        </is>
      </c>
      <c r="C409" s="19" t="inlineStr">
        <is>
          <t>Nexgard Spectra 3,6 a 7,5kg</t>
        </is>
      </c>
      <c r="D409" s="19" t="inlineStr">
        <is>
          <t>NEXGARD-SPECTRA-3,6-7,5</t>
        </is>
      </c>
      <c r="E409" s="19" t="inlineStr">
        <is>
          <t>21597750259</t>
        </is>
      </c>
      <c r="F409" s="19" t="inlineStr">
        <is>
          <t>189164116364</t>
        </is>
      </c>
      <c r="G409" s="19" t="inlineStr">
        <is>
          <t>NORMAL</t>
        </is>
      </c>
      <c r="H409" s="20" t="n">
        <v>99.90000000000001</v>
      </c>
      <c r="I409" s="20" t="n">
        <v>99.90000000000001</v>
      </c>
      <c r="J409" s="21" t="inlineStr">
        <is>
          <t>NÃO</t>
        </is>
      </c>
      <c r="K409" s="20" t="n"/>
      <c r="L409" s="35">
        <f>IF(K409&lt;&gt;"",K409,I409)</f>
        <v/>
      </c>
      <c r="M409" s="30" t="n"/>
      <c r="N409" s="30" t="n"/>
      <c r="O409" s="31" t="n"/>
      <c r="P409" s="80">
        <f>IF($O409="","",L409-O409-(L409*IF(L409&lt;=79.99,20%,14%)+IF(L409&lt;=79.99,4,IF(L409&lt;=99.99,16,IF(L409&lt;=199.99,20,IF(L409&lt;=499.99,26,28)))))-L409*1.3%-L409*6%-(L409-O409)*9.25%-L409*3%-L409*3%-1)</f>
        <v/>
      </c>
      <c r="Q409" s="22">
        <f>IF(AND(K409&lt;&gt;"",H409&gt;0),(H409-K409)/H409,"")</f>
        <v/>
      </c>
      <c r="R409" s="19" t="inlineStr"/>
      <c r="S409" s="23" t="n"/>
      <c r="T409" s="23" t="n"/>
      <c r="U409" s="19" t="inlineStr">
        <is>
          <t>100942</t>
        </is>
      </c>
      <c r="V409" t="inlineStr">
        <is>
          <t>NEXGARD-SPECTRA-7,5-15</t>
        </is>
      </c>
      <c r="W409" t="inlineStr">
        <is>
          <t>herdado do anúncio</t>
        </is>
      </c>
      <c r="Y409" t="inlineStr">
        <is>
          <t>ok</t>
        </is>
      </c>
    </row>
    <row r="410" ht="15" customFormat="1" customHeight="1" s="19">
      <c r="A410" s="14" t="inlineStr">
        <is>
          <t>Jacartta</t>
        </is>
      </c>
      <c r="B410" s="14" t="inlineStr">
        <is>
          <t>Antiparasitário Nexgard Spectra P Para Cães de 2kg a 60kg- 1 Comprimido</t>
        </is>
      </c>
      <c r="C410" s="14" t="inlineStr">
        <is>
          <t>Nexgard Spectra 30 a 60kg</t>
        </is>
      </c>
      <c r="D410" s="14" t="inlineStr">
        <is>
          <t>NEXGARD-SPECTRA-30-60</t>
        </is>
      </c>
      <c r="E410" s="14" t="inlineStr">
        <is>
          <t>21597750259</t>
        </is>
      </c>
      <c r="F410" s="14" t="inlineStr">
        <is>
          <t>189164116362</t>
        </is>
      </c>
      <c r="G410" s="14" t="inlineStr">
        <is>
          <t>NORMAL</t>
        </is>
      </c>
      <c r="H410" s="15" t="n">
        <v>150.9</v>
      </c>
      <c r="I410" s="15" t="n">
        <v>150.9</v>
      </c>
      <c r="J410" s="16" t="inlineStr">
        <is>
          <t>NÃO</t>
        </is>
      </c>
      <c r="K410" s="15" t="n"/>
      <c r="L410" s="35">
        <f>IF(K410&lt;&gt;"",K410,I410)</f>
        <v/>
      </c>
      <c r="M410" s="28" t="n"/>
      <c r="N410" s="28" t="n"/>
      <c r="O410" s="29" t="n"/>
      <c r="P410" s="80">
        <f>IF($O410="","",L410-O410-(L410*IF(L410&lt;=79.99,20%,14%)+IF(L410&lt;=79.99,4,IF(L410&lt;=99.99,16,IF(L410&lt;=199.99,20,IF(L410&lt;=499.99,26,28)))))-L410*1.3%-L410*6%-(L410-O410)*9.25%-L410*3%-L410*3%-1)</f>
        <v/>
      </c>
      <c r="Q410" s="17">
        <f>IF(AND(K410&lt;&gt;"",H410&gt;0),(H410-K410)/H410,"")</f>
        <v/>
      </c>
      <c r="R410" s="14" t="inlineStr"/>
      <c r="S410" s="18" t="n"/>
      <c r="T410" s="18" t="n"/>
      <c r="U410" s="14" t="inlineStr">
        <is>
          <t>100942</t>
        </is>
      </c>
      <c r="V410" t="inlineStr">
        <is>
          <t>NEXGARD-SPECTRA-7,5-15</t>
        </is>
      </c>
      <c r="W410" t="inlineStr">
        <is>
          <t>herdado do anúncio</t>
        </is>
      </c>
      <c r="Y410" t="inlineStr">
        <is>
          <t>ok</t>
        </is>
      </c>
    </row>
    <row r="411" ht="15" customFormat="1" customHeight="1" s="14">
      <c r="A411" s="19" t="inlineStr">
        <is>
          <t>Jacartta</t>
        </is>
      </c>
      <c r="B411" s="19" t="inlineStr">
        <is>
          <t>Antiparasitário Nexgard Spectra P Para Cães de 2kg a 60kg- 1 Comprimido</t>
        </is>
      </c>
      <c r="C411" s="19" t="inlineStr">
        <is>
          <t>Nexgard Spectra 7,5 a 15kg</t>
        </is>
      </c>
      <c r="D411" s="19" t="inlineStr">
        <is>
          <t>NEXGARD-SPECTRA-7,5-15</t>
        </is>
      </c>
      <c r="E411" s="19" t="inlineStr">
        <is>
          <t>21597750259</t>
        </is>
      </c>
      <c r="F411" s="19" t="inlineStr">
        <is>
          <t>189164116365</t>
        </is>
      </c>
      <c r="G411" s="19" t="inlineStr">
        <is>
          <t>NORMAL</t>
        </is>
      </c>
      <c r="H411" s="20" t="n">
        <v>120.9</v>
      </c>
      <c r="I411" s="20" t="n">
        <v>79.90000000000001</v>
      </c>
      <c r="J411" s="21" t="inlineStr">
        <is>
          <t>SIM</t>
        </is>
      </c>
      <c r="K411" s="20" t="n">
        <v>79.90000000000001</v>
      </c>
      <c r="L411" s="35">
        <f>IF(K411&lt;&gt;"",K411,I411)</f>
        <v/>
      </c>
      <c r="M411" s="30" t="n"/>
      <c r="N411" s="30" t="n"/>
      <c r="O411" s="29" t="n"/>
      <c r="P411" s="80">
        <f>IF($O411="","",L411-O411-(L411*IF(L411&lt;=79.99,20%,14%)+IF(L411&lt;=79.99,4,IF(L411&lt;=99.99,16,IF(L411&lt;=199.99,20,IF(L411&lt;=499.99,26,28)))))-L411*1.3%-L411*6%-(L411-O411)*9.25%-L411*3%-L411*3%-1)</f>
        <v/>
      </c>
      <c r="Q411" s="22">
        <f>IF(AND(K411&lt;&gt;"",H411&gt;0),(H411-K411)/H411,"")</f>
        <v/>
      </c>
      <c r="R411" s="19" t="inlineStr">
        <is>
          <t>909481504866304</t>
        </is>
      </c>
      <c r="S411" s="23" t="n">
        <v>46144.3875</v>
      </c>
      <c r="T411" s="23" t="n">
        <v>46295.4375</v>
      </c>
      <c r="U411" s="19" t="inlineStr">
        <is>
          <t>100942</t>
        </is>
      </c>
      <c r="V411" t="inlineStr">
        <is>
          <t>NEXGARD-SPECTRA-7,5-15</t>
        </is>
      </c>
      <c r="W411" t="inlineStr">
        <is>
          <t>venda casada (1 pedido)</t>
        </is>
      </c>
      <c r="X411" t="n">
        <v>1</v>
      </c>
      <c r="Y411" t="inlineStr">
        <is>
          <t>⚠ evidência fraca (1 pedido)</t>
        </is>
      </c>
    </row>
    <row r="412" ht="15" customFormat="1" customHeight="1" s="19">
      <c r="A412" s="14" t="inlineStr">
        <is>
          <t>Jacartta</t>
        </is>
      </c>
      <c r="B412" s="14" t="inlineStr">
        <is>
          <t>Tapete Higiênico 30 Unidades Espaço De Bicho Shopito Oficial Aroma De Bebê  Envio Imediato</t>
        </is>
      </c>
      <c r="C412" s="14" t="inlineStr">
        <is>
          <t>Sem variação</t>
        </is>
      </c>
      <c r="D412" s="14" t="inlineStr">
        <is>
          <t>1700</t>
        </is>
      </c>
      <c r="E412" s="14" t="inlineStr">
        <is>
          <t>22793665270</t>
        </is>
      </c>
      <c r="F412" s="14" t="inlineStr">
        <is>
          <t>0</t>
        </is>
      </c>
      <c r="G412" s="14" t="inlineStr">
        <is>
          <t>NORMAL</t>
        </is>
      </c>
      <c r="H412" s="15" t="n">
        <v>99.90000000000001</v>
      </c>
      <c r="I412" s="15" t="n">
        <v>64.90000000000001</v>
      </c>
      <c r="J412" s="16" t="inlineStr">
        <is>
          <t>SIM</t>
        </is>
      </c>
      <c r="K412" s="15" t="n">
        <v>64.90000000000001</v>
      </c>
      <c r="L412" s="35">
        <f>IF(K412&lt;&gt;"",K412,I412)</f>
        <v/>
      </c>
      <c r="M412" s="84" t="n">
        <v>1</v>
      </c>
      <c r="N412" s="85" t="n">
        <v>28.64</v>
      </c>
      <c r="O412" s="80">
        <f>ROUND(M412*N412,2)</f>
        <v/>
      </c>
      <c r="P412" s="80">
        <f>IF($O412="","",L412-O412-(L412*IF(L412&lt;=79.99,20%,14%)+IF(L412&lt;=79.99,4,IF(L412&lt;=99.99,16,IF(L412&lt;=199.99,20,IF(L412&lt;=499.99,26,28)))))-L412*1.3%-L412*6%-(L412-O412)*9.25%-L412*3%-L412*3%-1)</f>
        <v/>
      </c>
      <c r="Q412" s="17">
        <f>IF(AND(K412&lt;&gt;"",H412&gt;0),(H412-K412)/H412,"")</f>
        <v/>
      </c>
      <c r="R412" s="14" t="inlineStr">
        <is>
          <t>909480791819264</t>
        </is>
      </c>
      <c r="S412" s="18" t="n">
        <v>46144.38611111111</v>
      </c>
      <c r="T412" s="18" t="n">
        <v>46295.4375</v>
      </c>
      <c r="U412" s="14" t="inlineStr">
        <is>
          <t>100926</t>
        </is>
      </c>
      <c r="V412" t="inlineStr">
        <is>
          <t>213173</t>
        </is>
      </c>
      <c r="W412" t="inlineStr">
        <is>
          <t>venda casada (6 pedidos) · custo do KIT 213817 (1× 213173)</t>
        </is>
      </c>
      <c r="X412" t="n">
        <v>6</v>
      </c>
      <c r="Y412" t="inlineStr">
        <is>
          <t>ok</t>
        </is>
      </c>
    </row>
    <row r="413" ht="15" customFormat="1" customHeight="1" s="14">
      <c r="A413" s="14" t="inlineStr">
        <is>
          <t>Jacartta</t>
        </is>
      </c>
      <c r="B413" s="14" t="inlineStr">
        <is>
          <t>Kit Tapete Higiênico Ultra Espaço De Bicho 60unid 80x60cm Aroma Lavanda</t>
        </is>
      </c>
      <c r="C413" s="14" t="inlineStr">
        <is>
          <t>Sem variação</t>
        </is>
      </c>
      <c r="D413" s="14" t="inlineStr">
        <is>
          <t>Espaço-de-bicho-lavanda-60 UN</t>
        </is>
      </c>
      <c r="E413" s="14" t="inlineStr">
        <is>
          <t>21299048310</t>
        </is>
      </c>
      <c r="F413" s="14" t="inlineStr">
        <is>
          <t>0</t>
        </is>
      </c>
      <c r="G413" s="14" t="inlineStr">
        <is>
          <t>NORMAL</t>
        </is>
      </c>
      <c r="H413" s="15" t="n">
        <v>150.9</v>
      </c>
      <c r="I413" s="15" t="n">
        <v>119.9</v>
      </c>
      <c r="J413" s="16" t="inlineStr">
        <is>
          <t>SIM</t>
        </is>
      </c>
      <c r="K413" s="15" t="n">
        <v>119.9</v>
      </c>
      <c r="L413" s="35">
        <f>IF(K413&lt;&gt;"",K413,I413)</f>
        <v/>
      </c>
      <c r="M413" s="84" t="n">
        <v>2</v>
      </c>
      <c r="N413" s="85" t="n">
        <v>30.99</v>
      </c>
      <c r="O413" s="80">
        <f>ROUND(M413*N413,2)</f>
        <v/>
      </c>
      <c r="P413" s="80">
        <f>IF($O413="","",L413-O413-(L413*IF(L413&lt;=79.99,20%,14%)+IF(L413&lt;=79.99,4,IF(L413&lt;=99.99,16,IF(L413&lt;=199.99,20,IF(L413&lt;=499.99,26,28)))))-L413*1.3%-L413*6%-(L413-O413)*9.25%-L413*3%-L413*3%-1)</f>
        <v/>
      </c>
      <c r="Q413" s="17">
        <f>IF(AND(K413&lt;&gt;"",H413&gt;0),(H413-K413)/H413,"")</f>
        <v/>
      </c>
      <c r="R413" s="14" t="inlineStr">
        <is>
          <t>909481253191680</t>
        </is>
      </c>
      <c r="S413" s="18" t="n">
        <v>46144.38680555556</v>
      </c>
      <c r="T413" s="18" t="n">
        <v>46295.4375</v>
      </c>
      <c r="U413" s="14" t="inlineStr">
        <is>
          <t>100926</t>
        </is>
      </c>
      <c r="V413" t="inlineStr">
        <is>
          <t>212965</t>
        </is>
      </c>
      <c r="W413" t="inlineStr">
        <is>
          <t>venda casada (12 pedidos) · custo do KIT 212460 (2× 212965)</t>
        </is>
      </c>
      <c r="X413" t="n">
        <v>12</v>
      </c>
      <c r="Y413" t="inlineStr">
        <is>
          <t>ok</t>
        </is>
      </c>
    </row>
    <row r="414" ht="15" customFormat="1" customHeight="1" s="19">
      <c r="A414" s="19" t="inlineStr">
        <is>
          <t>Espaço De Bicho</t>
        </is>
      </c>
      <c r="B414" s="19" t="inlineStr">
        <is>
          <t>Kit Tapetes Higiênico 60 Unidades para Cachorro Espaço De Bicho  Pet 60x50cm</t>
        </is>
      </c>
      <c r="C414" s="19" t="inlineStr">
        <is>
          <t>Sem variação</t>
        </is>
      </c>
      <c r="D414" s="19" t="inlineStr">
        <is>
          <t>60UNI-TAPETE-EPCBICHO-60X50</t>
        </is>
      </c>
      <c r="E414" s="19" t="inlineStr">
        <is>
          <t>22293586711</t>
        </is>
      </c>
      <c r="F414" s="19" t="inlineStr">
        <is>
          <t>0</t>
        </is>
      </c>
      <c r="G414" s="19" t="inlineStr">
        <is>
          <t>NORMAL</t>
        </is>
      </c>
      <c r="H414" s="20" t="n">
        <v>89.90000000000001</v>
      </c>
      <c r="I414" s="20" t="n">
        <v>79.90000000000001</v>
      </c>
      <c r="J414" s="21" t="inlineStr">
        <is>
          <t>SIM</t>
        </is>
      </c>
      <c r="K414" s="20" t="n">
        <v>79.90000000000001</v>
      </c>
      <c r="L414" s="35">
        <f>IF(K414&lt;&gt;"",K414,I414)</f>
        <v/>
      </c>
      <c r="M414" s="81" t="n">
        <v>2</v>
      </c>
      <c r="N414" s="82" t="n">
        <v>15.87</v>
      </c>
      <c r="O414" s="83">
        <f>ROUND(M414*N414,2)</f>
        <v/>
      </c>
      <c r="P414" s="80">
        <f>IF($O414="","",L414-O414-(L414*IF(L414&lt;=79.99,20%,14%)+IF(L414&lt;=79.99,4,IF(L414&lt;=99.99,16,IF(L414&lt;=199.99,20,IF(L414&lt;=499.99,26,28)))))-L414*1.3%-L414*6%-(L414-O414)*9.25%-L414*3%-L414*3%-1)</f>
        <v/>
      </c>
      <c r="Q414" s="22">
        <f>IF(AND(K414&lt;&gt;"",H414&gt;0),(H414-K414)/H414,"")</f>
        <v/>
      </c>
      <c r="R414" s="19" t="inlineStr">
        <is>
          <t>909475783836672</t>
        </is>
      </c>
      <c r="S414" s="23" t="n">
        <v>46144.37916666667</v>
      </c>
      <c r="T414" s="23" t="n">
        <v>46295.4375</v>
      </c>
      <c r="U414" s="19" t="inlineStr">
        <is>
          <t>100926</t>
        </is>
      </c>
      <c r="V414" t="inlineStr">
        <is>
          <t>213168</t>
        </is>
      </c>
      <c r="W414" t="inlineStr">
        <is>
          <t>venda casada (46 pedidos) · custo do KIT 213848 (2× 213168)</t>
        </is>
      </c>
      <c r="X414" t="n">
        <v>46</v>
      </c>
      <c r="Y414" t="inlineStr">
        <is>
          <t>ok</t>
        </is>
      </c>
    </row>
    <row r="415" ht="15" customFormat="1" customHeight="1" s="14">
      <c r="A415" s="19" t="inlineStr">
        <is>
          <t>Espaço De Bicho</t>
        </is>
      </c>
      <c r="B415" s="19" t="inlineStr">
        <is>
          <t>Areia Higiênica Biodegradável Espaço de Bicho Grãos Finos 4kg – Milho e Mandioca (100% Natural)</t>
        </is>
      </c>
      <c r="C415" s="19" t="inlineStr">
        <is>
          <t>12KG</t>
        </is>
      </c>
      <c r="D415" s="19" t="inlineStr">
        <is>
          <t>AREIA-EDB-12KG-GF</t>
        </is>
      </c>
      <c r="E415" s="19" t="inlineStr">
        <is>
          <t>23294747653</t>
        </is>
      </c>
      <c r="F415" s="19" t="inlineStr">
        <is>
          <t>179723359890</t>
        </is>
      </c>
      <c r="G415" s="19" t="inlineStr">
        <is>
          <t>NORMAL</t>
        </is>
      </c>
      <c r="H415" s="20" t="n">
        <v>199.9</v>
      </c>
      <c r="I415" s="20" t="n">
        <v>129.9</v>
      </c>
      <c r="J415" s="21" t="inlineStr">
        <is>
          <t>SIM</t>
        </is>
      </c>
      <c r="K415" s="20" t="n">
        <v>129.9</v>
      </c>
      <c r="L415" s="35">
        <f>IF(K415&lt;&gt;"",K415,I415)</f>
        <v/>
      </c>
      <c r="M415" s="32" t="n">
        <v>3</v>
      </c>
      <c r="N415" s="30" t="n">
        <v>22.36</v>
      </c>
      <c r="O415" s="31">
        <f>N415*M415</f>
        <v/>
      </c>
      <c r="P415" s="80">
        <f>IF($O415="","",L415-O415-(L415*IF(L415&lt;=79.99,20%,14%)+IF(L415&lt;=79.99,4,IF(L415&lt;=99.99,16,IF(L415&lt;=199.99,20,IF(L415&lt;=499.99,26,28)))))-L415*1.3%-L415*6%-(L415-O415)*9.25%-L415*3%-L415*3%-1)</f>
        <v/>
      </c>
      <c r="Q415" s="22">
        <f>IF(AND(K415&lt;&gt;"",H415&gt;0),(H415-K415)/H415,"")</f>
        <v/>
      </c>
      <c r="R415" s="19" t="inlineStr">
        <is>
          <t>488116129583228</t>
        </is>
      </c>
      <c r="S415" s="23" t="n">
        <v>46236.5</v>
      </c>
      <c r="T415" s="23" t="n">
        <v>46360.99930555555</v>
      </c>
      <c r="U415" s="19" t="inlineStr">
        <is>
          <t>100923</t>
        </is>
      </c>
      <c r="V415" t="inlineStr">
        <is>
          <t>215511</t>
        </is>
      </c>
      <c r="W415" t="inlineStr">
        <is>
          <t>venda casada (130 pedidos) · QTD/custo manuais mantidos · ATENÇÃO: Olist hoje diz 28.27</t>
        </is>
      </c>
      <c r="X415" t="n">
        <v>130</v>
      </c>
      <c r="Y415" t="inlineStr">
        <is>
          <t>ok</t>
        </is>
      </c>
    </row>
    <row r="416" ht="15" customFormat="1" customHeight="1" s="19">
      <c r="A416" s="19" t="inlineStr">
        <is>
          <t>Espaço De Bicho</t>
        </is>
      </c>
      <c r="B416" s="19" t="inlineStr">
        <is>
          <t>Areia Higiênica Biodegradável Espaço de Bicho Grãos Finos 8kg – Milho e Mandioca (100% Natural)</t>
        </is>
      </c>
      <c r="C416" s="19" t="inlineStr">
        <is>
          <t>12KG,Grãos Finos</t>
        </is>
      </c>
      <c r="D416" s="19" t="inlineStr">
        <is>
          <t>AREIA-EDB-12KG-GF</t>
        </is>
      </c>
      <c r="E416" s="19" t="inlineStr">
        <is>
          <t>58252025446</t>
        </is>
      </c>
      <c r="F416" s="19" t="inlineStr">
        <is>
          <t>119872583372</t>
        </is>
      </c>
      <c r="G416" s="19" t="inlineStr">
        <is>
          <t>NORMAL</t>
        </is>
      </c>
      <c r="H416" s="20" t="n">
        <v>180.9</v>
      </c>
      <c r="I416" s="20" t="n">
        <v>129.9</v>
      </c>
      <c r="J416" s="21" t="inlineStr">
        <is>
          <t>SIM</t>
        </is>
      </c>
      <c r="K416" s="20" t="n">
        <v>129.9</v>
      </c>
      <c r="L416" s="35">
        <f>IF(K416&lt;&gt;"",K416,I416)</f>
        <v/>
      </c>
      <c r="M416" s="32" t="n">
        <v>3</v>
      </c>
      <c r="N416" s="30" t="n">
        <v>22.36</v>
      </c>
      <c r="O416" s="31">
        <f>N416*M416</f>
        <v/>
      </c>
      <c r="P416" s="80">
        <f>IF($O416="","",L416-O416-(L416*IF(L416&lt;=79.99,20%,14%)+IF(L416&lt;=79.99,4,IF(L416&lt;=99.99,16,IF(L416&lt;=199.99,20,IF(L416&lt;=499.99,26,28)))))-L416*1.3%-L416*6%-(L416-O416)*9.25%-L416*3%-L416*3%-1)</f>
        <v/>
      </c>
      <c r="Q416" s="22">
        <f>IF(AND(K416&lt;&gt;"",H416&gt;0),(H416-K416)/H416,"")</f>
        <v/>
      </c>
      <c r="R416" s="19" t="inlineStr">
        <is>
          <t>488116129583228</t>
        </is>
      </c>
      <c r="S416" s="23" t="n">
        <v>46236.5</v>
      </c>
      <c r="T416" s="23" t="n">
        <v>46360.99930555555</v>
      </c>
      <c r="U416" s="19" t="inlineStr">
        <is>
          <t>100923</t>
        </is>
      </c>
      <c r="V416" t="inlineStr">
        <is>
          <t>215511</t>
        </is>
      </c>
      <c r="W416" t="inlineStr">
        <is>
          <t>venda casada (133 pedidos) · QTD/custo manuais mantidos · ATENÇÃO: Olist hoje diz 28.27</t>
        </is>
      </c>
      <c r="X416" t="n">
        <v>133</v>
      </c>
      <c r="Y416" t="inlineStr">
        <is>
          <t>ok</t>
        </is>
      </c>
    </row>
    <row r="417" ht="15" customFormat="1" customHeight="1" s="14">
      <c r="A417" s="19" t="inlineStr">
        <is>
          <t>Espaço De Bicho</t>
        </is>
      </c>
      <c r="B417" s="19" t="inlineStr">
        <is>
          <t>Areia Higiênica Biodegradável Espaço do Bicho Grãos Mistos 4kg – Milho e Mandioca (100% Natural)</t>
        </is>
      </c>
      <c r="C417" s="19" t="inlineStr">
        <is>
          <t>12KG</t>
        </is>
      </c>
      <c r="D417" s="19" t="inlineStr">
        <is>
          <t>AREIA-EDB-12KG-GM</t>
        </is>
      </c>
      <c r="E417" s="19" t="inlineStr">
        <is>
          <t>49615170522</t>
        </is>
      </c>
      <c r="F417" s="19" t="inlineStr">
        <is>
          <t>441298984011</t>
        </is>
      </c>
      <c r="G417" s="19" t="inlineStr">
        <is>
          <t>NORMAL</t>
        </is>
      </c>
      <c r="H417" s="20" t="n">
        <v>199.9</v>
      </c>
      <c r="I417" s="20" t="n">
        <v>149.9</v>
      </c>
      <c r="J417" s="21" t="inlineStr">
        <is>
          <t>SIM</t>
        </is>
      </c>
      <c r="K417" s="20" t="n">
        <v>149.9</v>
      </c>
      <c r="L417" s="35">
        <f>IF(K417&lt;&gt;"",K417,I417)</f>
        <v/>
      </c>
      <c r="M417" s="32" t="n">
        <v>3</v>
      </c>
      <c r="N417" s="30" t="n">
        <v>22.36</v>
      </c>
      <c r="O417" s="31">
        <f>N417*M417</f>
        <v/>
      </c>
      <c r="P417" s="80">
        <f>IF($O417="","",L417-O417-(L417*IF(L417&lt;=79.99,20%,14%)+IF(L417&lt;=79.99,4,IF(L417&lt;=99.99,16,IF(L417&lt;=199.99,20,IF(L417&lt;=499.99,26,28)))))-L417*1.3%-L417*6%-(L417-O417)*9.25%-L417*3%-L417*3%-1)</f>
        <v/>
      </c>
      <c r="Q417" s="22">
        <f>IF(AND(K417&lt;&gt;"",H417&gt;0),(H417-K417)/H417,"")</f>
        <v/>
      </c>
      <c r="R417" s="19" t="inlineStr">
        <is>
          <t>488116129583228</t>
        </is>
      </c>
      <c r="S417" s="23" t="n">
        <v>46236.5</v>
      </c>
      <c r="T417" s="23" t="n">
        <v>46360.99930555555</v>
      </c>
      <c r="U417" s="19" t="inlineStr">
        <is>
          <t>100923</t>
        </is>
      </c>
      <c r="V417" t="inlineStr">
        <is>
          <t>216211</t>
        </is>
      </c>
      <c r="W417" t="inlineStr">
        <is>
          <t>herdado do anúncio · QTD/custo manuais mantidos</t>
        </is>
      </c>
      <c r="Y417" t="inlineStr">
        <is>
          <t>ok</t>
        </is>
      </c>
    </row>
    <row r="418" ht="15" customFormat="1" customHeight="1" s="19">
      <c r="A418" s="19" t="inlineStr">
        <is>
          <t>Espaço De Bicho</t>
        </is>
      </c>
      <c r="B418" s="19" t="inlineStr">
        <is>
          <t>Areia Higiênica Biodegradável Espaço do Bicho Grãos Mistos 8kg – Milho e Mandioca (100% Natural)</t>
        </is>
      </c>
      <c r="C418" s="19" t="inlineStr">
        <is>
          <t>12KG</t>
        </is>
      </c>
      <c r="D418" s="19" t="inlineStr">
        <is>
          <t>AREIA-EDB-12KG-GM</t>
        </is>
      </c>
      <c r="E418" s="19" t="inlineStr">
        <is>
          <t>53015155131</t>
        </is>
      </c>
      <c r="F418" s="19" t="inlineStr">
        <is>
          <t>186418444463</t>
        </is>
      </c>
      <c r="G418" s="19" t="inlineStr">
        <is>
          <t>NORMAL</t>
        </is>
      </c>
      <c r="H418" s="20" t="n">
        <v>180.9</v>
      </c>
      <c r="I418" s="20" t="n">
        <v>149.9</v>
      </c>
      <c r="J418" s="21" t="inlineStr">
        <is>
          <t>SIM</t>
        </is>
      </c>
      <c r="K418" s="20" t="n">
        <v>149.9</v>
      </c>
      <c r="L418" s="35">
        <f>IF(K418&lt;&gt;"",K418,I418)</f>
        <v/>
      </c>
      <c r="M418" s="32" t="n">
        <v>3</v>
      </c>
      <c r="N418" s="30" t="n">
        <v>22.36</v>
      </c>
      <c r="O418" s="31">
        <f>N418*M418</f>
        <v/>
      </c>
      <c r="P418" s="80">
        <f>IF($O418="","",L418-O418-(L418*IF(L418&lt;=79.99,20%,14%)+IF(L418&lt;=79.99,4,IF(L418&lt;=99.99,16,IF(L418&lt;=199.99,20,IF(L418&lt;=499.99,26,28)))))-L418*1.3%-L418*6%-(L418-O418)*9.25%-L418*3%-L418*3%-1)</f>
        <v/>
      </c>
      <c r="Q418" s="22">
        <f>IF(AND(K418&lt;&gt;"",H418&gt;0),(H418-K418)/H418,"")</f>
        <v/>
      </c>
      <c r="R418" s="19" t="inlineStr">
        <is>
          <t>488116129583228</t>
        </is>
      </c>
      <c r="S418" s="23" t="n">
        <v>46236.5</v>
      </c>
      <c r="T418" s="23" t="n">
        <v>46360.99930555555</v>
      </c>
      <c r="U418" s="19" t="inlineStr">
        <is>
          <t>100923</t>
        </is>
      </c>
      <c r="V418" t="inlineStr">
        <is>
          <t>216211</t>
        </is>
      </c>
      <c r="W418" t="inlineStr">
        <is>
          <t>venda casada (1 pedido) · QTD/custo manuais mantidos</t>
        </is>
      </c>
      <c r="X418" t="n">
        <v>1</v>
      </c>
      <c r="Y418" t="inlineStr">
        <is>
          <t>⚠ evidência fraca (1 pedido)</t>
        </is>
      </c>
    </row>
    <row r="419" ht="15" customFormat="1" customHeight="1" s="14">
      <c r="A419" s="19" t="inlineStr">
        <is>
          <t>Jacartta</t>
        </is>
      </c>
      <c r="B419" s="19" t="inlineStr">
        <is>
          <t>Areia Higiênica Biodegradável Espaço do Bicho Grãos Mistos 4kg – Milho e Mandioca (100% Natural)</t>
        </is>
      </c>
      <c r="C419" s="19" t="inlineStr">
        <is>
          <t>12KG</t>
        </is>
      </c>
      <c r="D419" s="19" t="inlineStr">
        <is>
          <t>AREIA-EDB-12KG-GM</t>
        </is>
      </c>
      <c r="E419" s="19" t="inlineStr">
        <is>
          <t>52465150326</t>
        </is>
      </c>
      <c r="F419" s="19" t="inlineStr">
        <is>
          <t>311299515720</t>
        </is>
      </c>
      <c r="G419" s="19" t="inlineStr">
        <is>
          <t>NORMAL</t>
        </is>
      </c>
      <c r="H419" s="20" t="n">
        <v>199.9</v>
      </c>
      <c r="I419" s="20" t="n">
        <v>199.9</v>
      </c>
      <c r="J419" s="21" t="inlineStr">
        <is>
          <t>NÃO</t>
        </is>
      </c>
      <c r="K419" s="20" t="n"/>
      <c r="L419" s="35">
        <f>IF(K419&lt;&gt;"",K419,I419)</f>
        <v/>
      </c>
      <c r="M419" s="81" t="n">
        <v>2</v>
      </c>
      <c r="N419" s="82" t="n">
        <v>22.36</v>
      </c>
      <c r="O419" s="83">
        <f>ROUND(M419*N419,2)</f>
        <v/>
      </c>
      <c r="P419" s="80">
        <f>IF($O419="","",L419-O419-(L419*IF(L419&lt;=79.99,20%,14%)+IF(L419&lt;=79.99,4,IF(L419&lt;=99.99,16,IF(L419&lt;=199.99,20,IF(L419&lt;=499.99,26,28)))))-L419*1.3%-L419*6%-(L419-O419)*9.25%-L419*3%-L419*3%-1)</f>
        <v/>
      </c>
      <c r="Q419" s="22">
        <f>IF(AND(K419&lt;&gt;"",H419&gt;0),(H419-K419)/H419,"")</f>
        <v/>
      </c>
      <c r="R419" s="19" t="inlineStr"/>
      <c r="S419" s="23" t="n"/>
      <c r="T419" s="23" t="n"/>
      <c r="U419" s="19" t="inlineStr">
        <is>
          <t>100923</t>
        </is>
      </c>
      <c r="V419" t="inlineStr">
        <is>
          <t>216211</t>
        </is>
      </c>
      <c r="W419" t="inlineStr">
        <is>
          <t>herdado do anúncio · custo do KIT 216213 (2× 216211)</t>
        </is>
      </c>
      <c r="Y419" t="inlineStr">
        <is>
          <t>ok</t>
        </is>
      </c>
    </row>
    <row r="420" ht="15" customFormat="1" customHeight="1" s="19">
      <c r="A420" s="14" t="inlineStr">
        <is>
          <t>Jacartta</t>
        </is>
      </c>
      <c r="B420" s="14" t="inlineStr">
        <is>
          <t>Areia Higiênica Biodegradável Espaço do Bicho Grãos Mistos 4kg – Milho e Mandioca (100% Natural)</t>
        </is>
      </c>
      <c r="C420" s="14" t="inlineStr">
        <is>
          <t>16KG</t>
        </is>
      </c>
      <c r="D420" s="14" t="inlineStr">
        <is>
          <t>AREIA-EDB-16KG-GM</t>
        </is>
      </c>
      <c r="E420" s="14" t="inlineStr">
        <is>
          <t>52465150326</t>
        </is>
      </c>
      <c r="F420" s="14" t="inlineStr">
        <is>
          <t>311299515721</t>
        </is>
      </c>
      <c r="G420" s="14" t="inlineStr">
        <is>
          <t>NORMAL</t>
        </is>
      </c>
      <c r="H420" s="15" t="n">
        <v>299.9</v>
      </c>
      <c r="I420" s="15" t="n">
        <v>299.9</v>
      </c>
      <c r="J420" s="16" t="inlineStr">
        <is>
          <t>NÃO</t>
        </is>
      </c>
      <c r="K420" s="15" t="n"/>
      <c r="L420" s="35">
        <f>IF(K420&lt;&gt;"",K420,I420)</f>
        <v/>
      </c>
      <c r="M420" s="84" t="n">
        <v>2</v>
      </c>
      <c r="N420" s="85" t="n">
        <v>22.36</v>
      </c>
      <c r="O420" s="80">
        <f>ROUND(M420*N420,2)</f>
        <v/>
      </c>
      <c r="P420" s="80">
        <f>IF($O420="","",L420-O420-(L420*IF(L420&lt;=79.99,20%,14%)+IF(L420&lt;=79.99,4,IF(L420&lt;=99.99,16,IF(L420&lt;=199.99,20,IF(L420&lt;=499.99,26,28)))))-L420*1.3%-L420*6%-(L420-O420)*9.25%-L420*3%-L420*3%-1)</f>
        <v/>
      </c>
      <c r="Q420" s="17">
        <f>IF(AND(K420&lt;&gt;"",H420&gt;0),(H420-K420)/H420,"")</f>
        <v/>
      </c>
      <c r="R420" s="14" t="inlineStr"/>
      <c r="S420" s="18" t="n"/>
      <c r="T420" s="18" t="n"/>
      <c r="U420" s="14" t="inlineStr">
        <is>
          <t>100923</t>
        </is>
      </c>
      <c r="V420" t="inlineStr">
        <is>
          <t>216211</t>
        </is>
      </c>
      <c r="W420" t="inlineStr">
        <is>
          <t>herdado do anúncio · custo do KIT 216213 (2× 216211)</t>
        </is>
      </c>
      <c r="Y420" t="inlineStr">
        <is>
          <t>ok</t>
        </is>
      </c>
    </row>
    <row r="421" ht="15" customFormat="1" customHeight="1" s="14">
      <c r="A421" s="19" t="inlineStr">
        <is>
          <t>Jacartta</t>
        </is>
      </c>
      <c r="B421" s="19" t="inlineStr">
        <is>
          <t>Areia Higiênica Biodegradável Espaço do Bicho Grãos Mistos 4kg – Milho e Mandioca (100% Natural)</t>
        </is>
      </c>
      <c r="C421" s="19" t="inlineStr">
        <is>
          <t>4KG</t>
        </is>
      </c>
      <c r="D421" s="19" t="inlineStr">
        <is>
          <t>AREIA-EDB-4KG-GM</t>
        </is>
      </c>
      <c r="E421" s="19" t="inlineStr">
        <is>
          <t>52465150326</t>
        </is>
      </c>
      <c r="F421" s="19" t="inlineStr">
        <is>
          <t>311299515718</t>
        </is>
      </c>
      <c r="G421" s="19" t="inlineStr">
        <is>
          <t>NORMAL</t>
        </is>
      </c>
      <c r="H421" s="20" t="n">
        <v>79.90000000000001</v>
      </c>
      <c r="I421" s="20" t="n">
        <v>79.90000000000001</v>
      </c>
      <c r="J421" s="21" t="inlineStr">
        <is>
          <t>NÃO</t>
        </is>
      </c>
      <c r="K421" s="20" t="n"/>
      <c r="L421" s="35">
        <f>IF(K421&lt;&gt;"",K421,I421)</f>
        <v/>
      </c>
      <c r="M421" s="81" t="n">
        <v>2</v>
      </c>
      <c r="N421" s="82" t="n">
        <v>22.36</v>
      </c>
      <c r="O421" s="83">
        <f>ROUND(M421*N421,2)</f>
        <v/>
      </c>
      <c r="P421" s="80">
        <f>IF($O421="","",L421-O421-(L421*IF(L421&lt;=79.99,20%,14%)+IF(L421&lt;=79.99,4,IF(L421&lt;=99.99,16,IF(L421&lt;=199.99,20,IF(L421&lt;=499.99,26,28)))))-L421*1.3%-L421*6%-(L421-O421)*9.25%-L421*3%-L421*3%-1)</f>
        <v/>
      </c>
      <c r="Q421" s="22">
        <f>IF(AND(K421&lt;&gt;"",H421&gt;0),(H421-K421)/H421,"")</f>
        <v/>
      </c>
      <c r="R421" s="19" t="inlineStr"/>
      <c r="S421" s="23" t="n"/>
      <c r="T421" s="23" t="n"/>
      <c r="U421" s="19" t="inlineStr">
        <is>
          <t>100923</t>
        </is>
      </c>
      <c r="V421" t="inlineStr">
        <is>
          <t>216211</t>
        </is>
      </c>
      <c r="W421" t="inlineStr">
        <is>
          <t>herdado do anúncio · custo do KIT 216213 (2× 216211)</t>
        </is>
      </c>
      <c r="Y421" t="inlineStr">
        <is>
          <t>ok</t>
        </is>
      </c>
    </row>
    <row r="422" ht="15" customFormat="1" customHeight="1" s="19">
      <c r="A422" s="14" t="inlineStr">
        <is>
          <t>Jacartta</t>
        </is>
      </c>
      <c r="B422" s="14" t="inlineStr">
        <is>
          <t>Areia Higiênica Biodegradável Espaço do Bicho Grãos Mistos 4kg – Milho e Mandioca (100% Natural)</t>
        </is>
      </c>
      <c r="C422" s="14" t="inlineStr">
        <is>
          <t>8KG</t>
        </is>
      </c>
      <c r="D422" s="14" t="inlineStr">
        <is>
          <t xml:space="preserve">AREIA-EDB-8KG-GM
</t>
        </is>
      </c>
      <c r="E422" s="14" t="inlineStr">
        <is>
          <t>52465150326</t>
        </is>
      </c>
      <c r="F422" s="14" t="inlineStr">
        <is>
          <t>311299515719</t>
        </is>
      </c>
      <c r="G422" s="14" t="inlineStr">
        <is>
          <t>NORMAL</t>
        </is>
      </c>
      <c r="H422" s="15" t="n">
        <v>120.9</v>
      </c>
      <c r="I422" s="15" t="n">
        <v>120.9</v>
      </c>
      <c r="J422" s="16" t="inlineStr">
        <is>
          <t>NÃO</t>
        </is>
      </c>
      <c r="K422" s="15" t="n"/>
      <c r="L422" s="35">
        <f>IF(K422&lt;&gt;"",K422,I422)</f>
        <v/>
      </c>
      <c r="M422" s="84" t="n">
        <v>2</v>
      </c>
      <c r="N422" s="85" t="n">
        <v>22.36</v>
      </c>
      <c r="O422" s="80">
        <f>ROUND(M422*N422,2)</f>
        <v/>
      </c>
      <c r="P422" s="80">
        <f>IF($O422="","",L422-O422-(L422*IF(L422&lt;=79.99,20%,14%)+IF(L422&lt;=79.99,4,IF(L422&lt;=99.99,16,IF(L422&lt;=199.99,20,IF(L422&lt;=499.99,26,28)))))-L422*1.3%-L422*6%-(L422-O422)*9.25%-L422*3%-L422*3%-1)</f>
        <v/>
      </c>
      <c r="Q422" s="17">
        <f>IF(AND(K422&lt;&gt;"",H422&gt;0),(H422-K422)/H422,"")</f>
        <v/>
      </c>
      <c r="R422" s="14" t="inlineStr"/>
      <c r="S422" s="18" t="n"/>
      <c r="T422" s="18" t="n"/>
      <c r="U422" s="14" t="inlineStr">
        <is>
          <t>100923</t>
        </is>
      </c>
      <c r="V422" t="inlineStr">
        <is>
          <t>216211</t>
        </is>
      </c>
      <c r="W422" t="inlineStr">
        <is>
          <t>SKU do de-para · custo do KIT 216213 (2× 216211)</t>
        </is>
      </c>
      <c r="X422" t="n">
        <v>8</v>
      </c>
      <c r="Y422" t="inlineStr">
        <is>
          <t>ok</t>
        </is>
      </c>
    </row>
    <row r="423" ht="15" customFormat="1" customHeight="1" s="14">
      <c r="A423" s="19" t="inlineStr">
        <is>
          <t>Jacartta</t>
        </is>
      </c>
      <c r="B423" s="19" t="inlineStr">
        <is>
          <t>Areia Higiênica Biodegradável Espaço do Bicho Grãos Mistos 8kg – Milho e Mandioca (100% Natural)</t>
        </is>
      </c>
      <c r="C423" s="19" t="inlineStr">
        <is>
          <t>12KG</t>
        </is>
      </c>
      <c r="D423" s="19" t="inlineStr">
        <is>
          <t>AREIA-EDB-12KG-GM</t>
        </is>
      </c>
      <c r="E423" s="19" t="inlineStr">
        <is>
          <t>46065167211</t>
        </is>
      </c>
      <c r="F423" s="19" t="inlineStr">
        <is>
          <t>272836541468</t>
        </is>
      </c>
      <c r="G423" s="19" t="inlineStr">
        <is>
          <t>NORMAL</t>
        </is>
      </c>
      <c r="H423" s="20" t="n">
        <v>180.9</v>
      </c>
      <c r="I423" s="20" t="n">
        <v>180.9</v>
      </c>
      <c r="J423" s="21" t="inlineStr">
        <is>
          <t>NÃO</t>
        </is>
      </c>
      <c r="K423" s="20" t="n"/>
      <c r="L423" s="35">
        <f>IF(K423&lt;&gt;"",K423,I423)</f>
        <v/>
      </c>
      <c r="M423" s="81" t="n">
        <v>5</v>
      </c>
      <c r="N423" s="82" t="n">
        <v>22.36</v>
      </c>
      <c r="O423" s="83">
        <f>ROUND(M423*N423,2)</f>
        <v/>
      </c>
      <c r="P423" s="80">
        <f>IF($O423="","",L423-O423-(L423*IF(L423&lt;=79.99,20%,14%)+IF(L423&lt;=79.99,4,IF(L423&lt;=99.99,16,IF(L423&lt;=199.99,20,IF(L423&lt;=499.99,26,28)))))-L423*1.3%-L423*6%-(L423-O423)*9.25%-L423*3%-L423*3%-1)</f>
        <v/>
      </c>
      <c r="Q423" s="22">
        <f>IF(AND(K423&lt;&gt;"",H423&gt;0),(H423-K423)/H423,"")</f>
        <v/>
      </c>
      <c r="R423" s="19" t="inlineStr"/>
      <c r="S423" s="23" t="n"/>
      <c r="T423" s="23" t="n"/>
      <c r="U423" s="19" t="inlineStr">
        <is>
          <t>100923</t>
        </is>
      </c>
      <c r="V423" t="inlineStr">
        <is>
          <t>216211</t>
        </is>
      </c>
      <c r="W423" t="inlineStr">
        <is>
          <t>herdado do anúncio · custo do KIT 216216 (5× 216211)</t>
        </is>
      </c>
      <c r="Y423" t="inlineStr">
        <is>
          <t>ok</t>
        </is>
      </c>
    </row>
    <row r="424" ht="15" customFormat="1" customHeight="1" s="19">
      <c r="A424" s="14" t="inlineStr">
        <is>
          <t>Jacartta</t>
        </is>
      </c>
      <c r="B424" s="14" t="inlineStr">
        <is>
          <t>Areia Higiênica Biodegradável Espaço do Bicho Grãos Mistos 8kg – Milho e Mandioca (100% Natural)</t>
        </is>
      </c>
      <c r="C424" s="14" t="inlineStr">
        <is>
          <t>16KG</t>
        </is>
      </c>
      <c r="D424" s="14" t="inlineStr">
        <is>
          <t>AREIA-EDB-16KG-GM</t>
        </is>
      </c>
      <c r="E424" s="14" t="inlineStr">
        <is>
          <t>46065167211</t>
        </is>
      </c>
      <c r="F424" s="14" t="inlineStr">
        <is>
          <t>272836541469</t>
        </is>
      </c>
      <c r="G424" s="14" t="inlineStr">
        <is>
          <t>NORMAL</t>
        </is>
      </c>
      <c r="H424" s="15" t="n">
        <v>250.9</v>
      </c>
      <c r="I424" s="15" t="n">
        <v>250.9</v>
      </c>
      <c r="J424" s="16" t="inlineStr">
        <is>
          <t>NÃO</t>
        </is>
      </c>
      <c r="K424" s="15" t="n"/>
      <c r="L424" s="35">
        <f>IF(K424&lt;&gt;"",K424,I424)</f>
        <v/>
      </c>
      <c r="M424" s="84" t="n">
        <v>5</v>
      </c>
      <c r="N424" s="85" t="n">
        <v>22.36</v>
      </c>
      <c r="O424" s="80">
        <f>ROUND(M424*N424,2)</f>
        <v/>
      </c>
      <c r="P424" s="80">
        <f>IF($O424="","",L424-O424-(L424*IF(L424&lt;=79.99,20%,14%)+IF(L424&lt;=79.99,4,IF(L424&lt;=99.99,16,IF(L424&lt;=199.99,20,IF(L424&lt;=499.99,26,28)))))-L424*1.3%-L424*6%-(L424-O424)*9.25%-L424*3%-L424*3%-1)</f>
        <v/>
      </c>
      <c r="Q424" s="17">
        <f>IF(AND(K424&lt;&gt;"",H424&gt;0),(H424-K424)/H424,"")</f>
        <v/>
      </c>
      <c r="R424" s="14" t="inlineStr"/>
      <c r="S424" s="18" t="n"/>
      <c r="T424" s="18" t="n"/>
      <c r="U424" s="14" t="inlineStr">
        <is>
          <t>100923</t>
        </is>
      </c>
      <c r="V424" t="inlineStr">
        <is>
          <t>216211</t>
        </is>
      </c>
      <c r="W424" t="inlineStr">
        <is>
          <t>herdado do anúncio · custo do KIT 216216 (5× 216211)</t>
        </is>
      </c>
      <c r="Y424" t="inlineStr">
        <is>
          <t>ok</t>
        </is>
      </c>
    </row>
    <row r="425" ht="15" customFormat="1" customHeight="1" s="14">
      <c r="A425" s="19" t="inlineStr">
        <is>
          <t>Jacartta</t>
        </is>
      </c>
      <c r="B425" s="19" t="inlineStr">
        <is>
          <t>Areia Higiênica Biodegradável Espaço do Bicho Grãos Mistos 8kg – Milho e Mandioca (100% Natural)</t>
        </is>
      </c>
      <c r="C425" s="19" t="inlineStr">
        <is>
          <t>20KG</t>
        </is>
      </c>
      <c r="D425" s="19" t="inlineStr">
        <is>
          <t>AREIA-EDB-20KG-GM</t>
        </is>
      </c>
      <c r="E425" s="19" t="inlineStr">
        <is>
          <t>46065167211</t>
        </is>
      </c>
      <c r="F425" s="19" t="inlineStr">
        <is>
          <t>272836541470</t>
        </is>
      </c>
      <c r="G425" s="19" t="inlineStr">
        <is>
          <t>NORMAL</t>
        </is>
      </c>
      <c r="H425" s="20" t="n">
        <v>299.9</v>
      </c>
      <c r="I425" s="20" t="n">
        <v>299.9</v>
      </c>
      <c r="J425" s="21" t="inlineStr">
        <is>
          <t>NÃO</t>
        </is>
      </c>
      <c r="K425" s="20" t="n"/>
      <c r="L425" s="35">
        <f>IF(K425&lt;&gt;"",K425,I425)</f>
        <v/>
      </c>
      <c r="M425" s="81" t="n">
        <v>5</v>
      </c>
      <c r="N425" s="82" t="n">
        <v>22.36</v>
      </c>
      <c r="O425" s="83">
        <f>ROUND(M425*N425,2)</f>
        <v/>
      </c>
      <c r="P425" s="80">
        <f>IF($O425="","",L425-O425-(L425*IF(L425&lt;=79.99,20%,14%)+IF(L425&lt;=79.99,4,IF(L425&lt;=99.99,16,IF(L425&lt;=199.99,20,IF(L425&lt;=499.99,26,28)))))-L425*1.3%-L425*6%-(L425-O425)*9.25%-L425*3%-L425*3%-1)</f>
        <v/>
      </c>
      <c r="Q425" s="22">
        <f>IF(AND(K425&lt;&gt;"",H425&gt;0),(H425-K425)/H425,"")</f>
        <v/>
      </c>
      <c r="R425" s="19" t="inlineStr"/>
      <c r="S425" s="23" t="n"/>
      <c r="T425" s="23" t="n"/>
      <c r="U425" s="19" t="inlineStr">
        <is>
          <t>100923</t>
        </is>
      </c>
      <c r="V425" t="inlineStr">
        <is>
          <t>216211</t>
        </is>
      </c>
      <c r="W425" t="inlineStr">
        <is>
          <t>SKU do de-para · custo do KIT 216216 (5× 216211)</t>
        </is>
      </c>
      <c r="X425" t="n">
        <v>3</v>
      </c>
      <c r="Y425" t="inlineStr">
        <is>
          <t>ok</t>
        </is>
      </c>
    </row>
    <row r="426" ht="15" customFormat="1" customHeight="1" s="19">
      <c r="A426" s="14" t="inlineStr">
        <is>
          <t>Jacartta</t>
        </is>
      </c>
      <c r="B426" s="14" t="inlineStr">
        <is>
          <t>Areia Higiênica Biodegradável Espaço do Bicho Grãos Mistos 8kg – Milho e Mandioca (100% Natural)</t>
        </is>
      </c>
      <c r="C426" s="14" t="inlineStr">
        <is>
          <t>8KG</t>
        </is>
      </c>
      <c r="D426" s="14" t="inlineStr">
        <is>
          <t>AREIA-EDB-8KG-GM</t>
        </is>
      </c>
      <c r="E426" s="14" t="inlineStr">
        <is>
          <t>46065167211</t>
        </is>
      </c>
      <c r="F426" s="14" t="inlineStr">
        <is>
          <t>272836541467</t>
        </is>
      </c>
      <c r="G426" s="14" t="inlineStr">
        <is>
          <t>NORMAL</t>
        </is>
      </c>
      <c r="H426" s="15" t="n">
        <v>120.9</v>
      </c>
      <c r="I426" s="15" t="n">
        <v>120.9</v>
      </c>
      <c r="J426" s="16" t="inlineStr">
        <is>
          <t>NÃO</t>
        </is>
      </c>
      <c r="K426" s="15" t="n"/>
      <c r="L426" s="35">
        <f>IF(K426&lt;&gt;"",K426,I426)</f>
        <v/>
      </c>
      <c r="M426" s="84" t="n">
        <v>2</v>
      </c>
      <c r="N426" s="85" t="n">
        <v>22.36</v>
      </c>
      <c r="O426" s="80">
        <f>ROUND(M426*N426,2)</f>
        <v/>
      </c>
      <c r="P426" s="80">
        <f>IF($O426="","",L426-O426-(L426*IF(L426&lt;=79.99,20%,14%)+IF(L426&lt;=79.99,4,IF(L426&lt;=99.99,16,IF(L426&lt;=199.99,20,IF(L426&lt;=499.99,26,28)))))-L426*1.3%-L426*6%-(L426-O426)*9.25%-L426*3%-L426*3%-1)</f>
        <v/>
      </c>
      <c r="Q426" s="17">
        <f>IF(AND(K426&lt;&gt;"",H426&gt;0),(H426-K426)/H426,"")</f>
        <v/>
      </c>
      <c r="R426" s="14" t="inlineStr"/>
      <c r="S426" s="18" t="n"/>
      <c r="T426" s="18" t="n"/>
      <c r="U426" s="14" t="inlineStr">
        <is>
          <t>100923</t>
        </is>
      </c>
      <c r="V426" t="inlineStr">
        <is>
          <t>216211</t>
        </is>
      </c>
      <c r="W426" t="inlineStr">
        <is>
          <t>SKU do de-para · custo do KIT 216213 (2× 216211)</t>
        </is>
      </c>
      <c r="X426" t="n">
        <v>8</v>
      </c>
      <c r="Y426" t="inlineStr">
        <is>
          <t>ok</t>
        </is>
      </c>
    </row>
    <row r="427" ht="15" customFormat="1" customHeight="1" s="14">
      <c r="A427" s="19" t="inlineStr">
        <is>
          <t>Jacartta</t>
        </is>
      </c>
      <c r="B427" s="19" t="inlineStr">
        <is>
          <t>Areia Para Gatos Ultra Dry 4KG Grãos Esférico Finos/Médiso/Grossos Ipetballs</t>
        </is>
      </c>
      <c r="C427" s="19" t="inlineStr">
        <is>
          <t>Grãos Finos</t>
        </is>
      </c>
      <c r="D427" s="19" t="inlineStr">
        <is>
          <t>AREIA-BENTONITA-4KG-GF</t>
        </is>
      </c>
      <c r="E427" s="19" t="inlineStr">
        <is>
          <t>58206317383</t>
        </is>
      </c>
      <c r="F427" s="19" t="inlineStr">
        <is>
          <t>229438963505</t>
        </is>
      </c>
      <c r="G427" s="19" t="inlineStr">
        <is>
          <t>NORMAL</t>
        </is>
      </c>
      <c r="H427" s="20" t="n">
        <v>99.90000000000001</v>
      </c>
      <c r="I427" s="20" t="n">
        <v>34.9</v>
      </c>
      <c r="J427" s="21" t="inlineStr">
        <is>
          <t>SIM</t>
        </is>
      </c>
      <c r="K427" s="20" t="n">
        <v>34.9</v>
      </c>
      <c r="L427" s="35">
        <f>IF(K427&lt;&gt;"",K427,I427)</f>
        <v/>
      </c>
      <c r="M427" s="32" t="n"/>
      <c r="N427" s="30" t="n"/>
      <c r="O427" s="29" t="n"/>
      <c r="P427" s="80">
        <f>IF($O427="","",L427-O427-(L427*IF(L427&lt;=79.99,20%,14%)+IF(L427&lt;=79.99,4,IF(L427&lt;=99.99,16,IF(L427&lt;=199.99,20,IF(L427&lt;=499.99,26,28)))))-L427*1.3%-L427*6%-(L427-O427)*9.25%-L427*3%-L427*3%-1)</f>
        <v/>
      </c>
      <c r="Q427" s="22">
        <f>IF(AND(K427&lt;&gt;"",H427&gt;0),(H427-K427)/H427,"")</f>
        <v/>
      </c>
      <c r="R427" s="19" t="inlineStr">
        <is>
          <t>909481504866304</t>
        </is>
      </c>
      <c r="S427" s="23" t="n">
        <v>46144.3875</v>
      </c>
      <c r="T427" s="23" t="n">
        <v>46295.4375</v>
      </c>
      <c r="U427" s="19" t="inlineStr">
        <is>
          <t>100923</t>
        </is>
      </c>
      <c r="W427" t="inlineStr">
        <is>
          <t>sem correspondência</t>
        </is>
      </c>
      <c r="Y427" t="inlineStr"/>
    </row>
    <row r="428" ht="15" customFormat="1" customHeight="1" s="19">
      <c r="A428" s="14" t="inlineStr">
        <is>
          <t>Jacartta</t>
        </is>
      </c>
      <c r="B428" s="14" t="inlineStr">
        <is>
          <t>Areia Para Gatos Ultra Dry 4KG Grãos Esférico Finos/Médiso/Grossos Ipetballs</t>
        </is>
      </c>
      <c r="C428" s="14" t="inlineStr">
        <is>
          <t>Grãos Grossos</t>
        </is>
      </c>
      <c r="D428" s="14" t="inlineStr">
        <is>
          <t>AREIA-BENTONITA-4KG-GG</t>
        </is>
      </c>
      <c r="E428" s="14" t="inlineStr">
        <is>
          <t>58206317383</t>
        </is>
      </c>
      <c r="F428" s="14" t="inlineStr">
        <is>
          <t>229438963507</t>
        </is>
      </c>
      <c r="G428" s="14" t="inlineStr">
        <is>
          <t>NORMAL</t>
        </is>
      </c>
      <c r="H428" s="15" t="n">
        <v>99.90000000000001</v>
      </c>
      <c r="I428" s="15" t="n">
        <v>34.9</v>
      </c>
      <c r="J428" s="16" t="inlineStr">
        <is>
          <t>SIM</t>
        </is>
      </c>
      <c r="K428" s="15" t="n">
        <v>34.9</v>
      </c>
      <c r="L428" s="35">
        <f>IF(K428&lt;&gt;"",K428,I428)</f>
        <v/>
      </c>
      <c r="M428" s="33" t="n"/>
      <c r="N428" s="28" t="n"/>
      <c r="O428" s="29" t="n"/>
      <c r="P428" s="80">
        <f>IF($O428="","",L428-O428-(L428*IF(L428&lt;=79.99,20%,14%)+IF(L428&lt;=79.99,4,IF(L428&lt;=99.99,16,IF(L428&lt;=199.99,20,IF(L428&lt;=499.99,26,28)))))-L428*1.3%-L428*6%-(L428-O428)*9.25%-L428*3%-L428*3%-1)</f>
        <v/>
      </c>
      <c r="Q428" s="17">
        <f>IF(AND(K428&lt;&gt;"",H428&gt;0),(H428-K428)/H428,"")</f>
        <v/>
      </c>
      <c r="R428" s="14" t="inlineStr">
        <is>
          <t>909481504866304</t>
        </is>
      </c>
      <c r="S428" s="18" t="n">
        <v>46144.3875</v>
      </c>
      <c r="T428" s="18" t="n">
        <v>46295.4375</v>
      </c>
      <c r="U428" s="14" t="inlineStr">
        <is>
          <t>100923</t>
        </is>
      </c>
      <c r="W428" t="inlineStr">
        <is>
          <t>sem correspondência</t>
        </is>
      </c>
      <c r="Y428" t="inlineStr"/>
    </row>
    <row r="429" ht="15" customFormat="1" customHeight="1" s="14">
      <c r="A429" s="19" t="inlineStr">
        <is>
          <t>Jacartta</t>
        </is>
      </c>
      <c r="B429" s="19" t="inlineStr">
        <is>
          <t>Areia Para Gatos Ultra Dry 4KG Grãos Esférico Finos/Médiso/Grossos Ipetballs</t>
        </is>
      </c>
      <c r="C429" s="19" t="inlineStr">
        <is>
          <t>Grãos Médios</t>
        </is>
      </c>
      <c r="D429" s="19" t="inlineStr">
        <is>
          <t>AREIA-BENTONITA-4KG-GM</t>
        </is>
      </c>
      <c r="E429" s="19" t="inlineStr">
        <is>
          <t>58206317383</t>
        </is>
      </c>
      <c r="F429" s="19" t="inlineStr">
        <is>
          <t>229438963506</t>
        </is>
      </c>
      <c r="G429" s="19" t="inlineStr">
        <is>
          <t>NORMAL</t>
        </is>
      </c>
      <c r="H429" s="20" t="n">
        <v>99.90000000000001</v>
      </c>
      <c r="I429" s="20" t="n">
        <v>34.9</v>
      </c>
      <c r="J429" s="21" t="inlineStr">
        <is>
          <t>SIM</t>
        </is>
      </c>
      <c r="K429" s="20" t="n">
        <v>34.9</v>
      </c>
      <c r="L429" s="35">
        <f>IF(K429&lt;&gt;"",K429,I429)</f>
        <v/>
      </c>
      <c r="M429" s="32" t="n"/>
      <c r="N429" s="30" t="n"/>
      <c r="O429" s="29" t="n"/>
      <c r="P429" s="80">
        <f>IF($O429="","",L429-O429-(L429*IF(L429&lt;=79.99,20%,14%)+IF(L429&lt;=79.99,4,IF(L429&lt;=99.99,16,IF(L429&lt;=199.99,20,IF(L429&lt;=499.99,26,28)))))-L429*1.3%-L429*6%-(L429-O429)*9.25%-L429*3%-L429*3%-1)</f>
        <v/>
      </c>
      <c r="Q429" s="22">
        <f>IF(AND(K429&lt;&gt;"",H429&gt;0),(H429-K429)/H429,"")</f>
        <v/>
      </c>
      <c r="R429" s="19" t="inlineStr">
        <is>
          <t>909481504866304</t>
        </is>
      </c>
      <c r="S429" s="23" t="n">
        <v>46144.3875</v>
      </c>
      <c r="T429" s="23" t="n">
        <v>46295.4375</v>
      </c>
      <c r="U429" s="19" t="inlineStr">
        <is>
          <t>100923</t>
        </is>
      </c>
      <c r="W429" t="inlineStr">
        <is>
          <t>sem correspondência</t>
        </is>
      </c>
      <c r="Y429" t="inlineStr"/>
    </row>
    <row r="430" ht="15" customFormat="1" customHeight="1" s="19">
      <c r="A430" s="14" t="inlineStr">
        <is>
          <t>Jacartta</t>
        </is>
      </c>
      <c r="B430" s="14" t="inlineStr">
        <is>
          <t>Árvore De Natal Pinheiro 210cm 850Galhos Cheia Premium Verde</t>
        </is>
      </c>
      <c r="C430" s="14" t="inlineStr">
        <is>
          <t>150CM | 650 GALHOS | VERDE</t>
        </is>
      </c>
      <c r="D430" s="14" t="inlineStr">
        <is>
          <t>150CM -650 GALHOS-VERDE</t>
        </is>
      </c>
      <c r="E430" s="14" t="inlineStr">
        <is>
          <t>23399018615</t>
        </is>
      </c>
      <c r="F430" s="14" t="inlineStr">
        <is>
          <t>229430120537</t>
        </is>
      </c>
      <c r="G430" s="14" t="inlineStr">
        <is>
          <t>NORMAL</t>
        </is>
      </c>
      <c r="H430" s="15" t="n">
        <v>299.9</v>
      </c>
      <c r="I430" s="15" t="n">
        <v>299.9</v>
      </c>
      <c r="J430" s="16" t="inlineStr">
        <is>
          <t>NÃO</t>
        </is>
      </c>
      <c r="K430" s="15" t="n"/>
      <c r="L430" s="35">
        <f>IF(K430&lt;&gt;"",K430,I430)</f>
        <v/>
      </c>
      <c r="M430" s="28" t="n"/>
      <c r="N430" s="28" t="n"/>
      <c r="O430" s="29" t="n"/>
      <c r="P430" s="80">
        <f>IF($O430="","",L430-O430-(L430*IF(L430&lt;=79.99,20%,14%)+IF(L430&lt;=79.99,4,IF(L430&lt;=99.99,16,IF(L430&lt;=199.99,20,IF(L430&lt;=499.99,26,28)))))-L430*1.3%-L430*6%-(L430-O430)*9.25%-L430*3%-L430*3%-1)</f>
        <v/>
      </c>
      <c r="Q430" s="17">
        <f>IF(AND(K430&lt;&gt;"",H430&gt;0),(H430-K430)/H430,"")</f>
        <v/>
      </c>
      <c r="R430" s="14" t="inlineStr"/>
      <c r="S430" s="18" t="n"/>
      <c r="T430" s="18" t="n"/>
      <c r="U430" s="14" t="inlineStr">
        <is>
          <t>101270</t>
        </is>
      </c>
      <c r="W430" t="inlineStr">
        <is>
          <t>sem correspondência</t>
        </is>
      </c>
      <c r="Y430" t="inlineStr"/>
    </row>
    <row r="431" ht="15" customFormat="1" customHeight="1" s="14">
      <c r="A431" s="19" t="inlineStr">
        <is>
          <t>Jacartta</t>
        </is>
      </c>
      <c r="B431" s="19" t="inlineStr">
        <is>
          <t>Árvore De Natal Pinheiro 210cm 850Galhos Cheia Premium Verde</t>
        </is>
      </c>
      <c r="C431" s="19" t="inlineStr">
        <is>
          <t>180CM | 850 GALHOS | VERDE</t>
        </is>
      </c>
      <c r="D431" s="19" t="inlineStr">
        <is>
          <t>180CM-850-GALHOS -VERDE</t>
        </is>
      </c>
      <c r="E431" s="19" t="inlineStr">
        <is>
          <t>23399018615</t>
        </is>
      </c>
      <c r="F431" s="19" t="inlineStr">
        <is>
          <t>229430120538</t>
        </is>
      </c>
      <c r="G431" s="19" t="inlineStr">
        <is>
          <t>NORMAL</t>
        </is>
      </c>
      <c r="H431" s="20" t="n">
        <v>399.9</v>
      </c>
      <c r="I431" s="20" t="n">
        <v>399.9</v>
      </c>
      <c r="J431" s="21" t="inlineStr">
        <is>
          <t>NÃO</t>
        </is>
      </c>
      <c r="K431" s="20" t="n"/>
      <c r="L431" s="35">
        <f>IF(K431&lt;&gt;"",K431,I431)</f>
        <v/>
      </c>
      <c r="M431" s="30" t="n"/>
      <c r="N431" s="30" t="n"/>
      <c r="O431" s="31" t="n"/>
      <c r="P431" s="80">
        <f>IF($O431="","",L431-O431-(L431*IF(L431&lt;=79.99,20%,14%)+IF(L431&lt;=79.99,4,IF(L431&lt;=99.99,16,IF(L431&lt;=199.99,20,IF(L431&lt;=499.99,26,28)))))-L431*1.3%-L431*6%-(L431-O431)*9.25%-L431*3%-L431*3%-1)</f>
        <v/>
      </c>
      <c r="Q431" s="22">
        <f>IF(AND(K431&lt;&gt;"",H431&gt;0),(H431-K431)/H431,"")</f>
        <v/>
      </c>
      <c r="R431" s="19" t="inlineStr"/>
      <c r="S431" s="23" t="n"/>
      <c r="T431" s="23" t="n"/>
      <c r="U431" s="19" t="inlineStr">
        <is>
          <t>101270</t>
        </is>
      </c>
      <c r="W431" t="inlineStr">
        <is>
          <t>sem correspondência</t>
        </is>
      </c>
      <c r="Y431" t="inlineStr"/>
    </row>
    <row r="432" ht="15" customFormat="1" customHeight="1" s="19">
      <c r="A432" s="14" t="inlineStr">
        <is>
          <t>Jacartta</t>
        </is>
      </c>
      <c r="B432" s="14" t="inlineStr">
        <is>
          <t>Árvore De Natal Pinheiro 210cm 850Galhos Cheia Premium Verde</t>
        </is>
      </c>
      <c r="C432" s="14" t="inlineStr">
        <is>
          <t>210CM | 850 GALHOS | VERDE</t>
        </is>
      </c>
      <c r="D432" s="14" t="inlineStr">
        <is>
          <t>210CM-850 GALHOS-VERDE</t>
        </is>
      </c>
      <c r="E432" s="14" t="inlineStr">
        <is>
          <t>23399018615</t>
        </is>
      </c>
      <c r="F432" s="14" t="inlineStr">
        <is>
          <t>229430120539</t>
        </is>
      </c>
      <c r="G432" s="14" t="inlineStr">
        <is>
          <t>NORMAL</t>
        </is>
      </c>
      <c r="H432" s="15" t="n">
        <v>499.9</v>
      </c>
      <c r="I432" s="15" t="n">
        <v>219.9</v>
      </c>
      <c r="J432" s="16" t="inlineStr">
        <is>
          <t>SIM</t>
        </is>
      </c>
      <c r="K432" s="15" t="n">
        <v>219.9</v>
      </c>
      <c r="L432" s="35">
        <f>IF(K432&lt;&gt;"",K432,I432)</f>
        <v/>
      </c>
      <c r="M432" s="28" t="n"/>
      <c r="N432" s="28" t="n"/>
      <c r="O432" s="29" t="n"/>
      <c r="P432" s="80">
        <f>IF($O432="","",L432-O432-(L432*IF(L432&lt;=79.99,20%,14%)+IF(L432&lt;=79.99,4,IF(L432&lt;=99.99,16,IF(L432&lt;=199.99,20,IF(L432&lt;=499.99,26,28)))))-L432*1.3%-L432*6%-(L432-O432)*9.25%-L432*3%-L432*3%-1)</f>
        <v/>
      </c>
      <c r="Q432" s="17">
        <f>IF(AND(K432&lt;&gt;"",H432&gt;0),(H432-K432)/H432,"")</f>
        <v/>
      </c>
      <c r="R432" s="14" t="inlineStr">
        <is>
          <t>478386871025791</t>
        </is>
      </c>
      <c r="S432" s="18" t="n">
        <v>46209.64583333334</v>
      </c>
      <c r="T432" s="18" t="n">
        <v>46326.99930555555</v>
      </c>
      <c r="U432" s="14" t="inlineStr">
        <is>
          <t>101270</t>
        </is>
      </c>
      <c r="W432" t="inlineStr">
        <is>
          <t>sem correspondência</t>
        </is>
      </c>
      <c r="Y432" t="inlineStr"/>
    </row>
    <row r="433" ht="15" customFormat="1" customHeight="1" s="14">
      <c r="A433" s="19" t="inlineStr">
        <is>
          <t>Jacartta</t>
        </is>
      </c>
      <c r="B433" s="19" t="inlineStr">
        <is>
          <t>Assento Sanitário Almofadado Modelo Plus Slim Oval - OLIVER HOME</t>
        </is>
      </c>
      <c r="C433" s="19" t="inlineStr">
        <is>
          <t>Branco</t>
        </is>
      </c>
      <c r="D433" s="19" t="inlineStr">
        <is>
          <t>49</t>
        </is>
      </c>
      <c r="E433" s="19" t="inlineStr">
        <is>
          <t>20098318443</t>
        </is>
      </c>
      <c r="F433" s="19" t="inlineStr">
        <is>
          <t>199183060498</t>
        </is>
      </c>
      <c r="G433" s="19" t="inlineStr">
        <is>
          <t>NORMAL</t>
        </is>
      </c>
      <c r="H433" s="20" t="n">
        <v>69.90000000000001</v>
      </c>
      <c r="I433" s="20" t="n">
        <v>37.89</v>
      </c>
      <c r="J433" s="21" t="inlineStr">
        <is>
          <t>SIM</t>
        </is>
      </c>
      <c r="K433" s="20" t="n">
        <v>37.89</v>
      </c>
      <c r="L433" s="35">
        <f>IF(K433&lt;&gt;"",K433,I433)</f>
        <v/>
      </c>
      <c r="M433" s="81" t="n">
        <v>1</v>
      </c>
      <c r="N433" s="82" t="n">
        <v>15.26</v>
      </c>
      <c r="O433" s="80">
        <f>ROUND(M433*N433,2)</f>
        <v/>
      </c>
      <c r="P433" s="80">
        <f>IF($O433="","",L433-O433-(L433*IF(L433&lt;=79.99,20%,14%)+IF(L433&lt;=79.99,4,IF(L433&lt;=99.99,16,IF(L433&lt;=199.99,20,IF(L433&lt;=499.99,26,28)))))-L433*1.3%-L433*6%-(L433-O433)*9.25%-L433*3%-L433*3%-1)</f>
        <v/>
      </c>
      <c r="Q433" s="22">
        <f>IF(AND(K433&lt;&gt;"",H433&gt;0),(H433-K433)/H433,"")</f>
        <v/>
      </c>
      <c r="R433" s="19" t="inlineStr">
        <is>
          <t>492047266168992</t>
        </is>
      </c>
      <c r="S433" s="23" t="n">
        <v>46248</v>
      </c>
      <c r="T433" s="23" t="n">
        <v>46249</v>
      </c>
      <c r="U433" s="19" t="inlineStr">
        <is>
          <t>101131</t>
        </is>
      </c>
      <c r="V433" t="inlineStr">
        <is>
          <t>213988</t>
        </is>
      </c>
      <c r="W433" t="inlineStr">
        <is>
          <t>venda casada (477 pedidos)</t>
        </is>
      </c>
      <c r="X433" t="n">
        <v>477</v>
      </c>
      <c r="Y433" t="inlineStr">
        <is>
          <t>ok</t>
        </is>
      </c>
    </row>
    <row r="434" ht="15" customFormat="1" customHeight="1" s="19">
      <c r="A434" s="14" t="inlineStr">
        <is>
          <t>Jacartta</t>
        </is>
      </c>
      <c r="B434" s="14" t="inlineStr">
        <is>
          <t>Assento Sanitário Almofadado Modelo Plus Slim Oval - OLIVER HOME</t>
        </is>
      </c>
      <c r="C434" s="14" t="inlineStr">
        <is>
          <t>Cinza</t>
        </is>
      </c>
      <c r="D434" s="14" t="inlineStr">
        <is>
          <t>2497</t>
        </is>
      </c>
      <c r="E434" s="14" t="inlineStr">
        <is>
          <t>20098318443</t>
        </is>
      </c>
      <c r="F434" s="14" t="inlineStr">
        <is>
          <t>199183060500</t>
        </is>
      </c>
      <c r="G434" s="14" t="inlineStr">
        <is>
          <t>NORMAL</t>
        </is>
      </c>
      <c r="H434" s="15" t="n">
        <v>69.90000000000001</v>
      </c>
      <c r="I434" s="15" t="n">
        <v>44.89</v>
      </c>
      <c r="J434" s="16" t="inlineStr">
        <is>
          <t>SIM</t>
        </is>
      </c>
      <c r="K434" s="15" t="n">
        <v>44.89</v>
      </c>
      <c r="L434" s="35">
        <f>IF(K434&lt;&gt;"",K434,I434)</f>
        <v/>
      </c>
      <c r="M434" s="84" t="n">
        <v>1</v>
      </c>
      <c r="N434" s="85" t="n">
        <v>15.26</v>
      </c>
      <c r="O434" s="80">
        <f>ROUND(M434*N434,2)</f>
        <v/>
      </c>
      <c r="P434" s="80">
        <f>IF($O434="","",L434-O434-(L434*IF(L434&lt;=79.99,20%,14%)+IF(L434&lt;=79.99,4,IF(L434&lt;=99.99,16,IF(L434&lt;=199.99,20,IF(L434&lt;=499.99,26,28)))))-L434*1.3%-L434*6%-(L434-O434)*9.25%-L434*3%-L434*3%-1)</f>
        <v/>
      </c>
      <c r="Q434" s="17">
        <f>IF(AND(K434&lt;&gt;"",H434&gt;0),(H434-K434)/H434,"")</f>
        <v/>
      </c>
      <c r="R434" s="14" t="inlineStr">
        <is>
          <t>492047266168992</t>
        </is>
      </c>
      <c r="S434" s="18" t="n">
        <v>46248</v>
      </c>
      <c r="T434" s="18" t="n">
        <v>46249</v>
      </c>
      <c r="U434" s="14" t="inlineStr">
        <is>
          <t>101131</t>
        </is>
      </c>
      <c r="V434" t="inlineStr">
        <is>
          <t>213989</t>
        </is>
      </c>
      <c r="W434" t="inlineStr">
        <is>
          <t>venda casada (36 pedidos)</t>
        </is>
      </c>
      <c r="X434" t="n">
        <v>36</v>
      </c>
      <c r="Y434" t="inlineStr">
        <is>
          <t>ok</t>
        </is>
      </c>
    </row>
    <row r="435" ht="15" customFormat="1" customHeight="1" s="14">
      <c r="A435" s="19" t="inlineStr">
        <is>
          <t>Jacartta</t>
        </is>
      </c>
      <c r="B435" s="19" t="inlineStr">
        <is>
          <t>Balança Corporal Transparente Quadrada Digital Até 180kg Com Vidro Temperado Premium - OliverHome</t>
        </is>
      </c>
      <c r="C435" s="19" t="inlineStr">
        <is>
          <t>Balança Digital</t>
        </is>
      </c>
      <c r="D435" s="19" t="inlineStr">
        <is>
          <t>BALANÇA-DIGITAL-180KG</t>
        </is>
      </c>
      <c r="E435" s="19" t="inlineStr">
        <is>
          <t>51464466694</t>
        </is>
      </c>
      <c r="F435" s="19" t="inlineStr">
        <is>
          <t>326244948678</t>
        </is>
      </c>
      <c r="G435" s="19" t="inlineStr">
        <is>
          <t>NORMAL</t>
        </is>
      </c>
      <c r="H435" s="20" t="n">
        <v>89.90000000000001</v>
      </c>
      <c r="I435" s="20" t="n">
        <v>29.9</v>
      </c>
      <c r="J435" s="21" t="inlineStr">
        <is>
          <t>SIM</t>
        </is>
      </c>
      <c r="K435" s="20" t="n">
        <v>29.9</v>
      </c>
      <c r="L435" s="35">
        <f>IF(K435&lt;&gt;"",K435,I435)</f>
        <v/>
      </c>
      <c r="M435" s="81" t="n">
        <v>1</v>
      </c>
      <c r="N435" s="82" t="n">
        <v>14.6</v>
      </c>
      <c r="O435" s="80">
        <f>ROUND(M435*N435,2)</f>
        <v/>
      </c>
      <c r="P435" s="80">
        <f>IF($O435="","",L435-O435-(L435*IF(L435&lt;=79.99,20%,14%)+IF(L435&lt;=79.99,4,IF(L435&lt;=99.99,16,IF(L435&lt;=199.99,20,IF(L435&lt;=499.99,26,28)))))-L435*1.3%-L435*6%-(L435-O435)*9.25%-L435*3%-L435*3%-1)</f>
        <v/>
      </c>
      <c r="Q435" s="22">
        <f>IF(AND(K435&lt;&gt;"",H435&gt;0),(H435-K435)/H435,"")</f>
        <v/>
      </c>
      <c r="R435" s="19" t="inlineStr">
        <is>
          <t>478386871025791</t>
        </is>
      </c>
      <c r="S435" s="23" t="n">
        <v>46209.64583333334</v>
      </c>
      <c r="T435" s="23" t="n">
        <v>46326.99930555555</v>
      </c>
      <c r="U435" s="19" t="inlineStr">
        <is>
          <t>100122</t>
        </is>
      </c>
      <c r="V435" t="inlineStr">
        <is>
          <t>213449</t>
        </is>
      </c>
      <c r="W435" t="inlineStr">
        <is>
          <t>venda casada (82 pedidos) · custo do KIT 213993 (1× 213449)</t>
        </is>
      </c>
      <c r="X435" t="n">
        <v>82</v>
      </c>
      <c r="Y435" t="inlineStr">
        <is>
          <t>ok</t>
        </is>
      </c>
    </row>
    <row r="436" ht="15" customFormat="1" customHeight="1" s="19">
      <c r="A436" s="19" t="inlineStr">
        <is>
          <t>Jacartta</t>
        </is>
      </c>
      <c r="B436" s="19" t="inlineStr">
        <is>
          <t>Balança Digital Medidora Corporal Bioimpedância até 180kg OliverHome</t>
        </is>
      </c>
      <c r="C436" s="19" t="inlineStr">
        <is>
          <t>Balança Digital</t>
        </is>
      </c>
      <c r="D436" s="19" t="inlineStr">
        <is>
          <t>BALANÇA-CORPORAL</t>
        </is>
      </c>
      <c r="E436" s="19" t="inlineStr">
        <is>
          <t>23798986920</t>
        </is>
      </c>
      <c r="F436" s="19" t="inlineStr">
        <is>
          <t>272805172297</t>
        </is>
      </c>
      <c r="G436" s="19" t="inlineStr">
        <is>
          <t>NORMAL</t>
        </is>
      </c>
      <c r="H436" s="20" t="n">
        <v>79.90000000000001</v>
      </c>
      <c r="I436" s="20" t="n">
        <v>29.9</v>
      </c>
      <c r="J436" s="21" t="inlineStr">
        <is>
          <t>SIM</t>
        </is>
      </c>
      <c r="K436" s="20" t="n">
        <v>29.9</v>
      </c>
      <c r="L436" s="35">
        <f>IF(K436&lt;&gt;"",K436,I436)</f>
        <v/>
      </c>
      <c r="M436" s="81" t="n">
        <v>1</v>
      </c>
      <c r="N436" s="82" t="n">
        <v>14.6</v>
      </c>
      <c r="O436" s="80">
        <f>ROUND(M436*N436,2)</f>
        <v/>
      </c>
      <c r="P436" s="80">
        <f>IF($O436="","",L436-O436-(L436*IF(L436&lt;=79.99,20%,14%)+IF(L436&lt;=79.99,4,IF(L436&lt;=99.99,16,IF(L436&lt;=199.99,20,IF(L436&lt;=499.99,26,28)))))-L436*1.3%-L436*6%-(L436-O436)*9.25%-L436*3%-L436*3%-1)</f>
        <v/>
      </c>
      <c r="Q436" s="22">
        <f>IF(AND(K436&lt;&gt;"",H436&gt;0),(H436-K436)/H436,"")</f>
        <v/>
      </c>
      <c r="R436" s="19" t="inlineStr">
        <is>
          <t>478386871025791</t>
        </is>
      </c>
      <c r="S436" s="23" t="n">
        <v>46209.64583333334</v>
      </c>
      <c r="T436" s="23" t="n">
        <v>46326.99930555555</v>
      </c>
      <c r="U436" s="19" t="inlineStr">
        <is>
          <t>100122</t>
        </is>
      </c>
      <c r="V436" t="inlineStr">
        <is>
          <t>213449</t>
        </is>
      </c>
      <c r="W436" t="inlineStr">
        <is>
          <t>venda casada (360 pedidos) · custo do KIT 213993 (1× 213449)</t>
        </is>
      </c>
      <c r="X436" t="n">
        <v>360</v>
      </c>
      <c r="Y436" t="inlineStr">
        <is>
          <t>ok</t>
        </is>
      </c>
    </row>
    <row r="437" ht="15" customFormat="1" customHeight="1" s="14">
      <c r="A437" s="14" t="inlineStr">
        <is>
          <t>Jacartta</t>
        </is>
      </c>
      <c r="B437" s="14" t="inlineStr">
        <is>
          <t>Balança Digital Medidora Corporal Bioimpedância até 180kg OliverHome</t>
        </is>
      </c>
      <c r="C437" s="14" t="inlineStr">
        <is>
          <t>Kit Bioimpedância + Cozinha</t>
        </is>
      </c>
      <c r="D437" s="14" t="inlineStr">
        <is>
          <t>BALANÇA-COZINHA-BIOIMPEDANCIA</t>
        </is>
      </c>
      <c r="E437" s="14" t="inlineStr">
        <is>
          <t>23798986920</t>
        </is>
      </c>
      <c r="F437" s="14" t="inlineStr">
        <is>
          <t>228792593646</t>
        </is>
      </c>
      <c r="G437" s="14" t="inlineStr">
        <is>
          <t>NORMAL</t>
        </is>
      </c>
      <c r="H437" s="15" t="n">
        <v>109.9</v>
      </c>
      <c r="I437" s="15" t="n">
        <v>89.90000000000001</v>
      </c>
      <c r="J437" s="16" t="inlineStr">
        <is>
          <t>SIM</t>
        </is>
      </c>
      <c r="K437" s="15" t="n">
        <v>89.90000000000001</v>
      </c>
      <c r="L437" s="35">
        <f>IF(K437&lt;&gt;"",K437,I437)</f>
        <v/>
      </c>
      <c r="M437" s="28" t="n"/>
      <c r="N437" s="28" t="n"/>
      <c r="O437" s="29" t="n"/>
      <c r="P437" s="80">
        <f>IF($O437="","",L437-O437-(L437*IF(L437&lt;=79.99,20%,14%)+IF(L437&lt;=79.99,4,IF(L437&lt;=99.99,16,IF(L437&lt;=199.99,20,IF(L437&lt;=499.99,26,28)))))-L437*1.3%-L437*6%-(L437-O437)*9.25%-L437*3%-L437*3%-1)</f>
        <v/>
      </c>
      <c r="Q437" s="17">
        <f>IF(AND(K437&lt;&gt;"",H437&gt;0),(H437-K437)/H437,"")</f>
        <v/>
      </c>
      <c r="R437" s="14" t="inlineStr">
        <is>
          <t>478386871025791</t>
        </is>
      </c>
      <c r="S437" s="18" t="n">
        <v>46209.64583333334</v>
      </c>
      <c r="T437" s="18" t="n">
        <v>46326.99930555555</v>
      </c>
      <c r="U437" s="14" t="inlineStr">
        <is>
          <t>100122</t>
        </is>
      </c>
      <c r="W437" t="inlineStr">
        <is>
          <t>sem correspondência</t>
        </is>
      </c>
      <c r="Y437" t="inlineStr"/>
    </row>
    <row r="438" ht="15" customFormat="1" customHeight="1" s="19">
      <c r="A438" s="19" t="inlineStr">
        <is>
          <t>Jacartta</t>
        </is>
      </c>
      <c r="B438" s="19" t="inlineStr">
        <is>
          <t>Bomba Submersa 1000 L/h Ideal Para Aquários Piscinas Fontes</t>
        </is>
      </c>
      <c r="C438" s="19" t="inlineStr">
        <is>
          <t>110V</t>
        </is>
      </c>
      <c r="D438" s="19" t="inlineStr">
        <is>
          <t>BOMBA-1000L-110V</t>
        </is>
      </c>
      <c r="E438" s="19" t="inlineStr">
        <is>
          <t>26045376262</t>
        </is>
      </c>
      <c r="F438" s="19" t="inlineStr">
        <is>
          <t>356239080865</t>
        </is>
      </c>
      <c r="G438" s="19" t="inlineStr">
        <is>
          <t>NORMAL</t>
        </is>
      </c>
      <c r="H438" s="20" t="n">
        <v>109.9</v>
      </c>
      <c r="I438" s="20" t="n">
        <v>72.90000000000001</v>
      </c>
      <c r="J438" s="21" t="inlineStr">
        <is>
          <t>SIM</t>
        </is>
      </c>
      <c r="K438" s="20" t="n">
        <v>72.90000000000001</v>
      </c>
      <c r="L438" s="35">
        <f>IF(K438&lt;&gt;"",K438,I438)</f>
        <v/>
      </c>
      <c r="M438" s="30" t="n"/>
      <c r="N438" s="30" t="n"/>
      <c r="O438" s="29" t="n"/>
      <c r="P438" s="80">
        <f>IF($O438="","",L438-O438-(L438*IF(L438&lt;=79.99,20%,14%)+IF(L438&lt;=79.99,4,IF(L438&lt;=99.99,16,IF(L438&lt;=199.99,20,IF(L438&lt;=499.99,26,28)))))-L438*1.3%-L438*6%-(L438-O438)*9.25%-L438*3%-L438*3%-1)</f>
        <v/>
      </c>
      <c r="Q438" s="22">
        <f>IF(AND(K438&lt;&gt;"",H438&gt;0),(H438-K438)/H438,"")</f>
        <v/>
      </c>
      <c r="R438" s="19" t="inlineStr">
        <is>
          <t>478386871025791</t>
        </is>
      </c>
      <c r="S438" s="23" t="n">
        <v>46209.64583333334</v>
      </c>
      <c r="T438" s="23" t="n">
        <v>46326.99930555555</v>
      </c>
      <c r="U438" s="19" t="inlineStr">
        <is>
          <t>100921</t>
        </is>
      </c>
      <c r="W438" t="inlineStr">
        <is>
          <t>sem correspondência</t>
        </is>
      </c>
      <c r="Y438" t="inlineStr"/>
    </row>
    <row r="439" ht="15" customFormat="1" customHeight="1" s="14">
      <c r="A439" s="14" t="inlineStr">
        <is>
          <t>Jacartta</t>
        </is>
      </c>
      <c r="B439" s="14" t="inlineStr">
        <is>
          <t>Bomba Submersa 1000 L/h Ideal Para Aquários Piscinas Fontes</t>
        </is>
      </c>
      <c r="C439" s="14" t="inlineStr">
        <is>
          <t>220V</t>
        </is>
      </c>
      <c r="D439" s="14" t="inlineStr">
        <is>
          <t>BOMBA-1000L-220V</t>
        </is>
      </c>
      <c r="E439" s="14" t="inlineStr">
        <is>
          <t>26045376262</t>
        </is>
      </c>
      <c r="F439" s="14" t="inlineStr">
        <is>
          <t>356239080866</t>
        </is>
      </c>
      <c r="G439" s="14" t="inlineStr">
        <is>
          <t>NORMAL</t>
        </is>
      </c>
      <c r="H439" s="15" t="n">
        <v>109.9</v>
      </c>
      <c r="I439" s="15" t="n">
        <v>72.90000000000001</v>
      </c>
      <c r="J439" s="16" t="inlineStr">
        <is>
          <t>SIM</t>
        </is>
      </c>
      <c r="K439" s="15" t="n">
        <v>72.90000000000001</v>
      </c>
      <c r="L439" s="35">
        <f>IF(K439&lt;&gt;"",K439,I439)</f>
        <v/>
      </c>
      <c r="M439" s="28" t="n"/>
      <c r="N439" s="28" t="n"/>
      <c r="O439" s="29" t="n"/>
      <c r="P439" s="80">
        <f>IF($O439="","",L439-O439-(L439*IF(L439&lt;=79.99,20%,14%)+IF(L439&lt;=79.99,4,IF(L439&lt;=99.99,16,IF(L439&lt;=199.99,20,IF(L439&lt;=499.99,26,28)))))-L439*1.3%-L439*6%-(L439-O439)*9.25%-L439*3%-L439*3%-1)</f>
        <v/>
      </c>
      <c r="Q439" s="17">
        <f>IF(AND(K439&lt;&gt;"",H439&gt;0),(H439-K439)/H439,"")</f>
        <v/>
      </c>
      <c r="R439" s="14" t="inlineStr">
        <is>
          <t>478386871025791</t>
        </is>
      </c>
      <c r="S439" s="18" t="n">
        <v>46209.64583333334</v>
      </c>
      <c r="T439" s="18" t="n">
        <v>46326.99930555555</v>
      </c>
      <c r="U439" s="14" t="inlineStr">
        <is>
          <t>100921</t>
        </is>
      </c>
      <c r="W439" t="inlineStr">
        <is>
          <t>sem correspondência</t>
        </is>
      </c>
      <c r="Y439" t="inlineStr"/>
    </row>
    <row r="440" ht="15" customFormat="1" customHeight="1" s="19">
      <c r="A440" s="19" t="inlineStr">
        <is>
          <t>Jacartta</t>
        </is>
      </c>
      <c r="B440" s="19" t="inlineStr">
        <is>
          <t>Bomba Submersa Bombinha Motor Para Aquário Fonte Água Bebedouro Pet 2000L p/h 110 ou 220V</t>
        </is>
      </c>
      <c r="C440" s="19" t="inlineStr">
        <is>
          <t>110V</t>
        </is>
      </c>
      <c r="D440" s="19" t="inlineStr">
        <is>
          <t>BOMBA-2000L-110V</t>
        </is>
      </c>
      <c r="E440" s="19" t="inlineStr">
        <is>
          <t>50664402341</t>
        </is>
      </c>
      <c r="F440" s="19" t="inlineStr">
        <is>
          <t>371239053630</t>
        </is>
      </c>
      <c r="G440" s="19" t="inlineStr">
        <is>
          <t>NORMAL</t>
        </is>
      </c>
      <c r="H440" s="20" t="n">
        <v>139.9</v>
      </c>
      <c r="I440" s="20" t="n">
        <v>99.90000000000001</v>
      </c>
      <c r="J440" s="21" t="inlineStr">
        <is>
          <t>SIM</t>
        </is>
      </c>
      <c r="K440" s="20" t="n">
        <v>99.90000000000001</v>
      </c>
      <c r="L440" s="35">
        <f>IF(K440&lt;&gt;"",K440,I440)</f>
        <v/>
      </c>
      <c r="M440" s="30" t="n"/>
      <c r="N440" s="30" t="n"/>
      <c r="O440" s="29" t="n"/>
      <c r="P440" s="80">
        <f>IF($O440="","",L440-O440-(L440*IF(L440&lt;=79.99,20%,14%)+IF(L440&lt;=79.99,4,IF(L440&lt;=99.99,16,IF(L440&lt;=199.99,20,IF(L440&lt;=499.99,26,28)))))-L440*1.3%-L440*6%-(L440-O440)*9.25%-L440*3%-L440*3%-1)</f>
        <v/>
      </c>
      <c r="Q440" s="22">
        <f>IF(AND(K440&lt;&gt;"",H440&gt;0),(H440-K440)/H440,"")</f>
        <v/>
      </c>
      <c r="R440" s="19" t="inlineStr">
        <is>
          <t>478386871025791</t>
        </is>
      </c>
      <c r="S440" s="23" t="n">
        <v>46209.64583333334</v>
      </c>
      <c r="T440" s="23" t="n">
        <v>46326.99930555555</v>
      </c>
      <c r="U440" s="19" t="inlineStr">
        <is>
          <t>100921</t>
        </is>
      </c>
      <c r="W440" t="inlineStr">
        <is>
          <t>sem correspondência</t>
        </is>
      </c>
      <c r="Y440" t="inlineStr"/>
    </row>
    <row r="441" ht="15" customFormat="1" customHeight="1" s="14">
      <c r="A441" s="14" t="inlineStr">
        <is>
          <t>Jacartta</t>
        </is>
      </c>
      <c r="B441" s="14" t="inlineStr">
        <is>
          <t>Bomba Submersa Bombinha Motor Para Aquário Fonte Água Bebedouro Pet 2000L p/h 110 ou 220V</t>
        </is>
      </c>
      <c r="C441" s="14" t="inlineStr">
        <is>
          <t>220V</t>
        </is>
      </c>
      <c r="D441" s="14" t="inlineStr">
        <is>
          <t>BOMBA-2000L-220V</t>
        </is>
      </c>
      <c r="E441" s="14" t="inlineStr">
        <is>
          <t>50664402341</t>
        </is>
      </c>
      <c r="F441" s="14" t="inlineStr">
        <is>
          <t>371239053631</t>
        </is>
      </c>
      <c r="G441" s="14" t="inlineStr">
        <is>
          <t>NORMAL</t>
        </is>
      </c>
      <c r="H441" s="15" t="n">
        <v>139.9</v>
      </c>
      <c r="I441" s="15" t="n">
        <v>99.90000000000001</v>
      </c>
      <c r="J441" s="16" t="inlineStr">
        <is>
          <t>SIM</t>
        </is>
      </c>
      <c r="K441" s="15" t="n">
        <v>99.90000000000001</v>
      </c>
      <c r="L441" s="35">
        <f>IF(K441&lt;&gt;"",K441,I441)</f>
        <v/>
      </c>
      <c r="M441" s="28" t="n"/>
      <c r="N441" s="28" t="n"/>
      <c r="O441" s="29" t="n"/>
      <c r="P441" s="80">
        <f>IF($O441="","",L441-O441-(L441*IF(L441&lt;=79.99,20%,14%)+IF(L441&lt;=79.99,4,IF(L441&lt;=99.99,16,IF(L441&lt;=199.99,20,IF(L441&lt;=499.99,26,28)))))-L441*1.3%-L441*6%-(L441-O441)*9.25%-L441*3%-L441*3%-1)</f>
        <v/>
      </c>
      <c r="Q441" s="17">
        <f>IF(AND(K441&lt;&gt;"",H441&gt;0),(H441-K441)/H441,"")</f>
        <v/>
      </c>
      <c r="R441" s="14" t="inlineStr">
        <is>
          <t>478386871025791</t>
        </is>
      </c>
      <c r="S441" s="18" t="n">
        <v>46209.64583333334</v>
      </c>
      <c r="T441" s="18" t="n">
        <v>46326.99930555555</v>
      </c>
      <c r="U441" s="14" t="inlineStr">
        <is>
          <t>100921</t>
        </is>
      </c>
      <c r="W441" t="inlineStr">
        <is>
          <t>sem correspondência</t>
        </is>
      </c>
      <c r="Y441" t="inlineStr"/>
    </row>
    <row r="442" ht="15" customFormat="1" customHeight="1" s="19">
      <c r="A442" s="14" t="inlineStr">
        <is>
          <t>Jacartta</t>
        </is>
      </c>
      <c r="B442" s="14" t="inlineStr">
        <is>
          <t>Brinquedo Interativo P/ Gatos Varinha Arranhador Pena Ratinho</t>
        </is>
      </c>
      <c r="C442" s="14" t="inlineStr">
        <is>
          <t>PENA EMITE SOM</t>
        </is>
      </c>
      <c r="D442" s="14" t="inlineStr">
        <is>
          <t>BRINQUEDO-PENA-C/SOM</t>
        </is>
      </c>
      <c r="E442" s="14" t="inlineStr">
        <is>
          <t>23397764365</t>
        </is>
      </c>
      <c r="F442" s="14" t="inlineStr">
        <is>
          <t>189598953409</t>
        </is>
      </c>
      <c r="G442" s="14" t="inlineStr">
        <is>
          <t>NORMAL</t>
        </is>
      </c>
      <c r="H442" s="15" t="n">
        <v>59.9</v>
      </c>
      <c r="I442" s="15" t="n">
        <v>24.9</v>
      </c>
      <c r="J442" s="16" t="inlineStr">
        <is>
          <t>SIM</t>
        </is>
      </c>
      <c r="K442" s="15" t="n">
        <v>24.9</v>
      </c>
      <c r="L442" s="35">
        <f>IF(K442&lt;&gt;"",K442,I442)</f>
        <v/>
      </c>
      <c r="M442" s="84" t="n">
        <v>1</v>
      </c>
      <c r="N442" s="85" t="n">
        <v>12.2</v>
      </c>
      <c r="O442" s="80">
        <f>ROUND(M442*N442,2)</f>
        <v/>
      </c>
      <c r="P442" s="80">
        <f>IF($O442="","",L442-O442-(L442*IF(L442&lt;=79.99,20%,14%)+IF(L442&lt;=79.99,4,IF(L442&lt;=99.99,16,IF(L442&lt;=199.99,20,IF(L442&lt;=499.99,26,28)))))-L442*1.3%-L442*6%-(L442-O442)*9.25%-L442*3%-L442*3%-1)</f>
        <v/>
      </c>
      <c r="Q442" s="17">
        <f>IF(AND(K442&lt;&gt;"",H442&gt;0),(H442-K442)/H442,"")</f>
        <v/>
      </c>
      <c r="R442" s="14" t="inlineStr">
        <is>
          <t>909481504866304</t>
        </is>
      </c>
      <c r="S442" s="18" t="n">
        <v>46144.3875</v>
      </c>
      <c r="T442" s="18" t="n">
        <v>46295.4375</v>
      </c>
      <c r="U442" s="14" t="inlineStr">
        <is>
          <t>101685</t>
        </is>
      </c>
      <c r="V442" t="inlineStr">
        <is>
          <t>213557</t>
        </is>
      </c>
      <c r="W442" t="inlineStr">
        <is>
          <t>SKU do de-para</t>
        </is>
      </c>
      <c r="X442" t="n">
        <v>3</v>
      </c>
      <c r="Y442" t="inlineStr">
        <is>
          <t>ok</t>
        </is>
      </c>
    </row>
    <row r="443" ht="15" customFormat="1" customHeight="1" s="14">
      <c r="A443" s="14" t="inlineStr">
        <is>
          <t>Jacartta</t>
        </is>
      </c>
      <c r="B443" s="14" t="inlineStr">
        <is>
          <t>Brinquedo Interativo Para Gatos Varinha Pássaro Com Ventosa Fixa</t>
        </is>
      </c>
      <c r="C443" s="14" t="inlineStr">
        <is>
          <t>AZUL</t>
        </is>
      </c>
      <c r="D443" s="14" t="inlineStr">
        <is>
          <t>BRINQUEDO-VARA-CAT-AZUL</t>
        </is>
      </c>
      <c r="E443" s="14" t="inlineStr">
        <is>
          <t>19997807513</t>
        </is>
      </c>
      <c r="F443" s="14" t="inlineStr">
        <is>
          <t>219598954060</t>
        </is>
      </c>
      <c r="G443" s="14" t="inlineStr">
        <is>
          <t>NORMAL</t>
        </is>
      </c>
      <c r="H443" s="15" t="n">
        <v>39.9</v>
      </c>
      <c r="I443" s="15" t="n">
        <v>24.9</v>
      </c>
      <c r="J443" s="16" t="inlineStr">
        <is>
          <t>SIM</t>
        </is>
      </c>
      <c r="K443" s="15" t="n">
        <v>24.9</v>
      </c>
      <c r="L443" s="35">
        <f>IF(K443&lt;&gt;"",K443,I443)</f>
        <v/>
      </c>
      <c r="M443" s="84" t="n">
        <v>1</v>
      </c>
      <c r="N443" s="85" t="n">
        <v>4.33</v>
      </c>
      <c r="O443" s="80">
        <f>ROUND(M443*N443,2)</f>
        <v/>
      </c>
      <c r="P443" s="80">
        <f>IF($O443="","",L443-O443-(L443*IF(L443&lt;=79.99,20%,14%)+IF(L443&lt;=79.99,4,IF(L443&lt;=99.99,16,IF(L443&lt;=199.99,20,IF(L443&lt;=499.99,26,28)))))-L443*1.3%-L443*6%-(L443-O443)*9.25%-L443*3%-L443*3%-1)</f>
        <v/>
      </c>
      <c r="Q443" s="17">
        <f>IF(AND(K443&lt;&gt;"",H443&gt;0),(H443-K443)/H443,"")</f>
        <v/>
      </c>
      <c r="R443" s="14" t="inlineStr">
        <is>
          <t>909481504866304</t>
        </is>
      </c>
      <c r="S443" s="18" t="n">
        <v>46144.3875</v>
      </c>
      <c r="T443" s="18" t="n">
        <v>46295.4375</v>
      </c>
      <c r="U443" s="14" t="inlineStr">
        <is>
          <t>101925</t>
        </is>
      </c>
      <c r="V443" t="inlineStr">
        <is>
          <t>213524</t>
        </is>
      </c>
      <c r="W443" t="inlineStr">
        <is>
          <t>venda casada (1 pedido)</t>
        </is>
      </c>
      <c r="X443" t="n">
        <v>1</v>
      </c>
      <c r="Y443" t="inlineStr">
        <is>
          <t>⚠ evidência fraca (1 pedido)</t>
        </is>
      </c>
    </row>
    <row r="444" ht="15" customFormat="1" customHeight="1" s="19">
      <c r="A444" s="14" t="inlineStr">
        <is>
          <t>Jacartta</t>
        </is>
      </c>
      <c r="B444" s="14" t="inlineStr">
        <is>
          <t>Brinquedo Mordedor Osso Bamboo Sabor Bacon Limpeza Dentes Tartaro Truqys</t>
        </is>
      </c>
      <c r="C444" s="14" t="inlineStr">
        <is>
          <t>Forquilha Grande</t>
        </is>
      </c>
      <c r="D444" s="14" t="inlineStr">
        <is>
          <t>0335</t>
        </is>
      </c>
      <c r="E444" s="14" t="inlineStr">
        <is>
          <t>19098604153</t>
        </is>
      </c>
      <c r="F444" s="14" t="inlineStr">
        <is>
          <t>109712306409</t>
        </is>
      </c>
      <c r="G444" s="14" t="inlineStr">
        <is>
          <t>NORMAL</t>
        </is>
      </c>
      <c r="H444" s="15" t="n">
        <v>61.9</v>
      </c>
      <c r="I444" s="15" t="n">
        <v>32.9</v>
      </c>
      <c r="J444" s="16" t="inlineStr">
        <is>
          <t>SIM</t>
        </is>
      </c>
      <c r="K444" s="15" t="n">
        <v>32.9</v>
      </c>
      <c r="L444" s="35">
        <f>IF(K444&lt;&gt;"",K444,I444)</f>
        <v/>
      </c>
      <c r="M444" s="84" t="n">
        <v>1</v>
      </c>
      <c r="N444" s="85" t="n">
        <v>9.93</v>
      </c>
      <c r="O444" s="80">
        <f>ROUND(M444*N444,2)</f>
        <v/>
      </c>
      <c r="P444" s="80">
        <f>IF($O444="","",L444-O444-(L444*IF(L444&lt;=79.99,20%,14%)+IF(L444&lt;=79.99,4,IF(L444&lt;=99.99,16,IF(L444&lt;=199.99,20,IF(L444&lt;=499.99,26,28)))))-L444*1.3%-L444*6%-(L444-O444)*9.25%-L444*3%-L444*3%-1)</f>
        <v/>
      </c>
      <c r="Q444" s="17">
        <f>IF(AND(K444&lt;&gt;"",H444&gt;0),(H444-K444)/H444,"")</f>
        <v/>
      </c>
      <c r="R444" s="14" t="inlineStr">
        <is>
          <t>909481504866304</t>
        </is>
      </c>
      <c r="S444" s="18" t="n">
        <v>46144.3875</v>
      </c>
      <c r="T444" s="18" t="n">
        <v>46295.4375</v>
      </c>
      <c r="U444" s="14" t="inlineStr">
        <is>
          <t>101926</t>
        </is>
      </c>
      <c r="V444" t="inlineStr">
        <is>
          <t>215142</t>
        </is>
      </c>
      <c r="W444" t="inlineStr">
        <is>
          <t>venda casada (2 pedidos)</t>
        </is>
      </c>
      <c r="X444" t="n">
        <v>2</v>
      </c>
      <c r="Y444" t="inlineStr">
        <is>
          <t>ok</t>
        </is>
      </c>
    </row>
    <row r="445" ht="15" customFormat="1" customHeight="1" s="14">
      <c r="A445" s="19" t="inlineStr">
        <is>
          <t>Jacartta</t>
        </is>
      </c>
      <c r="B445" s="19" t="inlineStr">
        <is>
          <t>Brinquedo Mordedor Osso Bamboo Sabor Bacon Limpeza Dentes Tartaro Truqys</t>
        </is>
      </c>
      <c r="C445" s="19" t="inlineStr">
        <is>
          <t>Forquilha Pequena</t>
        </is>
      </c>
      <c r="D445" s="19" t="inlineStr">
        <is>
          <t>0334</t>
        </is>
      </c>
      <c r="E445" s="19" t="inlineStr">
        <is>
          <t>19098604153</t>
        </is>
      </c>
      <c r="F445" s="19" t="inlineStr">
        <is>
          <t>109712306408</t>
        </is>
      </c>
      <c r="G445" s="19" t="inlineStr">
        <is>
          <t>NORMAL</t>
        </is>
      </c>
      <c r="H445" s="20" t="n">
        <v>44.9</v>
      </c>
      <c r="I445" s="20" t="n">
        <v>44.9</v>
      </c>
      <c r="J445" s="21" t="inlineStr">
        <is>
          <t>NÃO</t>
        </is>
      </c>
      <c r="K445" s="20" t="n"/>
      <c r="L445" s="35">
        <f>IF(K445&lt;&gt;"",K445,I445)</f>
        <v/>
      </c>
      <c r="M445" s="30" t="n"/>
      <c r="N445" s="30" t="n"/>
      <c r="O445" s="31" t="n"/>
      <c r="P445" s="80">
        <f>IF($O445="","",L445-O445-(L445*IF(L445&lt;=79.99,20%,14%)+IF(L445&lt;=79.99,4,IF(L445&lt;=99.99,16,IF(L445&lt;=199.99,20,IF(L445&lt;=499.99,26,28)))))-L445*1.3%-L445*6%-(L445-O445)*9.25%-L445*3%-L445*3%-1)</f>
        <v/>
      </c>
      <c r="Q445" s="22">
        <f>IF(AND(K445&lt;&gt;"",H445&gt;0),(H445-K445)/H445,"")</f>
        <v/>
      </c>
      <c r="R445" s="19" t="inlineStr"/>
      <c r="S445" s="23" t="n"/>
      <c r="T445" s="23" t="n"/>
      <c r="U445" s="19" t="inlineStr">
        <is>
          <t>101926</t>
        </is>
      </c>
      <c r="W445" t="inlineStr">
        <is>
          <t>sem correspondência</t>
        </is>
      </c>
      <c r="Y445" t="inlineStr"/>
    </row>
    <row r="446" ht="15" customFormat="1" customHeight="1" s="19">
      <c r="A446" s="14" t="inlineStr">
        <is>
          <t>Jacartta</t>
        </is>
      </c>
      <c r="B446" s="14" t="inlineStr">
        <is>
          <t>Brinquedo Mordedor Osso Bamboo Sabor Bacon Limpeza Dentes Tartaro Truqys</t>
        </is>
      </c>
      <c r="C446" s="14" t="inlineStr">
        <is>
          <t>Osso Grande</t>
        </is>
      </c>
      <c r="D446" s="14" t="inlineStr">
        <is>
          <t>0333</t>
        </is>
      </c>
      <c r="E446" s="14" t="inlineStr">
        <is>
          <t>19098604153</t>
        </is>
      </c>
      <c r="F446" s="14" t="inlineStr">
        <is>
          <t>109712306406</t>
        </is>
      </c>
      <c r="G446" s="14" t="inlineStr">
        <is>
          <t>NORMAL</t>
        </is>
      </c>
      <c r="H446" s="15" t="n">
        <v>61.9</v>
      </c>
      <c r="I446" s="15" t="n">
        <v>21.9</v>
      </c>
      <c r="J446" s="16" t="inlineStr">
        <is>
          <t>SIM</t>
        </is>
      </c>
      <c r="K446" s="15" t="n">
        <v>21.9</v>
      </c>
      <c r="L446" s="35">
        <f>IF(K446&lt;&gt;"",K446,I446)</f>
        <v/>
      </c>
      <c r="M446" s="84" t="n">
        <v>1</v>
      </c>
      <c r="N446" s="85" t="n">
        <v>9.93</v>
      </c>
      <c r="O446" s="80">
        <f>ROUND(M446*N446,2)</f>
        <v/>
      </c>
      <c r="P446" s="80">
        <f>IF($O446="","",L446-O446-(L446*IF(L446&lt;=79.99,20%,14%)+IF(L446&lt;=79.99,4,IF(L446&lt;=99.99,16,IF(L446&lt;=199.99,20,IF(L446&lt;=499.99,26,28)))))-L446*1.3%-L446*6%-(L446-O446)*9.25%-L446*3%-L446*3%-1)</f>
        <v/>
      </c>
      <c r="Q446" s="17">
        <f>IF(AND(K446&lt;&gt;"",H446&gt;0),(H446-K446)/H446,"")</f>
        <v/>
      </c>
      <c r="R446" s="14" t="inlineStr">
        <is>
          <t>909481504866304</t>
        </is>
      </c>
      <c r="S446" s="18" t="n">
        <v>46144.3875</v>
      </c>
      <c r="T446" s="18" t="n">
        <v>46295.4375</v>
      </c>
      <c r="U446" s="14" t="inlineStr">
        <is>
          <t>101926</t>
        </is>
      </c>
      <c r="V446" t="inlineStr">
        <is>
          <t>215139</t>
        </is>
      </c>
      <c r="W446" t="inlineStr">
        <is>
          <t>venda casada (1 pedido)</t>
        </is>
      </c>
      <c r="X446" t="n">
        <v>1</v>
      </c>
      <c r="Y446" t="inlineStr">
        <is>
          <t>⚠ evidência fraca (1 pedido)</t>
        </is>
      </c>
    </row>
    <row r="447" ht="15" customFormat="1" customHeight="1" s="14">
      <c r="A447" s="14" t="inlineStr">
        <is>
          <t>Jacartta</t>
        </is>
      </c>
      <c r="B447" s="14" t="inlineStr">
        <is>
          <t>Brinquedo Mordedor Osso Bamboo Sabor Bacon Limpeza Dentes Tartaro Truqys</t>
        </is>
      </c>
      <c r="C447" s="14" t="inlineStr">
        <is>
          <t>Peixe</t>
        </is>
      </c>
      <c r="D447" s="14" t="inlineStr">
        <is>
          <t>0330</t>
        </is>
      </c>
      <c r="E447" s="14" t="inlineStr">
        <is>
          <t>19098604153</t>
        </is>
      </c>
      <c r="F447" s="14" t="inlineStr">
        <is>
          <t>109712306404</t>
        </is>
      </c>
      <c r="G447" s="14" t="inlineStr">
        <is>
          <t>NORMAL</t>
        </is>
      </c>
      <c r="H447" s="15" t="n">
        <v>46.9</v>
      </c>
      <c r="I447" s="15" t="n">
        <v>27.9</v>
      </c>
      <c r="J447" s="16" t="inlineStr">
        <is>
          <t>SIM</t>
        </is>
      </c>
      <c r="K447" s="15" t="n">
        <v>27.9</v>
      </c>
      <c r="L447" s="35">
        <f>IF(K447&lt;&gt;"",K447,I447)</f>
        <v/>
      </c>
      <c r="M447" s="28" t="n"/>
      <c r="N447" s="28" t="n"/>
      <c r="O447" s="29" t="n"/>
      <c r="P447" s="80">
        <f>IF($O447="","",L447-O447-(L447*IF(L447&lt;=79.99,20%,14%)+IF(L447&lt;=79.99,4,IF(L447&lt;=99.99,16,IF(L447&lt;=199.99,20,IF(L447&lt;=499.99,26,28)))))-L447*1.3%-L447*6%-(L447-O447)*9.25%-L447*3%-L447*3%-1)</f>
        <v/>
      </c>
      <c r="Q447" s="17">
        <f>IF(AND(K447&lt;&gt;"",H447&gt;0),(H447-K447)/H447,"")</f>
        <v/>
      </c>
      <c r="R447" s="14" t="inlineStr">
        <is>
          <t>909481504866304</t>
        </is>
      </c>
      <c r="S447" s="18" t="n">
        <v>46144.3875</v>
      </c>
      <c r="T447" s="18" t="n">
        <v>46295.4375</v>
      </c>
      <c r="U447" s="14" t="inlineStr">
        <is>
          <t>101926</t>
        </is>
      </c>
      <c r="W447" t="inlineStr">
        <is>
          <t>sem correspondência</t>
        </is>
      </c>
      <c r="Y447" t="inlineStr"/>
    </row>
    <row r="448" ht="15" customFormat="1" customHeight="1" s="19">
      <c r="A448" s="19" t="inlineStr">
        <is>
          <t>Jacartta</t>
        </is>
      </c>
      <c r="B448" s="19" t="inlineStr">
        <is>
          <t>Brinquedo Mordedor Osso Bamboo Sabor Bacon Limpeza Dentes Tartaro Truqys</t>
        </is>
      </c>
      <c r="C448" s="19" t="inlineStr">
        <is>
          <t>V pequeno</t>
        </is>
      </c>
      <c r="D448" s="19" t="inlineStr">
        <is>
          <t>0331</t>
        </is>
      </c>
      <c r="E448" s="19" t="inlineStr">
        <is>
          <t>19098604153</t>
        </is>
      </c>
      <c r="F448" s="19" t="inlineStr">
        <is>
          <t>109712306407</t>
        </is>
      </c>
      <c r="G448" s="19" t="inlineStr">
        <is>
          <t>NORMAL</t>
        </is>
      </c>
      <c r="H448" s="20" t="n">
        <v>41.9</v>
      </c>
      <c r="I448" s="20" t="n">
        <v>41.9</v>
      </c>
      <c r="J448" s="21" t="inlineStr">
        <is>
          <t>NÃO</t>
        </is>
      </c>
      <c r="K448" s="20" t="n"/>
      <c r="L448" s="35">
        <f>IF(K448&lt;&gt;"",K448,I448)</f>
        <v/>
      </c>
      <c r="M448" s="30" t="n"/>
      <c r="N448" s="30" t="n"/>
      <c r="O448" s="31" t="n"/>
      <c r="P448" s="80">
        <f>IF($O448="","",L448-O448-(L448*IF(L448&lt;=79.99,20%,14%)+IF(L448&lt;=79.99,4,IF(L448&lt;=99.99,16,IF(L448&lt;=199.99,20,IF(L448&lt;=499.99,26,28)))))-L448*1.3%-L448*6%-(L448-O448)*9.25%-L448*3%-L448*3%-1)</f>
        <v/>
      </c>
      <c r="Q448" s="22">
        <f>IF(AND(K448&lt;&gt;"",H448&gt;0),(H448-K448)/H448,"")</f>
        <v/>
      </c>
      <c r="R448" s="19" t="inlineStr"/>
      <c r="S448" s="23" t="n"/>
      <c r="T448" s="23" t="n"/>
      <c r="U448" s="19" t="inlineStr">
        <is>
          <t>101926</t>
        </is>
      </c>
      <c r="W448" t="inlineStr">
        <is>
          <t>sem correspondência</t>
        </is>
      </c>
      <c r="Y448" t="inlineStr"/>
    </row>
    <row r="449" ht="15" customFormat="1" customHeight="1" s="14">
      <c r="A449" s="14" t="inlineStr">
        <is>
          <t>Jacartta</t>
        </is>
      </c>
      <c r="B449" s="14" t="inlineStr">
        <is>
          <t>Brinquedo Mordedor Osso Bamboo Sabor Bacon Limpeza Dentes Tartaro Truqys</t>
        </is>
      </c>
      <c r="C449" s="14" t="inlineStr">
        <is>
          <t>Y Grande</t>
        </is>
      </c>
      <c r="D449" s="14" t="inlineStr">
        <is>
          <t>0337</t>
        </is>
      </c>
      <c r="E449" s="14" t="inlineStr">
        <is>
          <t>19098604153</t>
        </is>
      </c>
      <c r="F449" s="14" t="inlineStr">
        <is>
          <t>109712306402</t>
        </is>
      </c>
      <c r="G449" s="14" t="inlineStr">
        <is>
          <t>NORMAL</t>
        </is>
      </c>
      <c r="H449" s="15" t="n">
        <v>61.9</v>
      </c>
      <c r="I449" s="15" t="n">
        <v>61.9</v>
      </c>
      <c r="J449" s="16" t="inlineStr">
        <is>
          <t>NÃO</t>
        </is>
      </c>
      <c r="K449" s="15" t="n"/>
      <c r="L449" s="35">
        <f>IF(K449&lt;&gt;"",K449,I449)</f>
        <v/>
      </c>
      <c r="M449" s="28" t="n"/>
      <c r="N449" s="28" t="n"/>
      <c r="O449" s="29" t="n"/>
      <c r="P449" s="80">
        <f>IF($O449="","",L449-O449-(L449*IF(L449&lt;=79.99,20%,14%)+IF(L449&lt;=79.99,4,IF(L449&lt;=99.99,16,IF(L449&lt;=199.99,20,IF(L449&lt;=499.99,26,28)))))-L449*1.3%-L449*6%-(L449-O449)*9.25%-L449*3%-L449*3%-1)</f>
        <v/>
      </c>
      <c r="Q449" s="17">
        <f>IF(AND(K449&lt;&gt;"",H449&gt;0),(H449-K449)/H449,"")</f>
        <v/>
      </c>
      <c r="R449" s="14" t="inlineStr"/>
      <c r="S449" s="18" t="n"/>
      <c r="T449" s="18" t="n"/>
      <c r="U449" s="14" t="inlineStr">
        <is>
          <t>101926</t>
        </is>
      </c>
      <c r="W449" t="inlineStr">
        <is>
          <t>sem correspondência</t>
        </is>
      </c>
      <c r="Y449" t="inlineStr"/>
    </row>
    <row r="450" ht="15" customFormat="1" customHeight="1" s="19">
      <c r="A450" s="19" t="inlineStr">
        <is>
          <t>Jacartta</t>
        </is>
      </c>
      <c r="B450" s="19" t="inlineStr">
        <is>
          <t>Brinquedo Mordedor Osso Bamboo Sabor Bacon Limpeza Dentes Tartaro Truqys</t>
        </is>
      </c>
      <c r="C450" s="19" t="inlineStr">
        <is>
          <t>Y Pequeno</t>
        </is>
      </c>
      <c r="D450" s="19" t="inlineStr">
        <is>
          <t>0336</t>
        </is>
      </c>
      <c r="E450" s="19" t="inlineStr">
        <is>
          <t>19098604153</t>
        </is>
      </c>
      <c r="F450" s="19" t="inlineStr">
        <is>
          <t>109712306403</t>
        </is>
      </c>
      <c r="G450" s="19" t="inlineStr">
        <is>
          <t>NORMAL</t>
        </is>
      </c>
      <c r="H450" s="20" t="n">
        <v>44.9</v>
      </c>
      <c r="I450" s="20" t="n">
        <v>44.9</v>
      </c>
      <c r="J450" s="21" t="inlineStr">
        <is>
          <t>NÃO</t>
        </is>
      </c>
      <c r="K450" s="20" t="n"/>
      <c r="L450" s="35">
        <f>IF(K450&lt;&gt;"",K450,I450)</f>
        <v/>
      </c>
      <c r="M450" s="30" t="n"/>
      <c r="N450" s="30" t="n"/>
      <c r="O450" s="31" t="n"/>
      <c r="P450" s="80">
        <f>IF($O450="","",L450-O450-(L450*IF(L450&lt;=79.99,20%,14%)+IF(L450&lt;=79.99,4,IF(L450&lt;=99.99,16,IF(L450&lt;=199.99,20,IF(L450&lt;=499.99,26,28)))))-L450*1.3%-L450*6%-(L450-O450)*9.25%-L450*3%-L450*3%-1)</f>
        <v/>
      </c>
      <c r="Q450" s="22">
        <f>IF(AND(K450&lt;&gt;"",H450&gt;0),(H450-K450)/H450,"")</f>
        <v/>
      </c>
      <c r="R450" s="19" t="inlineStr"/>
      <c r="S450" s="23" t="n"/>
      <c r="T450" s="23" t="n"/>
      <c r="U450" s="19" t="inlineStr">
        <is>
          <t>101926</t>
        </is>
      </c>
      <c r="W450" t="inlineStr">
        <is>
          <t>sem correspondência</t>
        </is>
      </c>
      <c r="Y450" t="inlineStr"/>
    </row>
    <row r="451" ht="15" customFormat="1" customHeight="1" s="14">
      <c r="A451" s="14" t="inlineStr">
        <is>
          <t>Jacartta</t>
        </is>
      </c>
      <c r="B451" s="14" t="inlineStr">
        <is>
          <t>Cabide Para Calças Roupas Multiuso Reforçado Adulto Saias Camisetas</t>
        </is>
      </c>
      <c r="C451" s="14" t="inlineStr">
        <is>
          <t>1 Unidade Branco</t>
        </is>
      </c>
      <c r="D451" s="14" t="inlineStr">
        <is>
          <t>CABIDE,MULTIFUNCIONAL-BRANCO-1UN</t>
        </is>
      </c>
      <c r="E451" s="14" t="inlineStr">
        <is>
          <t>23699014908</t>
        </is>
      </c>
      <c r="F451" s="14" t="inlineStr">
        <is>
          <t>229438323478</t>
        </is>
      </c>
      <c r="G451" s="14" t="inlineStr">
        <is>
          <t>NORMAL</t>
        </is>
      </c>
      <c r="H451" s="15" t="n">
        <v>59.9</v>
      </c>
      <c r="I451" s="15" t="n">
        <v>21.9</v>
      </c>
      <c r="J451" s="16" t="inlineStr">
        <is>
          <t>SIM</t>
        </is>
      </c>
      <c r="K451" s="15" t="n">
        <v>21.9</v>
      </c>
      <c r="L451" s="35">
        <f>IF(K451&lt;&gt;"",K451,I451)</f>
        <v/>
      </c>
      <c r="M451" s="28" t="n"/>
      <c r="N451" s="28" t="n"/>
      <c r="O451" s="29" t="n"/>
      <c r="P451" s="80">
        <f>IF($O451="","",L451-O451-(L451*IF(L451&lt;=79.99,20%,14%)+IF(L451&lt;=79.99,4,IF(L451&lt;=99.99,16,IF(L451&lt;=199.99,20,IF(L451&lt;=499.99,26,28)))))-L451*1.3%-L451*6%-(L451-O451)*9.25%-L451*3%-L451*3%-1)</f>
        <v/>
      </c>
      <c r="Q451" s="17">
        <f>IF(AND(K451&lt;&gt;"",H451&gt;0),(H451-K451)/H451,"")</f>
        <v/>
      </c>
      <c r="R451" s="14" t="inlineStr">
        <is>
          <t>478386871025791</t>
        </is>
      </c>
      <c r="S451" s="18" t="n">
        <v>46209.64583333334</v>
      </c>
      <c r="T451" s="18" t="n">
        <v>46326.99930555555</v>
      </c>
      <c r="U451" s="14" t="inlineStr">
        <is>
          <t>101253</t>
        </is>
      </c>
      <c r="W451" t="inlineStr">
        <is>
          <t>ambíguo: CABIDE,MULTIFUNCIONAL-BRANCO-1UN (50%) vs 214149</t>
        </is>
      </c>
      <c r="X451" t="n">
        <v>2</v>
      </c>
      <c r="Y451" t="inlineStr"/>
    </row>
    <row r="452" ht="15" customFormat="1" customHeight="1" s="19">
      <c r="A452" s="19" t="inlineStr">
        <is>
          <t>Jacartta</t>
        </is>
      </c>
      <c r="B452" s="19" t="inlineStr">
        <is>
          <t>Cabide Para Calças Roupas Multiuso Reforçado Adulto Saias Camisetas</t>
        </is>
      </c>
      <c r="C452" s="19" t="inlineStr">
        <is>
          <t>1 Unidade Preto</t>
        </is>
      </c>
      <c r="D452" s="19" t="inlineStr">
        <is>
          <t>CABIDE,MULTIFUNCIONAL-PRETO-1UN</t>
        </is>
      </c>
      <c r="E452" s="19" t="inlineStr">
        <is>
          <t>23699014908</t>
        </is>
      </c>
      <c r="F452" s="19" t="inlineStr">
        <is>
          <t>229438323477</t>
        </is>
      </c>
      <c r="G452" s="19" t="inlineStr">
        <is>
          <t>NORMAL</t>
        </is>
      </c>
      <c r="H452" s="20" t="n">
        <v>59.9</v>
      </c>
      <c r="I452" s="20" t="n">
        <v>21.9</v>
      </c>
      <c r="J452" s="21" t="inlineStr">
        <is>
          <t>SIM</t>
        </is>
      </c>
      <c r="K452" s="20" t="n">
        <v>21.9</v>
      </c>
      <c r="L452" s="35">
        <f>IF(K452&lt;&gt;"",K452,I452)</f>
        <v/>
      </c>
      <c r="M452" s="30" t="n"/>
      <c r="N452" s="30" t="n"/>
      <c r="O452" s="29" t="n"/>
      <c r="P452" s="80">
        <f>IF($O452="","",L452-O452-(L452*IF(L452&lt;=79.99,20%,14%)+IF(L452&lt;=79.99,4,IF(L452&lt;=99.99,16,IF(L452&lt;=199.99,20,IF(L452&lt;=499.99,26,28)))))-L452*1.3%-L452*6%-(L452-O452)*9.25%-L452*3%-L452*3%-1)</f>
        <v/>
      </c>
      <c r="Q452" s="22">
        <f>IF(AND(K452&lt;&gt;"",H452&gt;0),(H452-K452)/H452,"")</f>
        <v/>
      </c>
      <c r="R452" s="19" t="inlineStr">
        <is>
          <t>478386871025791</t>
        </is>
      </c>
      <c r="S452" s="23" t="n">
        <v>46209.64583333334</v>
      </c>
      <c r="T452" s="23" t="n">
        <v>46326.99930555555</v>
      </c>
      <c r="U452" s="19" t="inlineStr">
        <is>
          <t>101253</t>
        </is>
      </c>
      <c r="W452" t="inlineStr">
        <is>
          <t>sem correspondência</t>
        </is>
      </c>
      <c r="Y452" t="inlineStr"/>
    </row>
    <row r="453" ht="15" customFormat="1" customHeight="1" s="14">
      <c r="A453" s="14" t="inlineStr">
        <is>
          <t>Jacartta</t>
        </is>
      </c>
      <c r="B453" s="14" t="inlineStr">
        <is>
          <t>Cabide Para Calças Roupas Multiuso Reforçado Adulto Saias Camisetas</t>
        </is>
      </c>
      <c r="C453" s="14" t="inlineStr">
        <is>
          <t>2 Unidades Branco</t>
        </is>
      </c>
      <c r="D453" s="14" t="inlineStr">
        <is>
          <t>CABIDE,MULTIFUNCIONAL-BRANCO-2UN</t>
        </is>
      </c>
      <c r="E453" s="14" t="inlineStr">
        <is>
          <t>23699014908</t>
        </is>
      </c>
      <c r="F453" s="14" t="inlineStr">
        <is>
          <t>229438323480</t>
        </is>
      </c>
      <c r="G453" s="14" t="inlineStr">
        <is>
          <t>NORMAL</t>
        </is>
      </c>
      <c r="H453" s="15" t="n">
        <v>59.9</v>
      </c>
      <c r="I453" s="15" t="n">
        <v>29.9</v>
      </c>
      <c r="J453" s="16" t="inlineStr">
        <is>
          <t>SIM</t>
        </is>
      </c>
      <c r="K453" s="15" t="n">
        <v>29.9</v>
      </c>
      <c r="L453" s="35">
        <f>IF(K453&lt;&gt;"",K453,I453)</f>
        <v/>
      </c>
      <c r="M453" s="28" t="n"/>
      <c r="N453" s="28" t="n"/>
      <c r="O453" s="29" t="n"/>
      <c r="P453" s="80">
        <f>IF($O453="","",L453-O453-(L453*IF(L453&lt;=79.99,20%,14%)+IF(L453&lt;=79.99,4,IF(L453&lt;=99.99,16,IF(L453&lt;=199.99,20,IF(L453&lt;=499.99,26,28)))))-L453*1.3%-L453*6%-(L453-O453)*9.25%-L453*3%-L453*3%-1)</f>
        <v/>
      </c>
      <c r="Q453" s="17">
        <f>IF(AND(K453&lt;&gt;"",H453&gt;0),(H453-K453)/H453,"")</f>
        <v/>
      </c>
      <c r="R453" s="14" t="inlineStr">
        <is>
          <t>478386871025791</t>
        </is>
      </c>
      <c r="S453" s="18" t="n">
        <v>46209.64583333334</v>
      </c>
      <c r="T453" s="18" t="n">
        <v>46326.99930555555</v>
      </c>
      <c r="U453" s="14" t="inlineStr">
        <is>
          <t>101253</t>
        </is>
      </c>
      <c r="W453" t="inlineStr">
        <is>
          <t>ambíguo: 214149 (75%) vs CABIDE,MULTIFUNCIONAL-BRANCO-2UN</t>
        </is>
      </c>
      <c r="X453" t="n">
        <v>4</v>
      </c>
      <c r="Y453" t="inlineStr"/>
    </row>
    <row r="454" ht="15" customFormat="1" customHeight="1" s="19">
      <c r="A454" s="19" t="inlineStr">
        <is>
          <t>Jacartta</t>
        </is>
      </c>
      <c r="B454" s="19" t="inlineStr">
        <is>
          <t>Cabide Para Calças Roupas Multiuso Reforçado Adulto Saias Camisetas</t>
        </is>
      </c>
      <c r="C454" s="19" t="inlineStr">
        <is>
          <t>2 Unidades Preto</t>
        </is>
      </c>
      <c r="D454" s="19" t="inlineStr">
        <is>
          <t>CABIDE,MULTIFUNCIONAL-PRETO-2UN</t>
        </is>
      </c>
      <c r="E454" s="19" t="inlineStr">
        <is>
          <t>23699014908</t>
        </is>
      </c>
      <c r="F454" s="19" t="inlineStr">
        <is>
          <t>229438323479</t>
        </is>
      </c>
      <c r="G454" s="19" t="inlineStr">
        <is>
          <t>NORMAL</t>
        </is>
      </c>
      <c r="H454" s="20" t="n">
        <v>59.9</v>
      </c>
      <c r="I454" s="20" t="n">
        <v>29.9</v>
      </c>
      <c r="J454" s="21" t="inlineStr">
        <is>
          <t>SIM</t>
        </is>
      </c>
      <c r="K454" s="20" t="n">
        <v>29.9</v>
      </c>
      <c r="L454" s="35">
        <f>IF(K454&lt;&gt;"",K454,I454)</f>
        <v/>
      </c>
      <c r="M454" s="81" t="n">
        <v>2</v>
      </c>
      <c r="N454" s="82" t="n">
        <v>4.51</v>
      </c>
      <c r="O454" s="80">
        <f>ROUND(M454*N454,2)</f>
        <v/>
      </c>
      <c r="P454" s="80">
        <f>IF($O454="","",L454-O454-(L454*IF(L454&lt;=79.99,20%,14%)+IF(L454&lt;=79.99,4,IF(L454&lt;=99.99,16,IF(L454&lt;=199.99,20,IF(L454&lt;=499.99,26,28)))))-L454*1.3%-L454*6%-(L454-O454)*9.25%-L454*3%-L454*3%-1)</f>
        <v/>
      </c>
      <c r="Q454" s="22">
        <f>IF(AND(K454&lt;&gt;"",H454&gt;0),(H454-K454)/H454,"")</f>
        <v/>
      </c>
      <c r="R454" s="19" t="inlineStr">
        <is>
          <t>478386871025791</t>
        </is>
      </c>
      <c r="S454" s="23" t="n">
        <v>46209.64583333334</v>
      </c>
      <c r="T454" s="23" t="n">
        <v>46326.99930555555</v>
      </c>
      <c r="U454" s="19" t="inlineStr">
        <is>
          <t>101253</t>
        </is>
      </c>
      <c r="V454" t="inlineStr">
        <is>
          <t>214150</t>
        </is>
      </c>
      <c r="W454" t="inlineStr">
        <is>
          <t>SKU do de-para · custo do KIT 214154 (2× 214150)</t>
        </is>
      </c>
      <c r="X454" t="n">
        <v>2</v>
      </c>
      <c r="Y454" t="inlineStr">
        <is>
          <t>ok</t>
        </is>
      </c>
    </row>
    <row r="455" ht="15" customFormat="1" customHeight="1" s="14">
      <c r="A455" s="14" t="inlineStr">
        <is>
          <t>Jacartta</t>
        </is>
      </c>
      <c r="B455" s="14" t="inlineStr">
        <is>
          <t>Cabide Para Calças Roupas Multiuso Reforçado Adulto Saias Camisetas</t>
        </is>
      </c>
      <c r="C455" s="14" t="inlineStr">
        <is>
          <t>3 Unidades,Branco</t>
        </is>
      </c>
      <c r="D455" s="14" t="inlineStr">
        <is>
          <t>CABIDE,MULTIFUNCIONAL-BRANCO-3UN</t>
        </is>
      </c>
      <c r="E455" s="14" t="inlineStr">
        <is>
          <t>23699014908</t>
        </is>
      </c>
      <c r="F455" s="14" t="inlineStr">
        <is>
          <t>229438323482</t>
        </is>
      </c>
      <c r="G455" s="14" t="inlineStr">
        <is>
          <t>NORMAL</t>
        </is>
      </c>
      <c r="H455" s="15" t="n">
        <v>69.90000000000001</v>
      </c>
      <c r="I455" s="15" t="n">
        <v>44.9</v>
      </c>
      <c r="J455" s="16" t="inlineStr">
        <is>
          <t>SIM</t>
        </is>
      </c>
      <c r="K455" s="15" t="n">
        <v>44.9</v>
      </c>
      <c r="L455" s="35">
        <f>IF(K455&lt;&gt;"",K455,I455)</f>
        <v/>
      </c>
      <c r="M455" s="84" t="n">
        <v>3</v>
      </c>
      <c r="N455" s="85" t="n">
        <v>4.51</v>
      </c>
      <c r="O455" s="80">
        <f>ROUND(M455*N455,2)</f>
        <v/>
      </c>
      <c r="P455" s="80">
        <f>IF($O455="","",L455-O455-(L455*IF(L455&lt;=79.99,20%,14%)+IF(L455&lt;=79.99,4,IF(L455&lt;=99.99,16,IF(L455&lt;=199.99,20,IF(L455&lt;=499.99,26,28)))))-L455*1.3%-L455*6%-(L455-O455)*9.25%-L455*3%-L455*3%-1)</f>
        <v/>
      </c>
      <c r="Q455" s="17">
        <f>IF(AND(K455&lt;&gt;"",H455&gt;0),(H455-K455)/H455,"")</f>
        <v/>
      </c>
      <c r="R455" s="14" t="inlineStr">
        <is>
          <t>478386871025791</t>
        </is>
      </c>
      <c r="S455" s="18" t="n">
        <v>46209.64583333334</v>
      </c>
      <c r="T455" s="18" t="n">
        <v>46326.99930555555</v>
      </c>
      <c r="U455" s="14" t="inlineStr">
        <is>
          <t>101253</t>
        </is>
      </c>
      <c r="V455" t="inlineStr">
        <is>
          <t>214149</t>
        </is>
      </c>
      <c r="W455" t="inlineStr">
        <is>
          <t>SKU do de-para · custo do KIT 214155 (3× 214149)</t>
        </is>
      </c>
      <c r="X455" t="n">
        <v>7</v>
      </c>
      <c r="Y455" t="inlineStr">
        <is>
          <t>ok</t>
        </is>
      </c>
    </row>
    <row r="456" ht="15" customFormat="1" customHeight="1" s="19">
      <c r="A456" s="19" t="inlineStr">
        <is>
          <t>Jacartta</t>
        </is>
      </c>
      <c r="B456" s="19" t="inlineStr">
        <is>
          <t>Cabide Para Calças Roupas Multiuso Reforçado Adulto Saias Camisetas</t>
        </is>
      </c>
      <c r="C456" s="19" t="inlineStr">
        <is>
          <t>3 Unidades,Preto</t>
        </is>
      </c>
      <c r="D456" s="19" t="inlineStr">
        <is>
          <t>CABIDE,MULTIFUNCIONAL-PRETO-3UN</t>
        </is>
      </c>
      <c r="E456" s="19" t="inlineStr">
        <is>
          <t>23699014908</t>
        </is>
      </c>
      <c r="F456" s="19" t="inlineStr">
        <is>
          <t>229438323481</t>
        </is>
      </c>
      <c r="G456" s="19" t="inlineStr">
        <is>
          <t>NORMAL</t>
        </is>
      </c>
      <c r="H456" s="20" t="n">
        <v>69.90000000000001</v>
      </c>
      <c r="I456" s="20" t="n">
        <v>44.9</v>
      </c>
      <c r="J456" s="21" t="inlineStr">
        <is>
          <t>SIM</t>
        </is>
      </c>
      <c r="K456" s="20" t="n">
        <v>44.9</v>
      </c>
      <c r="L456" s="35">
        <f>IF(K456&lt;&gt;"",K456,I456)</f>
        <v/>
      </c>
      <c r="M456" s="30" t="n"/>
      <c r="N456" s="30" t="n"/>
      <c r="O456" s="29" t="n"/>
      <c r="P456" s="80">
        <f>IF($O456="","",L456-O456-(L456*IF(L456&lt;=79.99,20%,14%)+IF(L456&lt;=79.99,4,IF(L456&lt;=99.99,16,IF(L456&lt;=199.99,20,IF(L456&lt;=499.99,26,28)))))-L456*1.3%-L456*6%-(L456-O456)*9.25%-L456*3%-L456*3%-1)</f>
        <v/>
      </c>
      <c r="Q456" s="22">
        <f>IF(AND(K456&lt;&gt;"",H456&gt;0),(H456-K456)/H456,"")</f>
        <v/>
      </c>
      <c r="R456" s="19" t="inlineStr">
        <is>
          <t>478386871025791</t>
        </is>
      </c>
      <c r="S456" s="23" t="n">
        <v>46209.64583333334</v>
      </c>
      <c r="T456" s="23" t="n">
        <v>46326.99930555555</v>
      </c>
      <c r="U456" s="19" t="inlineStr">
        <is>
          <t>101253</t>
        </is>
      </c>
      <c r="W456" t="inlineStr">
        <is>
          <t>sem correspondência</t>
        </is>
      </c>
      <c r="Y456" t="inlineStr"/>
    </row>
    <row r="457" ht="15" customFormat="1" customHeight="1" s="14">
      <c r="A457" s="14" t="inlineStr">
        <is>
          <t>Jacartta</t>
        </is>
      </c>
      <c r="B457" s="14" t="inlineStr">
        <is>
          <t>Caixa de Areia Para Gatos Banheira Higiênica 2 Peças Com Bandeja Sanitária e Peneira</t>
        </is>
      </c>
      <c r="C457" s="14" t="inlineStr">
        <is>
          <t>Azul</t>
        </is>
      </c>
      <c r="D457" s="14" t="inlineStr">
        <is>
          <t>CAIXA-CAIT-TOIALET-AZ</t>
        </is>
      </c>
      <c r="E457" s="14" t="inlineStr">
        <is>
          <t>58256309228</t>
        </is>
      </c>
      <c r="F457" s="14" t="inlineStr">
        <is>
          <t>219186641635</t>
        </is>
      </c>
      <c r="G457" s="14" t="inlineStr">
        <is>
          <t>NORMAL</t>
        </is>
      </c>
      <c r="H457" s="15" t="n">
        <v>79.90000000000001</v>
      </c>
      <c r="I457" s="15" t="n">
        <v>39.9</v>
      </c>
      <c r="J457" s="16" t="inlineStr">
        <is>
          <t>SIM</t>
        </is>
      </c>
      <c r="K457" s="15" t="n">
        <v>39.9</v>
      </c>
      <c r="L457" s="35">
        <f>IF(K457&lt;&gt;"",K457,I457)</f>
        <v/>
      </c>
      <c r="M457" s="84" t="n">
        <v>1</v>
      </c>
      <c r="N457" s="85" t="n">
        <v>11.63</v>
      </c>
      <c r="O457" s="80">
        <f>ROUND(M457*N457,2)</f>
        <v/>
      </c>
      <c r="P457" s="80">
        <f>IF($O457="","",L457-O457-(L457*IF(L457&lt;=79.99,20%,14%)+IF(L457&lt;=79.99,4,IF(L457&lt;=99.99,16,IF(L457&lt;=199.99,20,IF(L457&lt;=499.99,26,28)))))-L457*1.3%-L457*6%-(L457-O457)*9.25%-L457*3%-L457*3%-1)</f>
        <v/>
      </c>
      <c r="Q457" s="17">
        <f>IF(AND(K457&lt;&gt;"",H457&gt;0),(H457-K457)/H457,"")</f>
        <v/>
      </c>
      <c r="R457" s="14" t="inlineStr">
        <is>
          <t>909481504866304</t>
        </is>
      </c>
      <c r="S457" s="18" t="n">
        <v>46144.3875</v>
      </c>
      <c r="T457" s="18" t="n">
        <v>46295.4375</v>
      </c>
      <c r="U457" s="14" t="inlineStr">
        <is>
          <t>100924</t>
        </is>
      </c>
      <c r="V457" t="inlineStr">
        <is>
          <t>215313</t>
        </is>
      </c>
      <c r="W457" t="inlineStr">
        <is>
          <t>venda casada (1 pedido)</t>
        </is>
      </c>
      <c r="X457" t="n">
        <v>1</v>
      </c>
      <c r="Y457" t="inlineStr">
        <is>
          <t>⚠ evidência fraca (1 pedido)</t>
        </is>
      </c>
    </row>
    <row r="458" ht="15" customFormat="1" customHeight="1" s="19">
      <c r="A458" s="19" t="inlineStr">
        <is>
          <t>Jacartta</t>
        </is>
      </c>
      <c r="B458" s="19" t="inlineStr">
        <is>
          <t>Caixa de Areia Para Gatos Banheira Higiênica 2 Peças Com Bandeja Sanitária e Peneira</t>
        </is>
      </c>
      <c r="C458" s="19" t="inlineStr">
        <is>
          <t>Preto</t>
        </is>
      </c>
      <c r="D458" s="19" t="inlineStr">
        <is>
          <t>CAIXA-CAIT-TOIALET-PT</t>
        </is>
      </c>
      <c r="E458" s="19" t="inlineStr">
        <is>
          <t>58256309228</t>
        </is>
      </c>
      <c r="F458" s="19" t="inlineStr">
        <is>
          <t>219186641634</t>
        </is>
      </c>
      <c r="G458" s="19" t="inlineStr">
        <is>
          <t>NORMAL</t>
        </is>
      </c>
      <c r="H458" s="20" t="n">
        <v>79.90000000000001</v>
      </c>
      <c r="I458" s="20" t="n">
        <v>39.9</v>
      </c>
      <c r="J458" s="21" t="inlineStr">
        <is>
          <t>SIM</t>
        </is>
      </c>
      <c r="K458" s="20" t="n">
        <v>39.9</v>
      </c>
      <c r="L458" s="35">
        <f>IF(K458&lt;&gt;"",K458,I458)</f>
        <v/>
      </c>
      <c r="M458" s="81" t="n">
        <v>1</v>
      </c>
      <c r="N458" s="82" t="n">
        <v>10.66</v>
      </c>
      <c r="O458" s="80">
        <f>ROUND(M458*N458,2)</f>
        <v/>
      </c>
      <c r="P458" s="80">
        <f>IF($O458="","",L458-O458-(L458*IF(L458&lt;=79.99,20%,14%)+IF(L458&lt;=79.99,4,IF(L458&lt;=99.99,16,IF(L458&lt;=199.99,20,IF(L458&lt;=499.99,26,28)))))-L458*1.3%-L458*6%-(L458-O458)*9.25%-L458*3%-L458*3%-1)</f>
        <v/>
      </c>
      <c r="Q458" s="22">
        <f>IF(AND(K458&lt;&gt;"",H458&gt;0),(H458-K458)/H458,"")</f>
        <v/>
      </c>
      <c r="R458" s="19" t="inlineStr">
        <is>
          <t>909481504866304</t>
        </is>
      </c>
      <c r="S458" s="23" t="n">
        <v>46144.3875</v>
      </c>
      <c r="T458" s="23" t="n">
        <v>46295.4375</v>
      </c>
      <c r="U458" s="19" t="inlineStr">
        <is>
          <t>100924</t>
        </is>
      </c>
      <c r="V458" t="inlineStr">
        <is>
          <t>215316</t>
        </is>
      </c>
      <c r="W458" t="inlineStr">
        <is>
          <t>venda casada (2 pedidos)</t>
        </is>
      </c>
      <c r="X458" t="n">
        <v>2</v>
      </c>
      <c r="Y458" t="inlineStr">
        <is>
          <t>ok</t>
        </is>
      </c>
    </row>
    <row r="459" ht="15" customFormat="1" customHeight="1" s="14">
      <c r="A459" s="14" t="inlineStr">
        <is>
          <t>Jacartta</t>
        </is>
      </c>
      <c r="B459" s="14" t="inlineStr">
        <is>
          <t>Caixa de Areia Para Gatos Banheira Higiênica 2 Peças Com Bandeja Sanitária e Peneira</t>
        </is>
      </c>
      <c r="C459" s="14" t="inlineStr">
        <is>
          <t>Tiffane</t>
        </is>
      </c>
      <c r="D459" s="14" t="inlineStr">
        <is>
          <t>CAIXA-CAIT-TOIALET-TF</t>
        </is>
      </c>
      <c r="E459" s="14" t="inlineStr">
        <is>
          <t>58256309228</t>
        </is>
      </c>
      <c r="F459" s="14" t="inlineStr">
        <is>
          <t>219186641636</t>
        </is>
      </c>
      <c r="G459" s="14" t="inlineStr">
        <is>
          <t>NORMAL</t>
        </is>
      </c>
      <c r="H459" s="15" t="n">
        <v>79.90000000000001</v>
      </c>
      <c r="I459" s="15" t="n">
        <v>39.9</v>
      </c>
      <c r="J459" s="16" t="inlineStr">
        <is>
          <t>SIM</t>
        </is>
      </c>
      <c r="K459" s="15" t="n">
        <v>39.9</v>
      </c>
      <c r="L459" s="35">
        <f>IF(K459&lt;&gt;"",K459,I459)</f>
        <v/>
      </c>
      <c r="M459" s="33" t="n"/>
      <c r="N459" s="28" t="n"/>
      <c r="O459" s="29" t="n"/>
      <c r="P459" s="80">
        <f>IF($O459="","",L459-O459-(L459*IF(L459&lt;=79.99,20%,14%)+IF(L459&lt;=79.99,4,IF(L459&lt;=99.99,16,IF(L459&lt;=199.99,20,IF(L459&lt;=499.99,26,28)))))-L459*1.3%-L459*6%-(L459-O459)*9.25%-L459*3%-L459*3%-1)</f>
        <v/>
      </c>
      <c r="Q459" s="17">
        <f>IF(AND(K459&lt;&gt;"",H459&gt;0),(H459-K459)/H459,"")</f>
        <v/>
      </c>
      <c r="R459" s="14" t="inlineStr">
        <is>
          <t>909481504866304</t>
        </is>
      </c>
      <c r="S459" s="18" t="n">
        <v>46144.3875</v>
      </c>
      <c r="T459" s="18" t="n">
        <v>46295.4375</v>
      </c>
      <c r="U459" s="14" t="inlineStr">
        <is>
          <t>100924</t>
        </is>
      </c>
      <c r="W459" t="inlineStr">
        <is>
          <t>sem correspondência</t>
        </is>
      </c>
      <c r="Y459" t="inlineStr"/>
    </row>
    <row r="460" ht="15" customFormat="1" customHeight="1" s="19">
      <c r="A460" s="19" t="inlineStr">
        <is>
          <t>Jacartta</t>
        </is>
      </c>
      <c r="B460" s="19" t="inlineStr">
        <is>
          <t>Caixa de Areia Para Gatos Banheira Higiênica 2 Peças Com Bandeja Sanitária e Peneira</t>
        </is>
      </c>
      <c r="C460" s="19" t="inlineStr">
        <is>
          <t>Vermelho</t>
        </is>
      </c>
      <c r="D460" s="19" t="inlineStr">
        <is>
          <t>CAIXA-CAIT-TOIALET-VM</t>
        </is>
      </c>
      <c r="E460" s="19" t="inlineStr">
        <is>
          <t>58256309228</t>
        </is>
      </c>
      <c r="F460" s="19" t="inlineStr">
        <is>
          <t>219186641637</t>
        </is>
      </c>
      <c r="G460" s="19" t="inlineStr">
        <is>
          <t>NORMAL</t>
        </is>
      </c>
      <c r="H460" s="20" t="n">
        <v>79.90000000000001</v>
      </c>
      <c r="I460" s="20" t="n">
        <v>39.9</v>
      </c>
      <c r="J460" s="21" t="inlineStr">
        <is>
          <t>SIM</t>
        </is>
      </c>
      <c r="K460" s="20" t="n">
        <v>39.9</v>
      </c>
      <c r="L460" s="35">
        <f>IF(K460&lt;&gt;"",K460,I460)</f>
        <v/>
      </c>
      <c r="M460" s="32" t="n"/>
      <c r="N460" s="30" t="n"/>
      <c r="O460" s="29" t="n"/>
      <c r="P460" s="80">
        <f>IF($O460="","",L460-O460-(L460*IF(L460&lt;=79.99,20%,14%)+IF(L460&lt;=79.99,4,IF(L460&lt;=99.99,16,IF(L460&lt;=199.99,20,IF(L460&lt;=499.99,26,28)))))-L460*1.3%-L460*6%-(L460-O460)*9.25%-L460*3%-L460*3%-1)</f>
        <v/>
      </c>
      <c r="Q460" s="22">
        <f>IF(AND(K460&lt;&gt;"",H460&gt;0),(H460-K460)/H460,"")</f>
        <v/>
      </c>
      <c r="R460" s="19" t="inlineStr">
        <is>
          <t>909481504866304</t>
        </is>
      </c>
      <c r="S460" s="23" t="n">
        <v>46144.3875</v>
      </c>
      <c r="T460" s="23" t="n">
        <v>46295.4375</v>
      </c>
      <c r="U460" s="19" t="inlineStr">
        <is>
          <t>100924</t>
        </is>
      </c>
      <c r="W460" t="inlineStr">
        <is>
          <t>sem correspondência</t>
        </is>
      </c>
      <c r="Y460" t="inlineStr"/>
    </row>
    <row r="461" ht="15" customFormat="1" customHeight="1" s="14">
      <c r="A461" s="14" t="inlineStr">
        <is>
          <t>Jacartta</t>
        </is>
      </c>
      <c r="B461" s="14" t="inlineStr">
        <is>
          <t>Cascata 120 Led Natal Estrela Decoração 8 Funções 110V/220V 3 Metros</t>
        </is>
      </c>
      <c r="C461" s="14" t="inlineStr">
        <is>
          <t>Branco Frio,110V</t>
        </is>
      </c>
      <c r="D461" s="14" t="inlineStr">
        <is>
          <t>CASCATA-120LED-110V-BRANCO-FRIO</t>
        </is>
      </c>
      <c r="E461" s="14" t="inlineStr">
        <is>
          <t>46764615712</t>
        </is>
      </c>
      <c r="F461" s="14" t="inlineStr">
        <is>
          <t>118794264441</t>
        </is>
      </c>
      <c r="G461" s="14" t="inlineStr">
        <is>
          <t>NORMAL</t>
        </is>
      </c>
      <c r="H461" s="15" t="n">
        <v>109.9</v>
      </c>
      <c r="I461" s="15" t="n">
        <v>109.9</v>
      </c>
      <c r="J461" s="16" t="inlineStr">
        <is>
          <t>NÃO</t>
        </is>
      </c>
      <c r="K461" s="15" t="n"/>
      <c r="L461" s="35">
        <f>IF(K461&lt;&gt;"",K461,I461)</f>
        <v/>
      </c>
      <c r="M461" s="28" t="n"/>
      <c r="N461" s="28" t="n"/>
      <c r="O461" s="29" t="n"/>
      <c r="P461" s="80">
        <f>IF($O461="","",L461-O461-(L461*IF(L461&lt;=79.99,20%,14%)+IF(L461&lt;=79.99,4,IF(L461&lt;=99.99,16,IF(L461&lt;=199.99,20,IF(L461&lt;=499.99,26,28)))))-L461*1.3%-L461*6%-(L461-O461)*9.25%-L461*3%-L461*3%-1)</f>
        <v/>
      </c>
      <c r="Q461" s="17">
        <f>IF(AND(K461&lt;&gt;"",H461&gt;0),(H461-K461)/H461,"")</f>
        <v/>
      </c>
      <c r="R461" s="14" t="inlineStr"/>
      <c r="S461" s="18" t="n"/>
      <c r="T461" s="18" t="n"/>
      <c r="U461" s="14" t="inlineStr">
        <is>
          <t>100719</t>
        </is>
      </c>
      <c r="W461" t="inlineStr">
        <is>
          <t>sem correspondência</t>
        </is>
      </c>
      <c r="Y461" t="inlineStr"/>
    </row>
    <row r="462" ht="15" customFormat="1" customHeight="1" s="19">
      <c r="A462" s="19" t="inlineStr">
        <is>
          <t>Jacartta</t>
        </is>
      </c>
      <c r="B462" s="19" t="inlineStr">
        <is>
          <t>Catnip Erva Para Gatos Premium Estimulante Felino 4gr IpetCatnip</t>
        </is>
      </c>
      <c r="C462" s="19" t="inlineStr">
        <is>
          <t>Sem variação</t>
        </is>
      </c>
      <c r="D462" s="19" t="inlineStr">
        <is>
          <t>ERVA-IPETCATNIP-4G</t>
        </is>
      </c>
      <c r="E462" s="19" t="inlineStr">
        <is>
          <t>58206321977</t>
        </is>
      </c>
      <c r="F462" s="19" t="inlineStr">
        <is>
          <t>0</t>
        </is>
      </c>
      <c r="G462" s="19" t="inlineStr">
        <is>
          <t>NORMAL</t>
        </is>
      </c>
      <c r="H462" s="20" t="n">
        <v>59.9</v>
      </c>
      <c r="I462" s="20" t="n">
        <v>19.9</v>
      </c>
      <c r="J462" s="21" t="inlineStr">
        <is>
          <t>SIM</t>
        </is>
      </c>
      <c r="K462" s="20" t="n">
        <v>19.9</v>
      </c>
      <c r="L462" s="35">
        <f>IF(K462&lt;&gt;"",K462,I462)</f>
        <v/>
      </c>
      <c r="M462" s="81" t="n">
        <v>1</v>
      </c>
      <c r="N462" s="82" t="n">
        <v>5.34</v>
      </c>
      <c r="O462" s="80">
        <f>ROUND(M462*N462,2)</f>
        <v/>
      </c>
      <c r="P462" s="80">
        <f>IF($O462="","",L462-O462-(L462*IF(L462&lt;=79.99,20%,14%)+IF(L462&lt;=79.99,4,IF(L462&lt;=99.99,16,IF(L462&lt;=199.99,20,IF(L462&lt;=499.99,26,28)))))-L462*1.3%-L462*6%-(L462-O462)*9.25%-L462*3%-L462*3%-1)</f>
        <v/>
      </c>
      <c r="Q462" s="22">
        <f>IF(AND(K462&lt;&gt;"",H462&gt;0),(H462-K462)/H462,"")</f>
        <v/>
      </c>
      <c r="R462" s="19" t="inlineStr">
        <is>
          <t>909481504866304</t>
        </is>
      </c>
      <c r="S462" s="23" t="n">
        <v>46144.3875</v>
      </c>
      <c r="T462" s="23" t="n">
        <v>46295.4375</v>
      </c>
      <c r="U462" s="19" t="inlineStr">
        <is>
          <t>100909</t>
        </is>
      </c>
      <c r="V462" t="inlineStr">
        <is>
          <t>215302</t>
        </is>
      </c>
      <c r="W462" t="inlineStr">
        <is>
          <t>venda casada (2 pedidos)</t>
        </is>
      </c>
      <c r="X462" t="n">
        <v>2</v>
      </c>
      <c r="Y462" t="inlineStr">
        <is>
          <t>ok</t>
        </is>
      </c>
    </row>
    <row r="463" ht="15" customFormat="1" customHeight="1" s="14">
      <c r="A463" s="14" t="inlineStr">
        <is>
          <t>Jacartta</t>
        </is>
      </c>
      <c r="B463" s="14" t="inlineStr">
        <is>
          <t>Chaleira Elétrica Térmica Moderno 1.5 L preta e branca 110V/220v OliverHome</t>
        </is>
      </c>
      <c r="C463" s="14" t="inlineStr">
        <is>
          <t>Branca,110V</t>
        </is>
      </c>
      <c r="D463" s="14" t="inlineStr">
        <is>
          <t>CHALEIRA-BRANCA-110V</t>
        </is>
      </c>
      <c r="E463" s="14" t="inlineStr">
        <is>
          <t>22599021469</t>
        </is>
      </c>
      <c r="F463" s="14" t="inlineStr">
        <is>
          <t>129836181596</t>
        </is>
      </c>
      <c r="G463" s="14" t="inlineStr">
        <is>
          <t>NORMAL</t>
        </is>
      </c>
      <c r="H463" s="15" t="n">
        <v>89.90000000000001</v>
      </c>
      <c r="I463" s="15" t="n">
        <v>54.88</v>
      </c>
      <c r="J463" s="16" t="inlineStr">
        <is>
          <t>SIM</t>
        </is>
      </c>
      <c r="K463" s="15" t="n">
        <v>54.88</v>
      </c>
      <c r="L463" s="35">
        <f>IF(K463&lt;&gt;"",K463,I463)</f>
        <v/>
      </c>
      <c r="M463" s="84" t="n">
        <v>1</v>
      </c>
      <c r="N463" s="85" t="n">
        <v>16.85</v>
      </c>
      <c r="O463" s="80">
        <f>ROUND(M463*N463,2)</f>
        <v/>
      </c>
      <c r="P463" s="80">
        <f>IF($O463="","",L463-O463-(L463*IF(L463&lt;=79.99,20%,14%)+IF(L463&lt;=79.99,4,IF(L463&lt;=99.99,16,IF(L463&lt;=199.99,20,IF(L463&lt;=499.99,26,28)))))-L463*1.3%-L463*6%-(L463-O463)*9.25%-L463*3%-L463*3%-1)</f>
        <v/>
      </c>
      <c r="Q463" s="17">
        <f>IF(AND(K463&lt;&gt;"",H463&gt;0),(H463-K463)/H463,"")</f>
        <v/>
      </c>
      <c r="R463" s="14" t="inlineStr">
        <is>
          <t>492047266168992</t>
        </is>
      </c>
      <c r="S463" s="18" t="n">
        <v>46248</v>
      </c>
      <c r="T463" s="18" t="n">
        <v>46249</v>
      </c>
      <c r="U463" s="14" t="inlineStr">
        <is>
          <t>100191</t>
        </is>
      </c>
      <c r="V463" t="inlineStr">
        <is>
          <t>213859</t>
        </is>
      </c>
      <c r="W463" t="inlineStr">
        <is>
          <t>venda casada (589 pedidos)</t>
        </is>
      </c>
      <c r="X463" t="n">
        <v>589</v>
      </c>
      <c r="Y463" t="inlineStr">
        <is>
          <t>ok</t>
        </is>
      </c>
    </row>
    <row r="464" ht="15" customFormat="1" customHeight="1" s="19">
      <c r="A464" s="19" t="inlineStr">
        <is>
          <t>Jacartta</t>
        </is>
      </c>
      <c r="B464" s="19" t="inlineStr">
        <is>
          <t>Chaleira Elétrica Térmica Moderno 1.5 L preta e branca 110V/220v OliverHome</t>
        </is>
      </c>
      <c r="C464" s="19" t="inlineStr">
        <is>
          <t>Branca,220V</t>
        </is>
      </c>
      <c r="D464" s="19" t="inlineStr">
        <is>
          <t>CHALEIRA-BRANCA-220V</t>
        </is>
      </c>
      <c r="E464" s="19" t="inlineStr">
        <is>
          <t>22599021469</t>
        </is>
      </c>
      <c r="F464" s="19" t="inlineStr">
        <is>
          <t>129836181597</t>
        </is>
      </c>
      <c r="G464" s="19" t="inlineStr">
        <is>
          <t>NORMAL</t>
        </is>
      </c>
      <c r="H464" s="20" t="n">
        <v>89.90000000000001</v>
      </c>
      <c r="I464" s="20" t="n">
        <v>54.48</v>
      </c>
      <c r="J464" s="21" t="inlineStr">
        <is>
          <t>SIM</t>
        </is>
      </c>
      <c r="K464" s="20" t="n">
        <v>54.48</v>
      </c>
      <c r="L464" s="35">
        <f>IF(K464&lt;&gt;"",K464,I464)</f>
        <v/>
      </c>
      <c r="M464" s="81" t="n">
        <v>1</v>
      </c>
      <c r="N464" s="82" t="n">
        <v>16.85</v>
      </c>
      <c r="O464" s="80">
        <f>ROUND(M464*N464,2)</f>
        <v/>
      </c>
      <c r="P464" s="80">
        <f>IF($O464="","",L464-O464-(L464*IF(L464&lt;=79.99,20%,14%)+IF(L464&lt;=79.99,4,IF(L464&lt;=99.99,16,IF(L464&lt;=199.99,20,IF(L464&lt;=499.99,26,28)))))-L464*1.3%-L464*6%-(L464-O464)*9.25%-L464*3%-L464*3%-1)</f>
        <v/>
      </c>
      <c r="Q464" s="22">
        <f>IF(AND(K464&lt;&gt;"",H464&gt;0),(H464-K464)/H464,"")</f>
        <v/>
      </c>
      <c r="R464" s="19" t="inlineStr">
        <is>
          <t>492047266168992</t>
        </is>
      </c>
      <c r="S464" s="23" t="n">
        <v>46248</v>
      </c>
      <c r="T464" s="23" t="n">
        <v>46249</v>
      </c>
      <c r="U464" s="19" t="inlineStr">
        <is>
          <t>100191</t>
        </is>
      </c>
      <c r="V464" t="inlineStr">
        <is>
          <t>213861</t>
        </is>
      </c>
      <c r="W464" t="inlineStr">
        <is>
          <t>venda casada (461 pedidos)</t>
        </is>
      </c>
      <c r="X464" t="n">
        <v>461</v>
      </c>
      <c r="Y464" t="inlineStr">
        <is>
          <t>ok</t>
        </is>
      </c>
    </row>
    <row r="465" ht="15" customFormat="1" customHeight="1" s="14">
      <c r="A465" s="14" t="inlineStr">
        <is>
          <t>Jacartta</t>
        </is>
      </c>
      <c r="B465" s="14" t="inlineStr">
        <is>
          <t>Chaleira Elétrica Térmica Moderno 1.5 L preta e branca 110V/220v OliverHome</t>
        </is>
      </c>
      <c r="C465" s="14" t="inlineStr">
        <is>
          <t>Preto,110V</t>
        </is>
      </c>
      <c r="D465" s="14" t="inlineStr">
        <is>
          <t>CHALEIRA-PRETA-110V</t>
        </is>
      </c>
      <c r="E465" s="14" t="inlineStr">
        <is>
          <t>22599021469</t>
        </is>
      </c>
      <c r="F465" s="14" t="inlineStr">
        <is>
          <t>129836181594</t>
        </is>
      </c>
      <c r="G465" s="14" t="inlineStr">
        <is>
          <t>NORMAL</t>
        </is>
      </c>
      <c r="H465" s="15" t="n">
        <v>89.90000000000001</v>
      </c>
      <c r="I465" s="15" t="n">
        <v>54.88</v>
      </c>
      <c r="J465" s="16" t="inlineStr">
        <is>
          <t>SIM</t>
        </is>
      </c>
      <c r="K465" s="15" t="n">
        <v>54.88</v>
      </c>
      <c r="L465" s="35">
        <f>IF(K465&lt;&gt;"",K465,I465)</f>
        <v/>
      </c>
      <c r="M465" s="84" t="n">
        <v>1</v>
      </c>
      <c r="N465" s="85" t="n">
        <v>16.85</v>
      </c>
      <c r="O465" s="80">
        <f>ROUND(M465*N465,2)</f>
        <v/>
      </c>
      <c r="P465" s="80">
        <f>IF($O465="","",L465-O465-(L465*IF(L465&lt;=79.99,20%,14%)+IF(L465&lt;=79.99,4,IF(L465&lt;=99.99,16,IF(L465&lt;=199.99,20,IF(L465&lt;=499.99,26,28)))))-L465*1.3%-L465*6%-(L465-O465)*9.25%-L465*3%-L465*3%-1)</f>
        <v/>
      </c>
      <c r="Q465" s="17">
        <f>IF(AND(K465&lt;&gt;"",H465&gt;0),(H465-K465)/H465,"")</f>
        <v/>
      </c>
      <c r="R465" s="14" t="inlineStr">
        <is>
          <t>492047266168992</t>
        </is>
      </c>
      <c r="S465" s="18" t="n">
        <v>46248</v>
      </c>
      <c r="T465" s="18" t="n">
        <v>46249</v>
      </c>
      <c r="U465" s="14" t="inlineStr">
        <is>
          <t>100191</t>
        </is>
      </c>
      <c r="V465" t="inlineStr">
        <is>
          <t>213860</t>
        </is>
      </c>
      <c r="W465" t="inlineStr">
        <is>
          <t>venda casada (2545 pedidos)</t>
        </is>
      </c>
      <c r="X465" t="n">
        <v>2545</v>
      </c>
      <c r="Y465" t="inlineStr">
        <is>
          <t>ok</t>
        </is>
      </c>
    </row>
    <row r="466" ht="15" customFormat="1" customHeight="1" s="19">
      <c r="A466" s="19" t="inlineStr">
        <is>
          <t>Jacartta</t>
        </is>
      </c>
      <c r="B466" s="19" t="inlineStr">
        <is>
          <t>Chaleira Elétrica Térmica Moderno 1.5 L preta e branca 110V/220v OliverHome</t>
        </is>
      </c>
      <c r="C466" s="19" t="inlineStr">
        <is>
          <t>Preto,220V</t>
        </is>
      </c>
      <c r="D466" s="19" t="inlineStr">
        <is>
          <t>CHALEIRA-PRETA-220V</t>
        </is>
      </c>
      <c r="E466" s="19" t="inlineStr">
        <is>
          <t>22599021469</t>
        </is>
      </c>
      <c r="F466" s="19" t="inlineStr">
        <is>
          <t>129836181595</t>
        </is>
      </c>
      <c r="G466" s="19" t="inlineStr">
        <is>
          <t>NORMAL</t>
        </is>
      </c>
      <c r="H466" s="20" t="n">
        <v>89.90000000000001</v>
      </c>
      <c r="I466" s="20" t="n">
        <v>54.88</v>
      </c>
      <c r="J466" s="21" t="inlineStr">
        <is>
          <t>SIM</t>
        </is>
      </c>
      <c r="K466" s="20" t="n">
        <v>54.88</v>
      </c>
      <c r="L466" s="35">
        <f>IF(K466&lt;&gt;"",K466,I466)</f>
        <v/>
      </c>
      <c r="M466" s="81" t="n">
        <v>1</v>
      </c>
      <c r="N466" s="82" t="n">
        <v>16.85</v>
      </c>
      <c r="O466" s="80">
        <f>ROUND(M466*N466,2)</f>
        <v/>
      </c>
      <c r="P466" s="80">
        <f>IF($O466="","",L466-O466-(L466*IF(L466&lt;=79.99,20%,14%)+IF(L466&lt;=79.99,4,IF(L466&lt;=99.99,16,IF(L466&lt;=199.99,20,IF(L466&lt;=499.99,26,28)))))-L466*1.3%-L466*6%-(L466-O466)*9.25%-L466*3%-L466*3%-1)</f>
        <v/>
      </c>
      <c r="Q466" s="22">
        <f>IF(AND(K466&lt;&gt;"",H466&gt;0),(H466-K466)/H466,"")</f>
        <v/>
      </c>
      <c r="R466" s="19" t="inlineStr">
        <is>
          <t>492047266168992</t>
        </is>
      </c>
      <c r="S466" s="23" t="n">
        <v>46248</v>
      </c>
      <c r="T466" s="23" t="n">
        <v>46249</v>
      </c>
      <c r="U466" s="19" t="inlineStr">
        <is>
          <t>100191</t>
        </is>
      </c>
      <c r="V466" t="inlineStr">
        <is>
          <t>213862</t>
        </is>
      </c>
      <c r="W466" t="inlineStr">
        <is>
          <t>venda casada (1832 pedidos)</t>
        </is>
      </c>
      <c r="X466" t="n">
        <v>1832</v>
      </c>
      <c r="Y466" t="inlineStr">
        <is>
          <t>ok</t>
        </is>
      </c>
    </row>
    <row r="467" ht="15" customFormat="1" customHeight="1" s="14">
      <c r="A467" s="14" t="inlineStr">
        <is>
          <t>Jacartta</t>
        </is>
      </c>
      <c r="B467" s="14" t="inlineStr">
        <is>
          <t>Chaleira Jarra Elétrica Inox Prateada 1.8 Chaleira OliverHome</t>
        </is>
      </c>
      <c r="C467" s="14" t="inlineStr">
        <is>
          <t>1.8 L - INOX - 110V</t>
        </is>
      </c>
      <c r="D467" s="14" t="inlineStr">
        <is>
          <t>CHALEIRA-INOX-110V</t>
        </is>
      </c>
      <c r="E467" s="14" t="inlineStr">
        <is>
          <t>23794485235</t>
        </is>
      </c>
      <c r="F467" s="14" t="inlineStr">
        <is>
          <t>169721279060</t>
        </is>
      </c>
      <c r="G467" s="14" t="inlineStr">
        <is>
          <t>NORMAL</t>
        </is>
      </c>
      <c r="H467" s="15" t="n">
        <v>89.90000000000001</v>
      </c>
      <c r="I467" s="15" t="n">
        <v>43.52</v>
      </c>
      <c r="J467" s="16" t="inlineStr">
        <is>
          <t>SIM</t>
        </is>
      </c>
      <c r="K467" s="15" t="n">
        <v>43.52</v>
      </c>
      <c r="L467" s="35">
        <f>IF(K467&lt;&gt;"",K467,I467)</f>
        <v/>
      </c>
      <c r="M467" s="84" t="n">
        <v>1</v>
      </c>
      <c r="N467" s="85" t="n">
        <v>14.43</v>
      </c>
      <c r="O467" s="80">
        <f>ROUND(M467*N467,2)</f>
        <v/>
      </c>
      <c r="P467" s="80">
        <f>IF($O467="","",L467-O467-(L467*IF(L467&lt;=79.99,20%,14%)+IF(L467&lt;=79.99,4,IF(L467&lt;=99.99,16,IF(L467&lt;=199.99,20,IF(L467&lt;=499.99,26,28)))))-L467*1.3%-L467*6%-(L467-O467)*9.25%-L467*3%-L467*3%-1)</f>
        <v/>
      </c>
      <c r="Q467" s="17">
        <f>IF(AND(K467&lt;&gt;"",H467&gt;0),(H467-K467)/H467,"")</f>
        <v/>
      </c>
      <c r="R467" s="14" t="inlineStr">
        <is>
          <t>492047266168992</t>
        </is>
      </c>
      <c r="S467" s="18" t="n">
        <v>46248</v>
      </c>
      <c r="T467" s="18" t="n">
        <v>46249</v>
      </c>
      <c r="U467" s="14" t="inlineStr">
        <is>
          <t>100191</t>
        </is>
      </c>
      <c r="V467" t="inlineStr">
        <is>
          <t>213986</t>
        </is>
      </c>
      <c r="W467" t="inlineStr">
        <is>
          <t>venda casada (36 pedidos)</t>
        </is>
      </c>
      <c r="X467" t="n">
        <v>36</v>
      </c>
      <c r="Y467" t="inlineStr">
        <is>
          <t>ok</t>
        </is>
      </c>
    </row>
    <row r="468" ht="15" customFormat="1" customHeight="1" s="19">
      <c r="A468" s="19" t="inlineStr">
        <is>
          <t>Jacartta</t>
        </is>
      </c>
      <c r="B468" s="19" t="inlineStr">
        <is>
          <t>Chaleira Jarra Elétrica Inox Prateada 1.8 Chaleira OliverHome</t>
        </is>
      </c>
      <c r="C468" s="19" t="inlineStr">
        <is>
          <t>1.8 L - INOX - 220V</t>
        </is>
      </c>
      <c r="D468" s="19" t="inlineStr">
        <is>
          <t>CHALEIRA-INOX-220V</t>
        </is>
      </c>
      <c r="E468" s="19" t="inlineStr">
        <is>
          <t>23794485235</t>
        </is>
      </c>
      <c r="F468" s="19" t="inlineStr">
        <is>
          <t>169721279061</t>
        </is>
      </c>
      <c r="G468" s="19" t="inlineStr">
        <is>
          <t>NORMAL</t>
        </is>
      </c>
      <c r="H468" s="20" t="n">
        <v>89.90000000000001</v>
      </c>
      <c r="I468" s="20" t="n">
        <v>43.52</v>
      </c>
      <c r="J468" s="21" t="inlineStr">
        <is>
          <t>SIM</t>
        </is>
      </c>
      <c r="K468" s="20" t="n">
        <v>43.52</v>
      </c>
      <c r="L468" s="35">
        <f>IF(K468&lt;&gt;"",K468,I468)</f>
        <v/>
      </c>
      <c r="M468" s="81" t="n">
        <v>1</v>
      </c>
      <c r="N468" s="82" t="n">
        <v>14.43</v>
      </c>
      <c r="O468" s="80">
        <f>ROUND(M468*N468,2)</f>
        <v/>
      </c>
      <c r="P468" s="80">
        <f>IF($O468="","",L468-O468-(L468*IF(L468&lt;=79.99,20%,14%)+IF(L468&lt;=79.99,4,IF(L468&lt;=99.99,16,IF(L468&lt;=199.99,20,IF(L468&lt;=499.99,26,28)))))-L468*1.3%-L468*6%-(L468-O468)*9.25%-L468*3%-L468*3%-1)</f>
        <v/>
      </c>
      <c r="Q468" s="22">
        <f>IF(AND(K468&lt;&gt;"",H468&gt;0),(H468-K468)/H468,"")</f>
        <v/>
      </c>
      <c r="R468" s="19" t="inlineStr">
        <is>
          <t>492047266168992</t>
        </is>
      </c>
      <c r="S468" s="23" t="n">
        <v>46248</v>
      </c>
      <c r="T468" s="23" t="n">
        <v>46249</v>
      </c>
      <c r="U468" s="19" t="inlineStr">
        <is>
          <t>100191</t>
        </is>
      </c>
      <c r="V468" t="inlineStr">
        <is>
          <t>213987</t>
        </is>
      </c>
      <c r="W468" t="inlineStr">
        <is>
          <t>venda casada (78 pedidos)</t>
        </is>
      </c>
      <c r="X468" t="n">
        <v>78</v>
      </c>
      <c r="Y468" t="inlineStr">
        <is>
          <t>ok</t>
        </is>
      </c>
    </row>
    <row r="469" ht="15" customFormat="1" customHeight="1" s="14">
      <c r="A469" s="14" t="inlineStr">
        <is>
          <t>Jacartta</t>
        </is>
      </c>
      <c r="B469" s="14" t="inlineStr">
        <is>
          <t>Chemital Plus Chemitec Vermífugo para Cães - 4 Comprimidos</t>
        </is>
      </c>
      <c r="C469" s="14" t="inlineStr">
        <is>
          <t>Sem variação</t>
        </is>
      </c>
      <c r="D469" s="14" t="inlineStr">
        <is>
          <t>CHEMITAL-PLUS-CÃES</t>
        </is>
      </c>
      <c r="E469" s="14" t="inlineStr">
        <is>
          <t>22297387006</t>
        </is>
      </c>
      <c r="F469" s="14" t="inlineStr">
        <is>
          <t>0</t>
        </is>
      </c>
      <c r="G469" s="14" t="inlineStr">
        <is>
          <t>NORMAL</t>
        </is>
      </c>
      <c r="H469" s="15" t="n">
        <v>39.9</v>
      </c>
      <c r="I469" s="15" t="n">
        <v>17.9</v>
      </c>
      <c r="J469" s="16" t="inlineStr">
        <is>
          <t>SIM</t>
        </is>
      </c>
      <c r="K469" s="15" t="n">
        <v>17.9</v>
      </c>
      <c r="L469" s="35">
        <f>IF(K469&lt;&gt;"",K469,I469)</f>
        <v/>
      </c>
      <c r="M469" s="28" t="n"/>
      <c r="N469" s="28" t="n"/>
      <c r="O469" s="29" t="n"/>
      <c r="P469" s="80">
        <f>IF($O469="","",L469-O469-(L469*IF(L469&lt;=79.99,20%,14%)+IF(L469&lt;=79.99,4,IF(L469&lt;=99.99,16,IF(L469&lt;=199.99,20,IF(L469&lt;=499.99,26,28)))))-L469*1.3%-L469*6%-(L469-O469)*9.25%-L469*3%-L469*3%-1)</f>
        <v/>
      </c>
      <c r="Q469" s="17">
        <f>IF(AND(K469&lt;&gt;"",H469&gt;0),(H469-K469)/H469,"")</f>
        <v/>
      </c>
      <c r="R469" s="14" t="inlineStr">
        <is>
          <t>909481504866304</t>
        </is>
      </c>
      <c r="S469" s="18" t="n">
        <v>46144.3875</v>
      </c>
      <c r="T469" s="18" t="n">
        <v>46295.4375</v>
      </c>
      <c r="U469" s="14" t="inlineStr">
        <is>
          <t>100942</t>
        </is>
      </c>
      <c r="W469" t="inlineStr">
        <is>
          <t>sem correspondência</t>
        </is>
      </c>
      <c r="Y469" t="inlineStr"/>
    </row>
    <row r="470" ht="15" customFormat="1" customHeight="1" s="19">
      <c r="A470" s="19" t="inlineStr">
        <is>
          <t>Jacartta</t>
        </is>
      </c>
      <c r="B470" s="19" t="inlineStr">
        <is>
          <t>Comprimido Cardisure 1,25mg com 80 Comprimidos Medicamentos Pet</t>
        </is>
      </c>
      <c r="C470" s="19" t="inlineStr">
        <is>
          <t>Sem variação</t>
        </is>
      </c>
      <c r="D470" s="19" t="inlineStr">
        <is>
          <t>CARDISURE-1.25MG</t>
        </is>
      </c>
      <c r="E470" s="19" t="inlineStr">
        <is>
          <t>20699542621</t>
        </is>
      </c>
      <c r="F470" s="19" t="inlineStr">
        <is>
          <t>0</t>
        </is>
      </c>
      <c r="G470" s="19" t="inlineStr">
        <is>
          <t>NORMAL</t>
        </is>
      </c>
      <c r="H470" s="20" t="n">
        <v>350.9</v>
      </c>
      <c r="I470" s="20" t="n">
        <v>299.9</v>
      </c>
      <c r="J470" s="21" t="inlineStr">
        <is>
          <t>SIM</t>
        </is>
      </c>
      <c r="K470" s="20" t="n">
        <v>299.9</v>
      </c>
      <c r="L470" s="35">
        <f>IF(K470&lt;&gt;"",K470,I470)</f>
        <v/>
      </c>
      <c r="M470" s="30" t="n"/>
      <c r="N470" s="30" t="n"/>
      <c r="O470" s="29" t="n"/>
      <c r="P470" s="80">
        <f>IF($O470="","",L470-O470-(L470*IF(L470&lt;=79.99,20%,14%)+IF(L470&lt;=79.99,4,IF(L470&lt;=99.99,16,IF(L470&lt;=199.99,20,IF(L470&lt;=499.99,26,28)))))-L470*1.3%-L470*6%-(L470-O470)*9.25%-L470*3%-L470*3%-1)</f>
        <v/>
      </c>
      <c r="Q470" s="22">
        <f>IF(AND(K470&lt;&gt;"",H470&gt;0),(H470-K470)/H470,"")</f>
        <v/>
      </c>
      <c r="R470" s="19" t="inlineStr">
        <is>
          <t>909481504866304</t>
        </is>
      </c>
      <c r="S470" s="23" t="n">
        <v>46144.3875</v>
      </c>
      <c r="T470" s="23" t="n">
        <v>46295.4375</v>
      </c>
      <c r="U470" s="19" t="inlineStr">
        <is>
          <t>100942</t>
        </is>
      </c>
      <c r="W470" t="inlineStr">
        <is>
          <t>sem correspondência</t>
        </is>
      </c>
      <c r="Y470" t="inlineStr"/>
    </row>
    <row r="471" ht="15" customFormat="1" customHeight="1" s="14">
      <c r="A471" s="14" t="inlineStr">
        <is>
          <t>Jacartta</t>
        </is>
      </c>
      <c r="B471" s="14" t="inlineStr">
        <is>
          <t>Comprimido Cardisure 10mg com 80 Comprimidos Medicamentos Pet</t>
        </is>
      </c>
      <c r="C471" s="14" t="inlineStr">
        <is>
          <t>Sem variação</t>
        </is>
      </c>
      <c r="D471" s="14" t="inlineStr">
        <is>
          <t>CARDISURE-10MG</t>
        </is>
      </c>
      <c r="E471" s="14" t="inlineStr">
        <is>
          <t>21999542540</t>
        </is>
      </c>
      <c r="F471" s="14" t="inlineStr">
        <is>
          <t>0</t>
        </is>
      </c>
      <c r="G471" s="14" t="inlineStr">
        <is>
          <t>NORMAL</t>
        </is>
      </c>
      <c r="H471" s="15" t="n">
        <v>750.9</v>
      </c>
      <c r="I471" s="15" t="n">
        <v>699.9</v>
      </c>
      <c r="J471" s="16" t="inlineStr">
        <is>
          <t>SIM</t>
        </is>
      </c>
      <c r="K471" s="15" t="n">
        <v>699.9</v>
      </c>
      <c r="L471" s="35">
        <f>IF(K471&lt;&gt;"",K471,I471)</f>
        <v/>
      </c>
      <c r="M471" s="28" t="n"/>
      <c r="N471" s="28" t="n"/>
      <c r="O471" s="29" t="n"/>
      <c r="P471" s="80">
        <f>IF($O471="","",L471-O471-(L471*IF(L471&lt;=79.99,20%,14%)+IF(L471&lt;=79.99,4,IF(L471&lt;=99.99,16,IF(L471&lt;=199.99,20,IF(L471&lt;=499.99,26,28)))))-L471*1.3%-L471*6%-(L471-O471)*9.25%-L471*3%-L471*3%-1)</f>
        <v/>
      </c>
      <c r="Q471" s="17">
        <f>IF(AND(K471&lt;&gt;"",H471&gt;0),(H471-K471)/H471,"")</f>
        <v/>
      </c>
      <c r="R471" s="14" t="inlineStr">
        <is>
          <t>909481504866304</t>
        </is>
      </c>
      <c r="S471" s="18" t="n">
        <v>46144.3875</v>
      </c>
      <c r="T471" s="18" t="n">
        <v>46295.4375</v>
      </c>
      <c r="U471" s="14" t="inlineStr">
        <is>
          <t>100942</t>
        </is>
      </c>
      <c r="W471" t="inlineStr">
        <is>
          <t>sem correspondência</t>
        </is>
      </c>
      <c r="Y471" t="inlineStr"/>
    </row>
    <row r="472" ht="15" customFormat="1" customHeight="1" s="14">
      <c r="A472" s="14" t="inlineStr">
        <is>
          <t>Jacartta</t>
        </is>
      </c>
      <c r="B472" s="14" t="inlineStr">
        <is>
          <t>Cortina 300 Leds 3x3 Metros Festa Casamento Eventos Natal Branco Quente Amarelo</t>
        </is>
      </c>
      <c r="C472" s="14" t="inlineStr">
        <is>
          <t>110V</t>
        </is>
      </c>
      <c r="D472" s="14" t="inlineStr">
        <is>
          <t>PISCA-PISCA-300LED-3X3-110V-BRQ</t>
        </is>
      </c>
      <c r="E472" s="14" t="inlineStr">
        <is>
          <t>23094527280</t>
        </is>
      </c>
      <c r="F472" s="14" t="inlineStr">
        <is>
          <t>169409894872</t>
        </is>
      </c>
      <c r="G472" s="14" t="inlineStr">
        <is>
          <t>NORMAL</t>
        </is>
      </c>
      <c r="H472" s="15" t="n">
        <v>49.9</v>
      </c>
      <c r="I472" s="15" t="n">
        <v>49.9</v>
      </c>
      <c r="J472" s="16" t="inlineStr">
        <is>
          <t>NÃO</t>
        </is>
      </c>
      <c r="K472" s="15" t="n"/>
      <c r="L472" s="35">
        <f>IF(K472&lt;&gt;"",K472,I472)</f>
        <v/>
      </c>
      <c r="M472" s="28" t="n"/>
      <c r="N472" s="28" t="n"/>
      <c r="O472" s="29" t="n"/>
      <c r="P472" s="80">
        <f>IF($O472="","",L472-O472-(L472*IF(L472&lt;=79.99,20%,14%)+IF(L472&lt;=79.99,4,IF(L472&lt;=99.99,16,IF(L472&lt;=199.99,20,IF(L472&lt;=499.99,26,28)))))-L472*1.3%-L472*6%-(L472-O472)*9.25%-L472*3%-L472*3%-1)</f>
        <v/>
      </c>
      <c r="Q472" s="17">
        <f>IF(AND(K472&lt;&gt;"",H472&gt;0),(H472-K472)/H472,"")</f>
        <v/>
      </c>
      <c r="R472" s="14" t="inlineStr"/>
      <c r="S472" s="18" t="n"/>
      <c r="T472" s="18" t="n"/>
      <c r="U472" s="14" t="inlineStr">
        <is>
          <t>100719</t>
        </is>
      </c>
      <c r="W472" t="inlineStr">
        <is>
          <t>sem correspondência</t>
        </is>
      </c>
      <c r="Y472" t="inlineStr"/>
    </row>
    <row r="473" ht="15" customFormat="1" customHeight="1" s="19">
      <c r="A473" s="19" t="inlineStr">
        <is>
          <t>Jacartta</t>
        </is>
      </c>
      <c r="B473" s="19" t="inlineStr">
        <is>
          <t>Cortina 300 Leds 3x3 Metros Festa Casamento Eventos Natal Branco Quente Amarelo</t>
        </is>
      </c>
      <c r="C473" s="19" t="inlineStr">
        <is>
          <t>220V</t>
        </is>
      </c>
      <c r="D473" s="19" t="inlineStr">
        <is>
          <t>PISCA-PISCA-300LED-3X3-220V-BRQ</t>
        </is>
      </c>
      <c r="E473" s="19" t="inlineStr">
        <is>
          <t>23094527280</t>
        </is>
      </c>
      <c r="F473" s="19" t="inlineStr">
        <is>
          <t>169409894873</t>
        </is>
      </c>
      <c r="G473" s="19" t="inlineStr">
        <is>
          <t>NORMAL</t>
        </is>
      </c>
      <c r="H473" s="20" t="n">
        <v>49.9</v>
      </c>
      <c r="I473" s="20" t="n">
        <v>49.9</v>
      </c>
      <c r="J473" s="21" t="inlineStr">
        <is>
          <t>NÃO</t>
        </is>
      </c>
      <c r="K473" s="20" t="n"/>
      <c r="L473" s="35">
        <f>IF(K473&lt;&gt;"",K473,I473)</f>
        <v/>
      </c>
      <c r="M473" s="30" t="n"/>
      <c r="N473" s="30" t="n"/>
      <c r="O473" s="31" t="n"/>
      <c r="P473" s="80">
        <f>IF($O473="","",L473-O473-(L473*IF(L473&lt;=79.99,20%,14%)+IF(L473&lt;=79.99,4,IF(L473&lt;=99.99,16,IF(L473&lt;=199.99,20,IF(L473&lt;=499.99,26,28)))))-L473*1.3%-L473*6%-(L473-O473)*9.25%-L473*3%-L473*3%-1)</f>
        <v/>
      </c>
      <c r="Q473" s="22">
        <f>IF(AND(K473&lt;&gt;"",H473&gt;0),(H473-K473)/H473,"")</f>
        <v/>
      </c>
      <c r="R473" s="19" t="inlineStr"/>
      <c r="S473" s="23" t="n"/>
      <c r="T473" s="23" t="n"/>
      <c r="U473" s="19" t="inlineStr">
        <is>
          <t>100719</t>
        </is>
      </c>
      <c r="W473" t="inlineStr">
        <is>
          <t>sem correspondência</t>
        </is>
      </c>
      <c r="Y473" t="inlineStr"/>
    </row>
    <row r="474" ht="15" customFormat="1" customHeight="1" s="14">
      <c r="A474" s="14" t="inlineStr">
        <is>
          <t>Jacartta</t>
        </is>
      </c>
      <c r="B474" s="14" t="inlineStr">
        <is>
          <t>Dedeira para Limpeza Dental Pet Clean para Cães e Gato</t>
        </is>
      </c>
      <c r="C474" s="14" t="inlineStr">
        <is>
          <t>Sem variação</t>
        </is>
      </c>
      <c r="D474" s="14" t="inlineStr">
        <is>
          <t>DEDEIRA-PET</t>
        </is>
      </c>
      <c r="E474" s="14" t="inlineStr">
        <is>
          <t>23893135438</t>
        </is>
      </c>
      <c r="F474" s="14" t="inlineStr">
        <is>
          <t>0</t>
        </is>
      </c>
      <c r="G474" s="14" t="inlineStr">
        <is>
          <t>NORMAL</t>
        </is>
      </c>
      <c r="H474" s="15" t="n">
        <v>5.9</v>
      </c>
      <c r="I474" s="15" t="n">
        <v>5.9</v>
      </c>
      <c r="J474" s="16" t="inlineStr">
        <is>
          <t>NÃO</t>
        </is>
      </c>
      <c r="K474" s="15" t="n"/>
      <c r="L474" s="35">
        <f>IF(K474&lt;&gt;"",K474,I474)</f>
        <v/>
      </c>
      <c r="M474" s="84" t="n">
        <v>1</v>
      </c>
      <c r="N474" s="85" t="n">
        <v>0.35</v>
      </c>
      <c r="O474" s="80">
        <f>ROUND(M474*N474,2)</f>
        <v/>
      </c>
      <c r="P474" s="80">
        <f>IF($O474="","",L474-O474-(L474*IF(L474&lt;=79.99,20%,14%)+IF(L474&lt;=79.99,4,IF(L474&lt;=99.99,16,IF(L474&lt;=199.99,20,IF(L474&lt;=499.99,26,28)))))-L474*1.3%-L474*6%-(L474-O474)*9.25%-L474*3%-L474*3%-1)</f>
        <v/>
      </c>
      <c r="Q474" s="17">
        <f>IF(AND(K474&lt;&gt;"",H474&gt;0),(H474-K474)/H474,"")</f>
        <v/>
      </c>
      <c r="R474" s="14" t="inlineStr"/>
      <c r="S474" s="18" t="n"/>
      <c r="T474" s="18" t="n"/>
      <c r="U474" s="14" t="inlineStr">
        <is>
          <t>100930</t>
        </is>
      </c>
      <c r="V474" t="inlineStr">
        <is>
          <t>213134</t>
        </is>
      </c>
      <c r="W474" t="inlineStr">
        <is>
          <t>venda casada (6 pedidos)</t>
        </is>
      </c>
      <c r="X474" t="n">
        <v>6</v>
      </c>
      <c r="Y474" t="inlineStr">
        <is>
          <t>ok</t>
        </is>
      </c>
    </row>
    <row r="475" ht="15" customFormat="1" customHeight="1" s="19">
      <c r="A475" s="19" t="inlineStr">
        <is>
          <t>Jacartta</t>
        </is>
      </c>
      <c r="B475" s="19" t="inlineStr">
        <is>
          <t>Duotrill 50mg Cães E Gatos 120 Comprimidos - Duprat</t>
        </is>
      </c>
      <c r="C475" s="19" t="inlineStr">
        <is>
          <t>Sem variação</t>
        </is>
      </c>
      <c r="D475" s="19" t="inlineStr">
        <is>
          <t>DUOTRILL-50MG-120COMP</t>
        </is>
      </c>
      <c r="E475" s="19" t="inlineStr">
        <is>
          <t>20698330511</t>
        </is>
      </c>
      <c r="F475" s="19" t="inlineStr">
        <is>
          <t>0</t>
        </is>
      </c>
      <c r="G475" s="19" t="inlineStr">
        <is>
          <t>NORMAL</t>
        </is>
      </c>
      <c r="H475" s="20" t="n">
        <v>299.9</v>
      </c>
      <c r="I475" s="20" t="n">
        <v>190.9</v>
      </c>
      <c r="J475" s="21" t="inlineStr">
        <is>
          <t>SIM</t>
        </is>
      </c>
      <c r="K475" s="20" t="n">
        <v>190.9</v>
      </c>
      <c r="L475" s="35">
        <f>IF(K475&lt;&gt;"",K475,I475)</f>
        <v/>
      </c>
      <c r="M475" s="30" t="n"/>
      <c r="N475" s="30" t="n"/>
      <c r="O475" s="29" t="n"/>
      <c r="P475" s="80">
        <f>IF($O475="","",L475-O475-(L475*IF(L475&lt;=79.99,20%,14%)+IF(L475&lt;=79.99,4,IF(L475&lt;=99.99,16,IF(L475&lt;=199.99,20,IF(L475&lt;=499.99,26,28)))))-L475*1.3%-L475*6%-(L475-O475)*9.25%-L475*3%-L475*3%-1)</f>
        <v/>
      </c>
      <c r="Q475" s="22">
        <f>IF(AND(K475&lt;&gt;"",H475&gt;0),(H475-K475)/H475,"")</f>
        <v/>
      </c>
      <c r="R475" s="19" t="inlineStr">
        <is>
          <t>909481504866304</t>
        </is>
      </c>
      <c r="S475" s="23" t="n">
        <v>46144.3875</v>
      </c>
      <c r="T475" s="23" t="n">
        <v>46295.4375</v>
      </c>
      <c r="U475" s="19" t="inlineStr">
        <is>
          <t>100942</t>
        </is>
      </c>
      <c r="W475" t="inlineStr">
        <is>
          <t>sem correspondência</t>
        </is>
      </c>
      <c r="Y475" t="inlineStr"/>
    </row>
    <row r="476" ht="15" customFormat="1" customHeight="1" s="14">
      <c r="A476" s="14" t="inlineStr">
        <is>
          <t>Jacartta</t>
        </is>
      </c>
      <c r="B476" s="14" t="inlineStr">
        <is>
          <t>Duprantel c/4 comprimidos (blister+ bula)</t>
        </is>
      </c>
      <c r="C476" s="14" t="inlineStr">
        <is>
          <t>1 Comprimido</t>
        </is>
      </c>
      <c r="D476" s="14" t="inlineStr">
        <is>
          <t>331</t>
        </is>
      </c>
      <c r="E476" s="14" t="inlineStr">
        <is>
          <t>5694670617</t>
        </is>
      </c>
      <c r="F476" s="14" t="inlineStr">
        <is>
          <t>101028917416</t>
        </is>
      </c>
      <c r="G476" s="14" t="inlineStr">
        <is>
          <t>NORMAL</t>
        </is>
      </c>
      <c r="H476" s="15" t="n">
        <v>9.98</v>
      </c>
      <c r="I476" s="15" t="n">
        <v>9.98</v>
      </c>
      <c r="J476" s="16" t="inlineStr">
        <is>
          <t>NÃO</t>
        </is>
      </c>
      <c r="K476" s="15" t="n"/>
      <c r="L476" s="35">
        <f>IF(K476&lt;&gt;"",K476,I476)</f>
        <v/>
      </c>
      <c r="M476" s="84" t="n">
        <v>1</v>
      </c>
      <c r="N476" s="85" t="n">
        <v>1.89</v>
      </c>
      <c r="O476" s="80">
        <f>ROUND(M476*N476,2)</f>
        <v/>
      </c>
      <c r="P476" s="80">
        <f>IF($O476="","",L476-O476-(L476*IF(L476&lt;=79.99,20%,14%)+IF(L476&lt;=79.99,4,IF(L476&lt;=99.99,16,IF(L476&lt;=199.99,20,IF(L476&lt;=499.99,26,28)))))-L476*1.3%-L476*6%-(L476-O476)*9.25%-L476*3%-L476*3%-1)</f>
        <v/>
      </c>
      <c r="Q476" s="17">
        <f>IF(AND(K476&lt;&gt;"",H476&gt;0),(H476-K476)/H476,"")</f>
        <v/>
      </c>
      <c r="R476" s="14" t="inlineStr"/>
      <c r="S476" s="18" t="n"/>
      <c r="T476" s="18" t="n"/>
      <c r="U476" s="14" t="inlineStr">
        <is>
          <t>100942</t>
        </is>
      </c>
      <c r="V476" t="inlineStr">
        <is>
          <t>214902</t>
        </is>
      </c>
      <c r="W476" t="inlineStr">
        <is>
          <t>herdado do anúncio · custo do KIT 214913 (1× 214902)</t>
        </is>
      </c>
      <c r="Y476" t="inlineStr">
        <is>
          <t>ok</t>
        </is>
      </c>
    </row>
    <row r="477" ht="15" customFormat="1" customHeight="1" s="19">
      <c r="A477" s="19" t="inlineStr">
        <is>
          <t>Jacartta</t>
        </is>
      </c>
      <c r="B477" s="19" t="inlineStr">
        <is>
          <t>Duprantel c/4 comprimidos (blister+ bula)</t>
        </is>
      </c>
      <c r="C477" s="19" t="inlineStr">
        <is>
          <t>2 Comprimidos</t>
        </is>
      </c>
      <c r="D477" s="19" t="inlineStr">
        <is>
          <t>331</t>
        </is>
      </c>
      <c r="E477" s="19" t="inlineStr">
        <is>
          <t>5694670617</t>
        </is>
      </c>
      <c r="F477" s="19" t="inlineStr">
        <is>
          <t>101028917417</t>
        </is>
      </c>
      <c r="G477" s="19" t="inlineStr">
        <is>
          <t>NORMAL</t>
        </is>
      </c>
      <c r="H477" s="20" t="n">
        <v>15.96</v>
      </c>
      <c r="I477" s="20" t="n">
        <v>15.96</v>
      </c>
      <c r="J477" s="21" t="inlineStr">
        <is>
          <t>NÃO</t>
        </is>
      </c>
      <c r="K477" s="20" t="n"/>
      <c r="L477" s="35">
        <f>IF(K477&lt;&gt;"",K477,I477)</f>
        <v/>
      </c>
      <c r="M477" s="81" t="n">
        <v>1</v>
      </c>
      <c r="N477" s="82" t="n">
        <v>1.89</v>
      </c>
      <c r="O477" s="83">
        <f>ROUND(M477*N477,2)</f>
        <v/>
      </c>
      <c r="P477" s="80">
        <f>IF($O477="","",L477-O477-(L477*IF(L477&lt;=79.99,20%,14%)+IF(L477&lt;=79.99,4,IF(L477&lt;=99.99,16,IF(L477&lt;=199.99,20,IF(L477&lt;=499.99,26,28)))))-L477*1.3%-L477*6%-(L477-O477)*9.25%-L477*3%-L477*3%-1)</f>
        <v/>
      </c>
      <c r="Q477" s="22">
        <f>IF(AND(K477&lt;&gt;"",H477&gt;0),(H477-K477)/H477,"")</f>
        <v/>
      </c>
      <c r="R477" s="19" t="inlineStr"/>
      <c r="S477" s="23" t="n"/>
      <c r="T477" s="23" t="n"/>
      <c r="U477" s="19" t="inlineStr">
        <is>
          <t>100942</t>
        </is>
      </c>
      <c r="V477" t="inlineStr">
        <is>
          <t>214902</t>
        </is>
      </c>
      <c r="W477" t="inlineStr">
        <is>
          <t>venda casada (1 pedido) · custo do KIT 214913 (1× 214902)</t>
        </is>
      </c>
      <c r="X477" t="n">
        <v>1</v>
      </c>
      <c r="Y477" t="inlineStr">
        <is>
          <t>⚠ evidência fraca (1 pedido)</t>
        </is>
      </c>
    </row>
    <row r="478" ht="15" customFormat="1" customHeight="1" s="14">
      <c r="A478" s="14" t="inlineStr">
        <is>
          <t>Jacartta</t>
        </is>
      </c>
      <c r="B478" s="14" t="inlineStr">
        <is>
          <t>Duprantel c/4 comprimidos (blister+ bula)</t>
        </is>
      </c>
      <c r="C478" s="14" t="inlineStr">
        <is>
          <t>4 Comprimidos</t>
        </is>
      </c>
      <c r="D478" s="14" t="inlineStr">
        <is>
          <t>331</t>
        </is>
      </c>
      <c r="E478" s="14" t="inlineStr">
        <is>
          <t>5694670617</t>
        </is>
      </c>
      <c r="F478" s="14" t="inlineStr">
        <is>
          <t>101028917418</t>
        </is>
      </c>
      <c r="G478" s="14" t="inlineStr">
        <is>
          <t>NORMAL</t>
        </is>
      </c>
      <c r="H478" s="15" t="n">
        <v>23.94</v>
      </c>
      <c r="I478" s="15" t="n">
        <v>23.94</v>
      </c>
      <c r="J478" s="16" t="inlineStr">
        <is>
          <t>NÃO</t>
        </is>
      </c>
      <c r="K478" s="15" t="n"/>
      <c r="L478" s="35">
        <f>IF(K478&lt;&gt;"",K478,I478)</f>
        <v/>
      </c>
      <c r="M478" s="84" t="n">
        <v>1</v>
      </c>
      <c r="N478" s="85" t="n">
        <v>1.89</v>
      </c>
      <c r="O478" s="80">
        <f>ROUND(M478*N478,2)</f>
        <v/>
      </c>
      <c r="P478" s="80">
        <f>IF($O478="","",L478-O478-(L478*IF(L478&lt;=79.99,20%,14%)+IF(L478&lt;=79.99,4,IF(L478&lt;=99.99,16,IF(L478&lt;=199.99,20,IF(L478&lt;=499.99,26,28)))))-L478*1.3%-L478*6%-(L478-O478)*9.25%-L478*3%-L478*3%-1)</f>
        <v/>
      </c>
      <c r="Q478" s="17">
        <f>IF(AND(K478&lt;&gt;"",H478&gt;0),(H478-K478)/H478,"")</f>
        <v/>
      </c>
      <c r="R478" s="14" t="inlineStr"/>
      <c r="S478" s="18" t="n"/>
      <c r="T478" s="18" t="n"/>
      <c r="U478" s="14" t="inlineStr">
        <is>
          <t>100942</t>
        </is>
      </c>
      <c r="V478" t="inlineStr">
        <is>
          <t>214902</t>
        </is>
      </c>
      <c r="W478" t="inlineStr">
        <is>
          <t>herdado do anúncio · custo do KIT 214913 (1× 214902)</t>
        </is>
      </c>
      <c r="Y478" t="inlineStr">
        <is>
          <t>ok</t>
        </is>
      </c>
    </row>
    <row r="479" ht="15" customFormat="1" customHeight="1" s="19">
      <c r="A479" s="19" t="inlineStr">
        <is>
          <t>Jacartta</t>
        </is>
      </c>
      <c r="B479" s="19" t="inlineStr">
        <is>
          <t>Duprantel Plus Vermífugo Cães 4 Comprimidos Verme Nematódeos</t>
        </is>
      </c>
      <c r="C479" s="19" t="inlineStr">
        <is>
          <t>Sem variação</t>
        </is>
      </c>
      <c r="D479" s="19" t="inlineStr">
        <is>
          <t>DUPRANTEL-PLUS-4COMPS</t>
        </is>
      </c>
      <c r="E479" s="19" t="inlineStr">
        <is>
          <t>18399926851</t>
        </is>
      </c>
      <c r="F479" s="19" t="inlineStr">
        <is>
          <t>0</t>
        </is>
      </c>
      <c r="G479" s="19" t="inlineStr">
        <is>
          <t>NORMAL</t>
        </is>
      </c>
      <c r="H479" s="20" t="n">
        <v>59.9</v>
      </c>
      <c r="I479" s="20" t="n">
        <v>19.9</v>
      </c>
      <c r="J479" s="21" t="inlineStr">
        <is>
          <t>SIM</t>
        </is>
      </c>
      <c r="K479" s="20" t="n">
        <v>19.9</v>
      </c>
      <c r="L479" s="35">
        <f>IF(K479&lt;&gt;"",K479,I479)</f>
        <v/>
      </c>
      <c r="M479" s="81" t="n">
        <v>2</v>
      </c>
      <c r="N479" s="82" t="n">
        <v>3.93</v>
      </c>
      <c r="O479" s="80">
        <f>ROUND(M479*N479,2)</f>
        <v/>
      </c>
      <c r="P479" s="80">
        <f>IF($O479="","",L479-O479-(L479*IF(L479&lt;=79.99,20%,14%)+IF(L479&lt;=79.99,4,IF(L479&lt;=99.99,16,IF(L479&lt;=199.99,20,IF(L479&lt;=499.99,26,28)))))-L479*1.3%-L479*6%-(L479-O479)*9.25%-L479*3%-L479*3%-1)</f>
        <v/>
      </c>
      <c r="Q479" s="22">
        <f>IF(AND(K479&lt;&gt;"",H479&gt;0),(H479-K479)/H479,"")</f>
        <v/>
      </c>
      <c r="R479" s="19" t="inlineStr">
        <is>
          <t>909481504866304</t>
        </is>
      </c>
      <c r="S479" s="23" t="n">
        <v>46144.3875</v>
      </c>
      <c r="T479" s="23" t="n">
        <v>46295.4375</v>
      </c>
      <c r="U479" s="19" t="inlineStr">
        <is>
          <t>100942</t>
        </is>
      </c>
      <c r="V479" t="inlineStr">
        <is>
          <t>214904</t>
        </is>
      </c>
      <c r="W479" t="inlineStr">
        <is>
          <t>SKU do de-para · custo do KIT 214922 (2× 214904)</t>
        </is>
      </c>
      <c r="X479" t="n">
        <v>2</v>
      </c>
      <c r="Y479" t="inlineStr">
        <is>
          <t>ok</t>
        </is>
      </c>
    </row>
    <row r="480" ht="15" customFormat="1" customHeight="1" s="14">
      <c r="A480" s="14" t="inlineStr">
        <is>
          <t>Jacartta</t>
        </is>
      </c>
      <c r="B480" s="14" t="inlineStr">
        <is>
          <t>EC PET 0,67mL Chemitec Antipulgas e Carrapatos - Cães até 10Kg</t>
        </is>
      </c>
      <c r="C480" s="14" t="inlineStr">
        <is>
          <t>Sem variação</t>
        </is>
      </c>
      <c r="D480" s="14" t="inlineStr">
        <is>
          <t>EC-PET-10KG</t>
        </is>
      </c>
      <c r="E480" s="14" t="inlineStr">
        <is>
          <t>23297377926</t>
        </is>
      </c>
      <c r="F480" s="14" t="inlineStr">
        <is>
          <t>0</t>
        </is>
      </c>
      <c r="G480" s="14" t="inlineStr">
        <is>
          <t>NORMAL</t>
        </is>
      </c>
      <c r="H480" s="15" t="n">
        <v>29.9</v>
      </c>
      <c r="I480" s="15" t="n">
        <v>18.9</v>
      </c>
      <c r="J480" s="16" t="inlineStr">
        <is>
          <t>SIM</t>
        </is>
      </c>
      <c r="K480" s="15" t="n">
        <v>18.9</v>
      </c>
      <c r="L480" s="35">
        <f>IF(K480&lt;&gt;"",K480,I480)</f>
        <v/>
      </c>
      <c r="M480" s="84" t="n">
        <v>1</v>
      </c>
      <c r="N480" s="85" t="n">
        <v>19.09</v>
      </c>
      <c r="O480" s="80">
        <f>ROUND(M480*N480,2)</f>
        <v/>
      </c>
      <c r="P480" s="80">
        <f>IF($O480="","",L480-O480-(L480*IF(L480&lt;=79.99,20%,14%)+IF(L480&lt;=79.99,4,IF(L480&lt;=99.99,16,IF(L480&lt;=199.99,20,IF(L480&lt;=499.99,26,28)))))-L480*1.3%-L480*6%-(L480-O480)*9.25%-L480*3%-L480*3%-1)</f>
        <v/>
      </c>
      <c r="Q480" s="17">
        <f>IF(AND(K480&lt;&gt;"",H480&gt;0),(H480-K480)/H480,"")</f>
        <v/>
      </c>
      <c r="R480" s="14" t="inlineStr">
        <is>
          <t>909481504866304</t>
        </is>
      </c>
      <c r="S480" s="18" t="n">
        <v>46144.3875</v>
      </c>
      <c r="T480" s="18" t="n">
        <v>46295.4375</v>
      </c>
      <c r="U480" s="14" t="inlineStr">
        <is>
          <t>100942</t>
        </is>
      </c>
      <c r="V480" t="inlineStr">
        <is>
          <t>213795</t>
        </is>
      </c>
      <c r="W480" t="inlineStr">
        <is>
          <t>venda casada (1 pedido)</t>
        </is>
      </c>
      <c r="X480" t="n">
        <v>1</v>
      </c>
      <c r="Y480" t="inlineStr">
        <is>
          <t>⚠ evidência fraca (1 pedido)</t>
        </is>
      </c>
    </row>
    <row r="481" ht="15" customFormat="1" customHeight="1" s="19">
      <c r="A481" s="19" t="inlineStr">
        <is>
          <t>Jacartta</t>
        </is>
      </c>
      <c r="B481" s="19" t="inlineStr">
        <is>
          <t>EC PET 2,68mL Chemitec Antipulgas e Carrapatos - Cães de 21 a 40Kg</t>
        </is>
      </c>
      <c r="C481" s="19" t="inlineStr">
        <is>
          <t>Sem variação</t>
        </is>
      </c>
      <c r="D481" s="19" t="inlineStr">
        <is>
          <t>EC-PET-21A40KG</t>
        </is>
      </c>
      <c r="E481" s="19" t="inlineStr">
        <is>
          <t>23392881139</t>
        </is>
      </c>
      <c r="F481" s="19" t="inlineStr">
        <is>
          <t>0</t>
        </is>
      </c>
      <c r="G481" s="19" t="inlineStr">
        <is>
          <t>NORMAL</t>
        </is>
      </c>
      <c r="H481" s="20" t="n">
        <v>38.9</v>
      </c>
      <c r="I481" s="20" t="n">
        <v>20.9</v>
      </c>
      <c r="J481" s="21" t="inlineStr">
        <is>
          <t>SIM</t>
        </is>
      </c>
      <c r="K481" s="20" t="n">
        <v>20.9</v>
      </c>
      <c r="L481" s="35">
        <f>IF(K481&lt;&gt;"",K481,I481)</f>
        <v/>
      </c>
      <c r="M481" s="81" t="n">
        <v>1</v>
      </c>
      <c r="N481" s="82" t="n">
        <v>12.91</v>
      </c>
      <c r="O481" s="80">
        <f>ROUND(M481*N481,2)</f>
        <v/>
      </c>
      <c r="P481" s="80">
        <f>IF($O481="","",L481-O481-(L481*IF(L481&lt;=79.99,20%,14%)+IF(L481&lt;=79.99,4,IF(L481&lt;=99.99,16,IF(L481&lt;=199.99,20,IF(L481&lt;=499.99,26,28)))))-L481*1.3%-L481*6%-(L481-O481)*9.25%-L481*3%-L481*3%-1)</f>
        <v/>
      </c>
      <c r="Q481" s="22">
        <f>IF(AND(K481&lt;&gt;"",H481&gt;0),(H481-K481)/H481,"")</f>
        <v/>
      </c>
      <c r="R481" s="19" t="inlineStr">
        <is>
          <t>909481504866304</t>
        </is>
      </c>
      <c r="S481" s="23" t="n">
        <v>46144.3875</v>
      </c>
      <c r="T481" s="23" t="n">
        <v>46295.4375</v>
      </c>
      <c r="U481" s="19" t="inlineStr">
        <is>
          <t>100942</t>
        </is>
      </c>
      <c r="V481" t="inlineStr">
        <is>
          <t>213661</t>
        </is>
      </c>
      <c r="W481" t="inlineStr">
        <is>
          <t>SKU do de-para</t>
        </is>
      </c>
      <c r="X481" t="n">
        <v>2</v>
      </c>
      <c r="Y481" t="inlineStr">
        <is>
          <t>ok</t>
        </is>
      </c>
    </row>
    <row r="482" ht="15" customFormat="1" customHeight="1" s="14">
      <c r="A482" s="14" t="inlineStr">
        <is>
          <t>Jacartta</t>
        </is>
      </c>
      <c r="B482" s="14" t="inlineStr">
        <is>
          <t>Educador Duprat Bitterpet para Cães e Gatos 140ml</t>
        </is>
      </c>
      <c r="C482" s="14" t="inlineStr">
        <is>
          <t>Sem variação</t>
        </is>
      </c>
      <c r="D482" s="14" t="inlineStr">
        <is>
          <t>BITTERPET-140ML</t>
        </is>
      </c>
      <c r="E482" s="14" t="inlineStr">
        <is>
          <t>18598353985</t>
        </is>
      </c>
      <c r="F482" s="14" t="inlineStr">
        <is>
          <t>0</t>
        </is>
      </c>
      <c r="G482" s="14" t="inlineStr">
        <is>
          <t>NORMAL</t>
        </is>
      </c>
      <c r="H482" s="15" t="n">
        <v>69.90000000000001</v>
      </c>
      <c r="I482" s="15" t="n">
        <v>35.19</v>
      </c>
      <c r="J482" s="16" t="inlineStr">
        <is>
          <t>SIM</t>
        </is>
      </c>
      <c r="K482" s="15" t="n">
        <v>35.19</v>
      </c>
      <c r="L482" s="35">
        <f>IF(K482&lt;&gt;"",K482,I482)</f>
        <v/>
      </c>
      <c r="M482" s="84" t="n">
        <v>1</v>
      </c>
      <c r="N482" s="85" t="n">
        <v>13.03</v>
      </c>
      <c r="O482" s="80">
        <f>ROUND(M482*N482,2)</f>
        <v/>
      </c>
      <c r="P482" s="80">
        <f>IF($O482="","",L482-O482-(L482*IF(L482&lt;=79.99,20%,14%)+IF(L482&lt;=79.99,4,IF(L482&lt;=99.99,16,IF(L482&lt;=199.99,20,IF(L482&lt;=499.99,26,28)))))-L482*1.3%-L482*6%-(L482-O482)*9.25%-L482*3%-L482*3%-1)</f>
        <v/>
      </c>
      <c r="Q482" s="17">
        <f>IF(AND(K482&lt;&gt;"",H482&gt;0),(H482-K482)/H482,"")</f>
        <v/>
      </c>
      <c r="R482" s="14" t="inlineStr">
        <is>
          <t>909481504866304</t>
        </is>
      </c>
      <c r="S482" s="18" t="n">
        <v>46144.3875</v>
      </c>
      <c r="T482" s="18" t="n">
        <v>46295.4375</v>
      </c>
      <c r="U482" s="14" t="inlineStr">
        <is>
          <t>100932</t>
        </is>
      </c>
      <c r="V482" t="inlineStr">
        <is>
          <t>213420</t>
        </is>
      </c>
      <c r="W482" t="inlineStr">
        <is>
          <t>venda casada (1 pedido)</t>
        </is>
      </c>
      <c r="X482" t="n">
        <v>1</v>
      </c>
      <c r="Y482" t="inlineStr">
        <is>
          <t>⚠ evidência fraca (1 pedido)</t>
        </is>
      </c>
    </row>
    <row r="483" ht="15" customFormat="1" customHeight="1" s="19">
      <c r="A483" s="19" t="inlineStr">
        <is>
          <t>Jacartta</t>
        </is>
      </c>
      <c r="B483" s="19" t="inlineStr">
        <is>
          <t>Elo-Xicam 2mg 10 Comprimidos para Cães Chemitec</t>
        </is>
      </c>
      <c r="C483" s="19" t="inlineStr">
        <is>
          <t>1 CAIXA (10 COMPRIMIDOS)</t>
        </is>
      </c>
      <c r="D483" s="19" t="inlineStr">
        <is>
          <t>1CX-ELOXICAM-2MG-CÃES</t>
        </is>
      </c>
      <c r="E483" s="19" t="inlineStr">
        <is>
          <t>18997641159</t>
        </is>
      </c>
      <c r="F483" s="19" t="inlineStr">
        <is>
          <t>209593408406</t>
        </is>
      </c>
      <c r="G483" s="19" t="inlineStr">
        <is>
          <t>NORMAL</t>
        </is>
      </c>
      <c r="H483" s="20" t="n">
        <v>44.9</v>
      </c>
      <c r="I483" s="20" t="n">
        <v>19.9</v>
      </c>
      <c r="J483" s="21" t="inlineStr">
        <is>
          <t>SIM</t>
        </is>
      </c>
      <c r="K483" s="20" t="n">
        <v>19.9</v>
      </c>
      <c r="L483" s="35">
        <f>IF(K483&lt;&gt;"",K483,I483)</f>
        <v/>
      </c>
      <c r="M483" s="81" t="n">
        <v>2</v>
      </c>
      <c r="N483" s="82" t="n">
        <v>20.46</v>
      </c>
      <c r="O483" s="80">
        <f>ROUND(M483*N483,2)</f>
        <v/>
      </c>
      <c r="P483" s="80">
        <f>IF($O483="","",L483-O483-(L483*IF(L483&lt;=79.99,20%,14%)+IF(L483&lt;=79.99,4,IF(L483&lt;=99.99,16,IF(L483&lt;=199.99,20,IF(L483&lt;=499.99,26,28)))))-L483*1.3%-L483*6%-(L483-O483)*9.25%-L483*3%-L483*3%-1)</f>
        <v/>
      </c>
      <c r="Q483" s="22">
        <f>IF(AND(K483&lt;&gt;"",H483&gt;0),(H483-K483)/H483,"")</f>
        <v/>
      </c>
      <c r="R483" s="19" t="inlineStr">
        <is>
          <t>909481504866304</t>
        </is>
      </c>
      <c r="S483" s="23" t="n">
        <v>46144.3875</v>
      </c>
      <c r="T483" s="23" t="n">
        <v>46295.4375</v>
      </c>
      <c r="U483" s="19" t="inlineStr">
        <is>
          <t>100942</t>
        </is>
      </c>
      <c r="V483" t="inlineStr">
        <is>
          <t>213730</t>
        </is>
      </c>
      <c r="W483" t="inlineStr">
        <is>
          <t>SKU do de-para · custo do KIT 213732 (2× 213730)</t>
        </is>
      </c>
      <c r="X483" t="n">
        <v>2</v>
      </c>
      <c r="Y483" t="inlineStr">
        <is>
          <t>ok</t>
        </is>
      </c>
    </row>
    <row r="484" ht="15" customFormat="1" customHeight="1" s="14">
      <c r="A484" s="19" t="inlineStr">
        <is>
          <t>Jacartta</t>
        </is>
      </c>
      <c r="B484" s="19" t="inlineStr">
        <is>
          <t>Escorredor de Louças Rack Aço Carbono Organizador Preto</t>
        </is>
      </c>
      <c r="C484" s="19" t="inlineStr">
        <is>
          <t>Sem variação</t>
        </is>
      </c>
      <c r="D484" s="19" t="inlineStr">
        <is>
          <t>ESCORREDOR-RACK</t>
        </is>
      </c>
      <c r="E484" s="19" t="inlineStr">
        <is>
          <t>23299014796</t>
        </is>
      </c>
      <c r="F484" s="19" t="inlineStr">
        <is>
          <t>0</t>
        </is>
      </c>
      <c r="G484" s="19" t="inlineStr">
        <is>
          <t>NORMAL</t>
        </is>
      </c>
      <c r="H484" s="20" t="n">
        <v>199.9</v>
      </c>
      <c r="I484" s="20" t="n">
        <v>79.90000000000001</v>
      </c>
      <c r="J484" s="21" t="inlineStr">
        <is>
          <t>SIM</t>
        </is>
      </c>
      <c r="K484" s="20" t="n">
        <v>79.90000000000001</v>
      </c>
      <c r="L484" s="35">
        <f>IF(K484&lt;&gt;"",K484,I484)</f>
        <v/>
      </c>
      <c r="M484" s="30" t="n"/>
      <c r="N484" s="30" t="n"/>
      <c r="O484" s="29" t="n"/>
      <c r="P484" s="80">
        <f>IF($O484="","",L484-O484-(L484*IF(L484&lt;=79.99,20%,14%)+IF(L484&lt;=79.99,4,IF(L484&lt;=99.99,16,IF(L484&lt;=199.99,20,IF(L484&lt;=499.99,26,28)))))-L484*1.3%-L484*6%-(L484-O484)*9.25%-L484*3%-L484*3%-1)</f>
        <v/>
      </c>
      <c r="Q484" s="22">
        <f>IF(AND(K484&lt;&gt;"",H484&gt;0),(H484-K484)/H484,"")</f>
        <v/>
      </c>
      <c r="R484" s="19" t="inlineStr">
        <is>
          <t>478386871025791</t>
        </is>
      </c>
      <c r="S484" s="23" t="n">
        <v>46209.64583333334</v>
      </c>
      <c r="T484" s="23" t="n">
        <v>46326.99930555555</v>
      </c>
      <c r="U484" s="19" t="inlineStr">
        <is>
          <t>101224</t>
        </is>
      </c>
      <c r="W484" t="inlineStr">
        <is>
          <t>sem correspondência</t>
        </is>
      </c>
      <c r="Y484" t="inlineStr"/>
    </row>
    <row r="485" ht="15" customFormat="1" customHeight="1" s="19">
      <c r="A485" s="14" t="inlineStr">
        <is>
          <t>Jacartta</t>
        </is>
      </c>
      <c r="B485" s="14" t="inlineStr">
        <is>
          <t>Gaiola De Hamster Com Casa Grande 3 Andares Tubo e Bebedouro</t>
        </is>
      </c>
      <c r="C485" s="14" t="inlineStr">
        <is>
          <t>AZUL</t>
        </is>
      </c>
      <c r="D485" s="14" t="inlineStr">
        <is>
          <t>0857</t>
        </is>
      </c>
      <c r="E485" s="14" t="inlineStr">
        <is>
          <t>19197585088</t>
        </is>
      </c>
      <c r="F485" s="14" t="inlineStr">
        <is>
          <t>109863257739</t>
        </is>
      </c>
      <c r="G485" s="14" t="inlineStr">
        <is>
          <t>NORMAL</t>
        </is>
      </c>
      <c r="H485" s="15" t="n">
        <v>180.9</v>
      </c>
      <c r="I485" s="15" t="n">
        <v>180.9</v>
      </c>
      <c r="J485" s="16" t="inlineStr">
        <is>
          <t>NÃO</t>
        </is>
      </c>
      <c r="K485" s="15" t="n"/>
      <c r="L485" s="35">
        <f>IF(K485&lt;&gt;"",K485,I485)</f>
        <v/>
      </c>
      <c r="M485" s="28" t="n"/>
      <c r="N485" s="28" t="n"/>
      <c r="O485" s="29" t="n"/>
      <c r="P485" s="80">
        <f>IF($O485="","",L485-O485-(L485*IF(L485&lt;=79.99,20%,14%)+IF(L485&lt;=79.99,4,IF(L485&lt;=99.99,16,IF(L485&lt;=199.99,20,IF(L485&lt;=499.99,26,28)))))-L485*1.3%-L485*6%-(L485-O485)*9.25%-L485*3%-L485*3%-1)</f>
        <v/>
      </c>
      <c r="Q485" s="17">
        <f>IF(AND(K485&lt;&gt;"",H485&gt;0),(H485-K485)/H485,"")</f>
        <v/>
      </c>
      <c r="R485" s="14" t="inlineStr"/>
      <c r="S485" s="18" t="n"/>
      <c r="T485" s="18" t="n"/>
      <c r="U485" s="14" t="inlineStr">
        <is>
          <t>101684</t>
        </is>
      </c>
      <c r="W485" t="inlineStr">
        <is>
          <t>sem correspondência</t>
        </is>
      </c>
      <c r="Y485" t="inlineStr"/>
    </row>
    <row r="486" ht="15" customFormat="1" customHeight="1" s="14">
      <c r="A486" s="19" t="inlineStr">
        <is>
          <t>Jacartta</t>
        </is>
      </c>
      <c r="B486" s="19" t="inlineStr">
        <is>
          <t>Gaiola De Hamster Com Casa Grande 3 Andares Tubo e Bebedouro</t>
        </is>
      </c>
      <c r="C486" s="19" t="inlineStr">
        <is>
          <t>LILÁS</t>
        </is>
      </c>
      <c r="D486" s="19" t="inlineStr">
        <is>
          <t>0857</t>
        </is>
      </c>
      <c r="E486" s="19" t="inlineStr">
        <is>
          <t>19197585088</t>
        </is>
      </c>
      <c r="F486" s="19" t="inlineStr">
        <is>
          <t>109863257738</t>
        </is>
      </c>
      <c r="G486" s="19" t="inlineStr">
        <is>
          <t>NORMAL</t>
        </is>
      </c>
      <c r="H486" s="20" t="n">
        <v>180.9</v>
      </c>
      <c r="I486" s="20" t="n">
        <v>179.9</v>
      </c>
      <c r="J486" s="21" t="inlineStr">
        <is>
          <t>SIM</t>
        </is>
      </c>
      <c r="K486" s="20" t="n">
        <v>179.9</v>
      </c>
      <c r="L486" s="35">
        <f>IF(K486&lt;&gt;"",K486,I486)</f>
        <v/>
      </c>
      <c r="M486" s="30" t="n"/>
      <c r="N486" s="30" t="n"/>
      <c r="O486" s="29" t="n"/>
      <c r="P486" s="80">
        <f>IF($O486="","",L486-O486-(L486*IF(L486&lt;=79.99,20%,14%)+IF(L486&lt;=79.99,4,IF(L486&lt;=99.99,16,IF(L486&lt;=199.99,20,IF(L486&lt;=499.99,26,28)))))-L486*1.3%-L486*6%-(L486-O486)*9.25%-L486*3%-L486*3%-1)</f>
        <v/>
      </c>
      <c r="Q486" s="22">
        <f>IF(AND(K486&lt;&gt;"",H486&gt;0),(H486-K486)/H486,"")</f>
        <v/>
      </c>
      <c r="R486" s="19" t="inlineStr">
        <is>
          <t>909481504866304</t>
        </is>
      </c>
      <c r="S486" s="23" t="n">
        <v>46144.3875</v>
      </c>
      <c r="T486" s="23" t="n">
        <v>46295.4375</v>
      </c>
      <c r="U486" s="19" t="inlineStr">
        <is>
          <t>101684</t>
        </is>
      </c>
      <c r="W486" t="inlineStr">
        <is>
          <t>sem correspondência</t>
        </is>
      </c>
      <c r="Y486" t="inlineStr"/>
    </row>
    <row r="487" ht="15" customFormat="1" customHeight="1" s="19">
      <c r="A487" s="14" t="inlineStr">
        <is>
          <t>Jacartta</t>
        </is>
      </c>
      <c r="B487" s="14" t="inlineStr">
        <is>
          <t>Gaiola De Hamster Com Casa Grande 3 Andares Tubo e Bebedouro</t>
        </is>
      </c>
      <c r="C487" s="14" t="inlineStr">
        <is>
          <t>VERMELHO</t>
        </is>
      </c>
      <c r="D487" s="14" t="inlineStr">
        <is>
          <t>0857</t>
        </is>
      </c>
      <c r="E487" s="14" t="inlineStr">
        <is>
          <t>19197585088</t>
        </is>
      </c>
      <c r="F487" s="14" t="inlineStr">
        <is>
          <t>109863257740</t>
        </is>
      </c>
      <c r="G487" s="14" t="inlineStr">
        <is>
          <t>NORMAL</t>
        </is>
      </c>
      <c r="H487" s="15" t="n">
        <v>180.9</v>
      </c>
      <c r="I487" s="15" t="n">
        <v>180.9</v>
      </c>
      <c r="J487" s="16" t="inlineStr">
        <is>
          <t>NÃO</t>
        </is>
      </c>
      <c r="K487" s="15" t="n"/>
      <c r="L487" s="35">
        <f>IF(K487&lt;&gt;"",K487,I487)</f>
        <v/>
      </c>
      <c r="M487" s="28" t="n"/>
      <c r="N487" s="28" t="n"/>
      <c r="O487" s="29" t="n"/>
      <c r="P487" s="80">
        <f>IF($O487="","",L487-O487-(L487*IF(L487&lt;=79.99,20%,14%)+IF(L487&lt;=79.99,4,IF(L487&lt;=99.99,16,IF(L487&lt;=199.99,20,IF(L487&lt;=499.99,26,28)))))-L487*1.3%-L487*6%-(L487-O487)*9.25%-L487*3%-L487*3%-1)</f>
        <v/>
      </c>
      <c r="Q487" s="17">
        <f>IF(AND(K487&lt;&gt;"",H487&gt;0),(H487-K487)/H487,"")</f>
        <v/>
      </c>
      <c r="R487" s="14" t="inlineStr"/>
      <c r="S487" s="18" t="n"/>
      <c r="T487" s="18" t="n"/>
      <c r="U487" s="14" t="inlineStr">
        <is>
          <t>101684</t>
        </is>
      </c>
      <c r="W487" t="inlineStr">
        <is>
          <t>sem correspondência</t>
        </is>
      </c>
      <c r="Y487" t="inlineStr"/>
    </row>
    <row r="488" ht="15" customFormat="1" customHeight="1" s="14">
      <c r="A488" s="14" t="inlineStr">
        <is>
          <t>Jacartta</t>
        </is>
      </c>
      <c r="B488" s="14" t="inlineStr">
        <is>
          <t>Gaiola Hamster Roedores Completa 3 Andares Com Tubos E Rodinha</t>
        </is>
      </c>
      <c r="C488" s="14" t="inlineStr">
        <is>
          <t>ROXO</t>
        </is>
      </c>
      <c r="D488" s="14" t="inlineStr">
        <is>
          <t>GAIOLA-HAMSTER-PEQ-RX</t>
        </is>
      </c>
      <c r="E488" s="14" t="inlineStr">
        <is>
          <t>23593594289</t>
        </is>
      </c>
      <c r="F488" s="14" t="inlineStr">
        <is>
          <t>149781218185</t>
        </is>
      </c>
      <c r="G488" s="14" t="inlineStr">
        <is>
          <t>NORMAL</t>
        </is>
      </c>
      <c r="H488" s="15" t="n">
        <v>199.9</v>
      </c>
      <c r="I488" s="15" t="n">
        <v>199.9</v>
      </c>
      <c r="J488" s="16" t="inlineStr">
        <is>
          <t>NÃO</t>
        </is>
      </c>
      <c r="K488" s="15" t="n"/>
      <c r="L488" s="35">
        <f>IF(K488&lt;&gt;"",K488,I488)</f>
        <v/>
      </c>
      <c r="M488" s="28" t="n"/>
      <c r="N488" s="28" t="n"/>
      <c r="O488" s="29" t="n"/>
      <c r="P488" s="80">
        <f>IF($O488="","",L488-O488-(L488*IF(L488&lt;=79.99,20%,14%)+IF(L488&lt;=79.99,4,IF(L488&lt;=99.99,16,IF(L488&lt;=199.99,20,IF(L488&lt;=499.99,26,28)))))-L488*1.3%-L488*6%-(L488-O488)*9.25%-L488*3%-L488*3%-1)</f>
        <v/>
      </c>
      <c r="Q488" s="17">
        <f>IF(AND(K488&lt;&gt;"",H488&gt;0),(H488-K488)/H488,"")</f>
        <v/>
      </c>
      <c r="R488" s="14" t="inlineStr"/>
      <c r="S488" s="18" t="n"/>
      <c r="T488" s="18" t="n"/>
      <c r="U488" s="14" t="inlineStr">
        <is>
          <t>101684</t>
        </is>
      </c>
      <c r="V488" t="inlineStr">
        <is>
          <t>GAIOLA-HAMSTER-PEQ-AZ</t>
        </is>
      </c>
      <c r="W488" t="inlineStr">
        <is>
          <t>herdado do anúncio · CUSTO ZERADO na Olist (conferido hoje)</t>
        </is>
      </c>
      <c r="Y488" t="inlineStr">
        <is>
          <t>ok</t>
        </is>
      </c>
    </row>
    <row r="489" ht="15" customFormat="1" customHeight="1" s="19">
      <c r="A489" s="19" t="inlineStr">
        <is>
          <t>Jacartta</t>
        </is>
      </c>
      <c r="B489" s="19" t="inlineStr">
        <is>
          <t>Gaiola Hamster Roedores Completa 3 Andares Com Tubos E Rodinha</t>
        </is>
      </c>
      <c r="C489" s="19" t="inlineStr">
        <is>
          <t>VERMELHO</t>
        </is>
      </c>
      <c r="D489" s="19" t="inlineStr">
        <is>
          <t>GAIOLA-HAMSTER-PEQ-VM</t>
        </is>
      </c>
      <c r="E489" s="19" t="inlineStr">
        <is>
          <t>23593594289</t>
        </is>
      </c>
      <c r="F489" s="19" t="inlineStr">
        <is>
          <t>149781218186</t>
        </is>
      </c>
      <c r="G489" s="19" t="inlineStr">
        <is>
          <t>NORMAL</t>
        </is>
      </c>
      <c r="H489" s="20" t="n">
        <v>199.9</v>
      </c>
      <c r="I489" s="20" t="n">
        <v>199.9</v>
      </c>
      <c r="J489" s="21" t="inlineStr">
        <is>
          <t>NÃO</t>
        </is>
      </c>
      <c r="K489" s="20" t="n"/>
      <c r="L489" s="35">
        <f>IF(K489&lt;&gt;"",K489,I489)</f>
        <v/>
      </c>
      <c r="M489" s="30" t="n"/>
      <c r="N489" s="30" t="n"/>
      <c r="O489" s="31" t="n"/>
      <c r="P489" s="80">
        <f>IF($O489="","",L489-O489-(L489*IF(L489&lt;=79.99,20%,14%)+IF(L489&lt;=79.99,4,IF(L489&lt;=99.99,16,IF(L489&lt;=199.99,20,IF(L489&lt;=499.99,26,28)))))-L489*1.3%-L489*6%-(L489-O489)*9.25%-L489*3%-L489*3%-1)</f>
        <v/>
      </c>
      <c r="Q489" s="22">
        <f>IF(AND(K489&lt;&gt;"",H489&gt;0),(H489-K489)/H489,"")</f>
        <v/>
      </c>
      <c r="R489" s="19" t="inlineStr"/>
      <c r="S489" s="23" t="n"/>
      <c r="T489" s="23" t="n"/>
      <c r="U489" s="19" t="inlineStr">
        <is>
          <t>101684</t>
        </is>
      </c>
      <c r="V489" t="inlineStr">
        <is>
          <t>GAIOLA-HAMSTER-PEQ-AZ</t>
        </is>
      </c>
      <c r="W489" t="inlineStr">
        <is>
          <t>herdado do anúncio · CUSTO ZERADO na Olist (conferido hoje)</t>
        </is>
      </c>
      <c r="Y489" t="inlineStr">
        <is>
          <t>ok</t>
        </is>
      </c>
    </row>
    <row r="490" ht="15" customFormat="1" customHeight="1" s="14">
      <c r="A490" s="19" t="inlineStr">
        <is>
          <t>Jacartta</t>
        </is>
      </c>
      <c r="B490" s="19" t="inlineStr">
        <is>
          <t>GELO PAN DE100GR</t>
        </is>
      </c>
      <c r="C490" s="19" t="inlineStr">
        <is>
          <t>Sem variação</t>
        </is>
      </c>
      <c r="D490" s="19" t="inlineStr">
        <is>
          <t>030</t>
        </is>
      </c>
      <c r="E490" s="19" t="inlineStr">
        <is>
          <t>15982959537</t>
        </is>
      </c>
      <c r="F490" s="19" t="inlineStr">
        <is>
          <t>0</t>
        </is>
      </c>
      <c r="G490" s="19" t="inlineStr">
        <is>
          <t>NORMAL</t>
        </is>
      </c>
      <c r="H490" s="20" t="n">
        <v>67.8</v>
      </c>
      <c r="I490" s="20" t="n">
        <v>67.8</v>
      </c>
      <c r="J490" s="21" t="inlineStr">
        <is>
          <t>NÃO</t>
        </is>
      </c>
      <c r="K490" s="20" t="n"/>
      <c r="L490" s="35">
        <f>IF(K490&lt;&gt;"",K490,I490)</f>
        <v/>
      </c>
      <c r="M490" s="30" t="n"/>
      <c r="N490" s="30" t="n"/>
      <c r="O490" s="31" t="n"/>
      <c r="P490" s="80">
        <f>IF($O490="","",L490-O490-(L490*IF(L490&lt;=79.99,20%,14%)+IF(L490&lt;=79.99,4,IF(L490&lt;=99.99,16,IF(L490&lt;=199.99,20,IF(L490&lt;=499.99,26,28)))))-L490*1.3%-L490*6%-(L490-O490)*9.25%-L490*3%-L490*3%-1)</f>
        <v/>
      </c>
      <c r="Q490" s="22">
        <f>IF(AND(K490&lt;&gt;"",H490&gt;0),(H490-K490)/H490,"")</f>
        <v/>
      </c>
      <c r="R490" s="19" t="inlineStr"/>
      <c r="S490" s="23" t="n"/>
      <c r="T490" s="23" t="n"/>
      <c r="U490" s="19" t="inlineStr">
        <is>
          <t>100942</t>
        </is>
      </c>
      <c r="W490" t="inlineStr">
        <is>
          <t>sem correspondência</t>
        </is>
      </c>
      <c r="Y490" t="inlineStr"/>
    </row>
    <row r="491" ht="15" customFormat="1" customHeight="1" s="19">
      <c r="A491" s="14" t="inlineStr">
        <is>
          <t>Jacartta</t>
        </is>
      </c>
      <c r="B491" s="14" t="inlineStr">
        <is>
          <t>Gelo Reutílizavel Multiuso 1 Litro (Gele sua Cerveja, Refrigerante, Àgua)</t>
        </is>
      </c>
      <c r="C491" s="14" t="inlineStr">
        <is>
          <t>Sem variação</t>
        </is>
      </c>
      <c r="D491" s="14" t="inlineStr"/>
      <c r="E491" s="14" t="inlineStr">
        <is>
          <t>9862207749</t>
        </is>
      </c>
      <c r="F491" s="14" t="inlineStr">
        <is>
          <t>0</t>
        </is>
      </c>
      <c r="G491" s="14" t="inlineStr">
        <is>
          <t>NORMAL</t>
        </is>
      </c>
      <c r="H491" s="15" t="n">
        <v>20</v>
      </c>
      <c r="I491" s="15" t="n">
        <v>9.9</v>
      </c>
      <c r="J491" s="16" t="inlineStr">
        <is>
          <t>SIM</t>
        </is>
      </c>
      <c r="K491" s="15" t="n">
        <v>9.9</v>
      </c>
      <c r="L491" s="35">
        <f>IF(K491&lt;&gt;"",K491,I491)</f>
        <v/>
      </c>
      <c r="M491" s="28" t="n"/>
      <c r="N491" s="28" t="n"/>
      <c r="O491" s="29" t="n"/>
      <c r="P491" s="80">
        <f>IF($O491="","",L491-O491-(L491*IF(L491&lt;=79.99,20%,14%)+IF(L491&lt;=79.99,4,IF(L491&lt;=99.99,16,IF(L491&lt;=199.99,20,IF(L491&lt;=499.99,26,28)))))-L491*1.3%-L491*6%-(L491-O491)*9.25%-L491*3%-L491*3%-1)</f>
        <v/>
      </c>
      <c r="Q491" s="17">
        <f>IF(AND(K491&lt;&gt;"",H491&gt;0),(H491-K491)/H491,"")</f>
        <v/>
      </c>
      <c r="R491" s="14" t="inlineStr">
        <is>
          <t>909481504866304</t>
        </is>
      </c>
      <c r="S491" s="18" t="n">
        <v>46144.3875</v>
      </c>
      <c r="T491" s="18" t="n">
        <v>46295.4375</v>
      </c>
      <c r="U491" s="14" t="inlineStr">
        <is>
          <t>100712</t>
        </is>
      </c>
      <c r="W491" t="inlineStr">
        <is>
          <t>sem correspondência</t>
        </is>
      </c>
      <c r="Y491" t="inlineStr"/>
    </row>
    <row r="492" ht="15" customFormat="1" customHeight="1" s="14">
      <c r="A492" s="19" t="inlineStr">
        <is>
          <t>Jacartta</t>
        </is>
      </c>
      <c r="B492" s="19" t="inlineStr">
        <is>
          <t>Jogo De 12 Taças De Vidro Diamond Transparente Cristal 340Ml</t>
        </is>
      </c>
      <c r="C492" s="19" t="inlineStr">
        <is>
          <t>12 taças</t>
        </is>
      </c>
      <c r="D492" s="19" t="inlineStr">
        <is>
          <t>KIT12-TAÇA</t>
        </is>
      </c>
      <c r="E492" s="19" t="inlineStr">
        <is>
          <t>22494532744</t>
        </is>
      </c>
      <c r="F492" s="19" t="inlineStr">
        <is>
          <t>229430114469</t>
        </is>
      </c>
      <c r="G492" s="19" t="inlineStr">
        <is>
          <t>NORMAL</t>
        </is>
      </c>
      <c r="H492" s="20" t="n">
        <v>139.9</v>
      </c>
      <c r="I492" s="20" t="n">
        <v>68.88</v>
      </c>
      <c r="J492" s="21" t="inlineStr">
        <is>
          <t>SIM</t>
        </is>
      </c>
      <c r="K492" s="20" t="n">
        <v>68.88</v>
      </c>
      <c r="L492" s="35">
        <f>IF(K492&lt;&gt;"",K492,I492)</f>
        <v/>
      </c>
      <c r="M492" s="81" t="n">
        <v>12</v>
      </c>
      <c r="N492" s="82" t="n">
        <v>2.14</v>
      </c>
      <c r="O492" s="80">
        <f>ROUND(M492*N492,2)</f>
        <v/>
      </c>
      <c r="P492" s="80">
        <f>IF($O492="","",L492-O492-(L492*IF(L492&lt;=79.99,20%,14%)+IF(L492&lt;=79.99,4,IF(L492&lt;=99.99,16,IF(L492&lt;=199.99,20,IF(L492&lt;=499.99,26,28)))))-L492*1.3%-L492*6%-(L492-O492)*9.25%-L492*3%-L492*3%-1)</f>
        <v/>
      </c>
      <c r="Q492" s="22">
        <f>IF(AND(K492&lt;&gt;"",H492&gt;0),(H492-K492)/H492,"")</f>
        <v/>
      </c>
      <c r="R492" s="19" t="inlineStr">
        <is>
          <t>492047266168992</t>
        </is>
      </c>
      <c r="S492" s="23" t="n">
        <v>46248</v>
      </c>
      <c r="T492" s="23" t="n">
        <v>46249</v>
      </c>
      <c r="U492" s="19" t="inlineStr">
        <is>
          <t>101240</t>
        </is>
      </c>
      <c r="V492" t="inlineStr">
        <is>
          <t>213243</t>
        </is>
      </c>
      <c r="W492" t="inlineStr">
        <is>
          <t>venda casada (2 pedidos) · custo do KIT 214036 (12× 213243)</t>
        </is>
      </c>
      <c r="X492" t="n">
        <v>2</v>
      </c>
      <c r="Y492" t="inlineStr">
        <is>
          <t>ok</t>
        </is>
      </c>
    </row>
    <row r="493" ht="15" customFormat="1" customHeight="1" s="19">
      <c r="A493" s="14" t="inlineStr">
        <is>
          <t>Jacartta</t>
        </is>
      </c>
      <c r="B493" s="14" t="inlineStr">
        <is>
          <t>Jogo De 12 Taças De Vidro Diamond Transparente Cristal 340Ml</t>
        </is>
      </c>
      <c r="C493" s="14" t="inlineStr">
        <is>
          <t>2 taças</t>
        </is>
      </c>
      <c r="D493" s="14" t="inlineStr">
        <is>
          <t>2655</t>
        </is>
      </c>
      <c r="E493" s="14" t="inlineStr">
        <is>
          <t>22494532744</t>
        </is>
      </c>
      <c r="F493" s="14" t="inlineStr">
        <is>
          <t>189618449823</t>
        </is>
      </c>
      <c r="G493" s="14" t="inlineStr">
        <is>
          <t>NORMAL</t>
        </is>
      </c>
      <c r="H493" s="15" t="n">
        <v>39.9</v>
      </c>
      <c r="I493" s="15" t="n">
        <v>17.86</v>
      </c>
      <c r="J493" s="16" t="inlineStr">
        <is>
          <t>SIM</t>
        </is>
      </c>
      <c r="K493" s="15" t="n">
        <v>17.86</v>
      </c>
      <c r="L493" s="35">
        <f>IF(K493&lt;&gt;"",K493,I493)</f>
        <v/>
      </c>
      <c r="M493" s="84" t="n">
        <v>2</v>
      </c>
      <c r="N493" s="85" t="n">
        <v>2.14</v>
      </c>
      <c r="O493" s="80">
        <f>ROUND(M493*N493,2)</f>
        <v/>
      </c>
      <c r="P493" s="80">
        <f>IF($O493="","",L493-O493-(L493*IF(L493&lt;=79.99,20%,14%)+IF(L493&lt;=79.99,4,IF(L493&lt;=99.99,16,IF(L493&lt;=199.99,20,IF(L493&lt;=499.99,26,28)))))-L493*1.3%-L493*6%-(L493-O493)*9.25%-L493*3%-L493*3%-1)</f>
        <v/>
      </c>
      <c r="Q493" s="17">
        <f>IF(AND(K493&lt;&gt;"",H493&gt;0),(H493-K493)/H493,"")</f>
        <v/>
      </c>
      <c r="R493" s="14" t="inlineStr">
        <is>
          <t>492047266168992</t>
        </is>
      </c>
      <c r="S493" s="18" t="n">
        <v>46248</v>
      </c>
      <c r="T493" s="18" t="n">
        <v>46249</v>
      </c>
      <c r="U493" s="14" t="inlineStr">
        <is>
          <t>101240</t>
        </is>
      </c>
      <c r="V493" t="inlineStr">
        <is>
          <t>213243</t>
        </is>
      </c>
      <c r="W493" t="inlineStr">
        <is>
          <t>venda casada (1 pedido) · custo do KIT 214033 (2× 213243)</t>
        </is>
      </c>
      <c r="X493" t="n">
        <v>1</v>
      </c>
      <c r="Y493" t="inlineStr">
        <is>
          <t>⚠ evidência fraca (1 pedido)</t>
        </is>
      </c>
    </row>
    <row r="494" ht="15" customFormat="1" customHeight="1" s="14">
      <c r="A494" s="19" t="inlineStr">
        <is>
          <t>Jacartta</t>
        </is>
      </c>
      <c r="B494" s="19" t="inlineStr">
        <is>
          <t>Jogo De 12 Taças De Vidro Diamond Transparente Cristal 340Ml</t>
        </is>
      </c>
      <c r="C494" s="19" t="inlineStr">
        <is>
          <t>4 taças</t>
        </is>
      </c>
      <c r="D494" s="19" t="inlineStr">
        <is>
          <t>KIT4-TAÇA</t>
        </is>
      </c>
      <c r="E494" s="19" t="inlineStr">
        <is>
          <t>22494532744</t>
        </is>
      </c>
      <c r="F494" s="19" t="inlineStr">
        <is>
          <t>229430114467</t>
        </is>
      </c>
      <c r="G494" s="19" t="inlineStr">
        <is>
          <t>NORMAL</t>
        </is>
      </c>
      <c r="H494" s="20" t="n">
        <v>49.9</v>
      </c>
      <c r="I494" s="20" t="n">
        <v>26.97</v>
      </c>
      <c r="J494" s="21" t="inlineStr">
        <is>
          <t>SIM</t>
        </is>
      </c>
      <c r="K494" s="20" t="n">
        <v>26.97</v>
      </c>
      <c r="L494" s="35">
        <f>IF(K494&lt;&gt;"",K494,I494)</f>
        <v/>
      </c>
      <c r="M494" s="81" t="n">
        <v>4</v>
      </c>
      <c r="N494" s="82" t="n">
        <v>2.14</v>
      </c>
      <c r="O494" s="80">
        <f>ROUND(M494*N494,2)</f>
        <v/>
      </c>
      <c r="P494" s="80">
        <f>IF($O494="","",L494-O494-(L494*IF(L494&lt;=79.99,20%,14%)+IF(L494&lt;=79.99,4,IF(L494&lt;=99.99,16,IF(L494&lt;=199.99,20,IF(L494&lt;=499.99,26,28)))))-L494*1.3%-L494*6%-(L494-O494)*9.25%-L494*3%-L494*3%-1)</f>
        <v/>
      </c>
      <c r="Q494" s="22">
        <f>IF(AND(K494&lt;&gt;"",H494&gt;0),(H494-K494)/H494,"")</f>
        <v/>
      </c>
      <c r="R494" s="19" t="inlineStr">
        <is>
          <t>492047266168992</t>
        </is>
      </c>
      <c r="S494" s="23" t="n">
        <v>46248</v>
      </c>
      <c r="T494" s="23" t="n">
        <v>46249</v>
      </c>
      <c r="U494" s="19" t="inlineStr">
        <is>
          <t>101240</t>
        </is>
      </c>
      <c r="V494" t="inlineStr">
        <is>
          <t>213243</t>
        </is>
      </c>
      <c r="W494" t="inlineStr">
        <is>
          <t>venda casada (1 pedido) · custo do KIT 214034 (4× 213243)</t>
        </is>
      </c>
      <c r="X494" t="n">
        <v>1</v>
      </c>
      <c r="Y494" t="inlineStr">
        <is>
          <t>⚠ evidência fraca (1 pedido)</t>
        </is>
      </c>
    </row>
    <row r="495" ht="15" customFormat="1" customHeight="1" s="19">
      <c r="A495" s="14" t="inlineStr">
        <is>
          <t>Jacartta</t>
        </is>
      </c>
      <c r="B495" s="14" t="inlineStr">
        <is>
          <t>Jogo De 12 Taças De Vidro Diamond Transparente Cristal 340Ml</t>
        </is>
      </c>
      <c r="C495" s="14" t="inlineStr">
        <is>
          <t>6 taças</t>
        </is>
      </c>
      <c r="D495" s="14" t="inlineStr">
        <is>
          <t>2655</t>
        </is>
      </c>
      <c r="E495" s="14" t="inlineStr">
        <is>
          <t>22494532744</t>
        </is>
      </c>
      <c r="F495" s="14" t="inlineStr">
        <is>
          <t>189618449824</t>
        </is>
      </c>
      <c r="G495" s="14" t="inlineStr">
        <is>
          <t>NORMAL</t>
        </is>
      </c>
      <c r="H495" s="15" t="n">
        <v>79.90000000000001</v>
      </c>
      <c r="I495" s="15" t="n">
        <v>34.97</v>
      </c>
      <c r="J495" s="16" t="inlineStr">
        <is>
          <t>SIM</t>
        </is>
      </c>
      <c r="K495" s="15" t="n">
        <v>34.97</v>
      </c>
      <c r="L495" s="35">
        <f>IF(K495&lt;&gt;"",K495,I495)</f>
        <v/>
      </c>
      <c r="M495" s="84" t="n">
        <v>6</v>
      </c>
      <c r="N495" s="85" t="n">
        <v>2.14</v>
      </c>
      <c r="O495" s="80">
        <f>ROUND(M495*N495,2)</f>
        <v/>
      </c>
      <c r="P495" s="80">
        <f>IF($O495="","",L495-O495-(L495*IF(L495&lt;=79.99,20%,14%)+IF(L495&lt;=79.99,4,IF(L495&lt;=99.99,16,IF(L495&lt;=199.99,20,IF(L495&lt;=499.99,26,28)))))-L495*1.3%-L495*6%-(L495-O495)*9.25%-L495*3%-L495*3%-1)</f>
        <v/>
      </c>
      <c r="Q495" s="17">
        <f>IF(AND(K495&lt;&gt;"",H495&gt;0),(H495-K495)/H495,"")</f>
        <v/>
      </c>
      <c r="R495" s="14" t="inlineStr">
        <is>
          <t>492047266168992</t>
        </is>
      </c>
      <c r="S495" s="18" t="n">
        <v>46248</v>
      </c>
      <c r="T495" s="18" t="n">
        <v>46249</v>
      </c>
      <c r="U495" s="14" t="inlineStr">
        <is>
          <t>101240</t>
        </is>
      </c>
      <c r="V495" t="inlineStr">
        <is>
          <t>213243</t>
        </is>
      </c>
      <c r="W495" t="inlineStr">
        <is>
          <t>venda casada (3 pedidos) · custo do KIT 214035 (6× 213243)</t>
        </is>
      </c>
      <c r="X495" t="n">
        <v>3</v>
      </c>
      <c r="Y495" t="inlineStr">
        <is>
          <t>ok</t>
        </is>
      </c>
    </row>
    <row r="496" ht="15" customFormat="1" customHeight="1" s="14">
      <c r="A496" s="19" t="inlineStr">
        <is>
          <t>Jacartta</t>
        </is>
      </c>
      <c r="B496" s="19" t="inlineStr">
        <is>
          <t>Kit 100 Cabides De Veludo Slim Ultra Finos Antideslizante</t>
        </is>
      </c>
      <c r="C496" s="19" t="inlineStr">
        <is>
          <t>Bege</t>
        </is>
      </c>
      <c r="D496" s="19" t="inlineStr">
        <is>
          <t>KIT-100-CAB-VEL-BG</t>
        </is>
      </c>
      <c r="E496" s="19" t="inlineStr">
        <is>
          <t>58201527713</t>
        </is>
      </c>
      <c r="F496" s="19" t="inlineStr">
        <is>
          <t>229433598732</t>
        </is>
      </c>
      <c r="G496" s="19" t="inlineStr">
        <is>
          <t>NORMAL</t>
        </is>
      </c>
      <c r="H496" s="20" t="n">
        <v>199.9</v>
      </c>
      <c r="I496" s="20" t="n">
        <v>134.89</v>
      </c>
      <c r="J496" s="21" t="inlineStr">
        <is>
          <t>SIM</t>
        </is>
      </c>
      <c r="K496" s="20" t="n">
        <v>134.89</v>
      </c>
      <c r="L496" s="35">
        <f>IF(K496&lt;&gt;"",K496,I496)</f>
        <v/>
      </c>
      <c r="M496" s="30" t="n"/>
      <c r="N496" s="30" t="n"/>
      <c r="O496" s="29" t="n"/>
      <c r="P496" s="80">
        <f>IF($O496="","",L496-O496-(L496*IF(L496&lt;=79.99,20%,14%)+IF(L496&lt;=79.99,4,IF(L496&lt;=99.99,16,IF(L496&lt;=199.99,20,IF(L496&lt;=499.99,26,28)))))-L496*1.3%-L496*6%-(L496-O496)*9.25%-L496*3%-L496*3%-1)</f>
        <v/>
      </c>
      <c r="Q496" s="22">
        <f>IF(AND(K496&lt;&gt;"",H496&gt;0),(H496-K496)/H496,"")</f>
        <v/>
      </c>
      <c r="R496" s="19" t="inlineStr">
        <is>
          <t>478386871025791</t>
        </is>
      </c>
      <c r="S496" s="23" t="n">
        <v>46209.64583333334</v>
      </c>
      <c r="T496" s="23" t="n">
        <v>46326.99930555555</v>
      </c>
      <c r="U496" s="19" t="inlineStr">
        <is>
          <t>101253</t>
        </is>
      </c>
      <c r="W496" t="inlineStr">
        <is>
          <t>ambíguo: 213999 (71%) vs 214000</t>
        </is>
      </c>
      <c r="X496" t="n">
        <v>7</v>
      </c>
      <c r="Y496" t="inlineStr"/>
    </row>
    <row r="497" ht="15" customFormat="1" customHeight="1" s="19">
      <c r="A497" s="14" t="inlineStr">
        <is>
          <t>Jacartta</t>
        </is>
      </c>
      <c r="B497" s="14" t="inlineStr">
        <is>
          <t>Kit 100 Cabides De Veludo Slim Ultra Finos Antideslizante</t>
        </is>
      </c>
      <c r="C497" s="14" t="inlineStr">
        <is>
          <t>Branco</t>
        </is>
      </c>
      <c r="D497" s="14" t="inlineStr">
        <is>
          <t>KIT-100-CAB-VEL-BR</t>
        </is>
      </c>
      <c r="E497" s="14" t="inlineStr">
        <is>
          <t>58201527713</t>
        </is>
      </c>
      <c r="F497" s="14" t="inlineStr">
        <is>
          <t>228796122426</t>
        </is>
      </c>
      <c r="G497" s="14" t="inlineStr">
        <is>
          <t>NORMAL</t>
        </is>
      </c>
      <c r="H497" s="15" t="n">
        <v>199.9</v>
      </c>
      <c r="I497" s="15" t="n">
        <v>134.89</v>
      </c>
      <c r="J497" s="16" t="inlineStr">
        <is>
          <t>SIM</t>
        </is>
      </c>
      <c r="K497" s="15" t="n">
        <v>134.89</v>
      </c>
      <c r="L497" s="35">
        <f>IF(K497&lt;&gt;"",K497,I497)</f>
        <v/>
      </c>
      <c r="M497" s="84" t="n">
        <v>100</v>
      </c>
      <c r="N497" s="85" t="n">
        <v>0.59</v>
      </c>
      <c r="O497" s="80">
        <f>ROUND(M497*N497,2)</f>
        <v/>
      </c>
      <c r="P497" s="80">
        <f>IF($O497="","",L497-O497-(L497*IF(L497&lt;=79.99,20%,14%)+IF(L497&lt;=79.99,4,IF(L497&lt;=99.99,16,IF(L497&lt;=199.99,20,IF(L497&lt;=499.99,26,28)))))-L497*1.3%-L497*6%-(L497-O497)*9.25%-L497*3%-L497*3%-1)</f>
        <v/>
      </c>
      <c r="Q497" s="17">
        <f>IF(AND(K497&lt;&gt;"",H497&gt;0),(H497-K497)/H497,"")</f>
        <v/>
      </c>
      <c r="R497" s="14" t="inlineStr">
        <is>
          <t>478386871025791</t>
        </is>
      </c>
      <c r="S497" s="18" t="n">
        <v>46209.64583333334</v>
      </c>
      <c r="T497" s="18" t="n">
        <v>46326.99930555555</v>
      </c>
      <c r="U497" s="14" t="inlineStr">
        <is>
          <t>101253</t>
        </is>
      </c>
      <c r="V497" t="inlineStr">
        <is>
          <t>214000</t>
        </is>
      </c>
      <c r="W497" t="inlineStr">
        <is>
          <t>venda casada (6 pedidos) · custo do KIT 214020 (100× 214000)</t>
        </is>
      </c>
      <c r="X497" t="n">
        <v>6</v>
      </c>
      <c r="Y497" t="inlineStr">
        <is>
          <t>ok</t>
        </is>
      </c>
    </row>
    <row r="498" ht="15" customFormat="1" customHeight="1" s="14">
      <c r="A498" s="19" t="inlineStr">
        <is>
          <t>Jacartta</t>
        </is>
      </c>
      <c r="B498" s="19" t="inlineStr">
        <is>
          <t>Kit 2 Areia Higiênica Biodegradável Grãos Finos Milho e Mandioca (100% Natural) - Espaço De Bicho</t>
        </is>
      </c>
      <c r="C498" s="19" t="inlineStr">
        <is>
          <t>Grãos Finos</t>
        </is>
      </c>
      <c r="D498" s="19" t="inlineStr">
        <is>
          <t>KIT2-AREIA-EDB-4KG-GF</t>
        </is>
      </c>
      <c r="E498" s="19" t="inlineStr">
        <is>
          <t>58204488339</t>
        </is>
      </c>
      <c r="F498" s="19" t="inlineStr">
        <is>
          <t>228799496710</t>
        </is>
      </c>
      <c r="G498" s="19" t="inlineStr">
        <is>
          <t>NORMAL</t>
        </is>
      </c>
      <c r="H498" s="20" t="n">
        <v>99.90000000000001</v>
      </c>
      <c r="I498" s="20" t="n">
        <v>99.90000000000001</v>
      </c>
      <c r="J498" s="21" t="inlineStr">
        <is>
          <t>NÃO</t>
        </is>
      </c>
      <c r="K498" s="20" t="n"/>
      <c r="L498" s="35">
        <f>IF(K498&lt;&gt;"",K498,I498)</f>
        <v/>
      </c>
      <c r="M498" s="81" t="n">
        <v>2</v>
      </c>
      <c r="N498" s="82" t="n">
        <v>28.27</v>
      </c>
      <c r="O498" s="83">
        <f>ROUND(M498*N498,2)</f>
        <v/>
      </c>
      <c r="P498" s="80">
        <f>IF($O498="","",L498-O498-(L498*IF(L498&lt;=79.99,20%,14%)+IF(L498&lt;=79.99,4,IF(L498&lt;=99.99,16,IF(L498&lt;=199.99,20,IF(L498&lt;=499.99,26,28)))))-L498*1.3%-L498*6%-(L498-O498)*9.25%-L498*3%-L498*3%-1)</f>
        <v/>
      </c>
      <c r="Q498" s="22">
        <f>IF(AND(K498&lt;&gt;"",H498&gt;0),(H498-K498)/H498,"")</f>
        <v/>
      </c>
      <c r="R498" s="19" t="inlineStr"/>
      <c r="S498" s="23" t="n"/>
      <c r="T498" s="23" t="n"/>
      <c r="U498" s="19" t="inlineStr">
        <is>
          <t>100923</t>
        </is>
      </c>
      <c r="V498" t="inlineStr">
        <is>
          <t>215511</t>
        </is>
      </c>
      <c r="W498" t="inlineStr">
        <is>
          <t>venda casada (20 pedidos) · custo do KIT 215515 (2× 215511)</t>
        </is>
      </c>
      <c r="X498" t="n">
        <v>20</v>
      </c>
      <c r="Y498" t="inlineStr">
        <is>
          <t>ok</t>
        </is>
      </c>
    </row>
    <row r="499" ht="15" customFormat="1" customHeight="1" s="19">
      <c r="A499" s="14" t="inlineStr">
        <is>
          <t>Jacartta</t>
        </is>
      </c>
      <c r="B499" s="14" t="inlineStr">
        <is>
          <t>Kit 2 Areia Higiênica Biodegradável Grãos Finos Milho e Mandioca (100% Natural) - Espaço De Bicho</t>
        </is>
      </c>
      <c r="C499" s="14" t="inlineStr">
        <is>
          <t>Grãos Grossos</t>
        </is>
      </c>
      <c r="D499" s="14" t="inlineStr">
        <is>
          <t>KIT2-AREIA-EDB-4KG-GG</t>
        </is>
      </c>
      <c r="E499" s="14" t="inlineStr">
        <is>
          <t>58204488339</t>
        </is>
      </c>
      <c r="F499" s="14" t="inlineStr">
        <is>
          <t>228799496709</t>
        </is>
      </c>
      <c r="G499" s="14" t="inlineStr">
        <is>
          <t>NORMAL</t>
        </is>
      </c>
      <c r="H499" s="15" t="n">
        <v>99.90000000000001</v>
      </c>
      <c r="I499" s="15" t="n">
        <v>99.90000000000001</v>
      </c>
      <c r="J499" s="16" t="inlineStr">
        <is>
          <t>NÃO</t>
        </is>
      </c>
      <c r="K499" s="15" t="n"/>
      <c r="L499" s="35">
        <f>IF(K499&lt;&gt;"",K499,I499)</f>
        <v/>
      </c>
      <c r="M499" s="84" t="n">
        <v>2</v>
      </c>
      <c r="N499" s="85" t="n">
        <v>22.36</v>
      </c>
      <c r="O499" s="80">
        <f>ROUND(M499*N499,2)</f>
        <v/>
      </c>
      <c r="P499" s="80">
        <f>IF($O499="","",L499-O499-(L499*IF(L499&lt;=79.99,20%,14%)+IF(L499&lt;=79.99,4,IF(L499&lt;=99.99,16,IF(L499&lt;=199.99,20,IF(L499&lt;=499.99,26,28)))))-L499*1.3%-L499*6%-(L499-O499)*9.25%-L499*3%-L499*3%-1)</f>
        <v/>
      </c>
      <c r="Q499" s="17">
        <f>IF(AND(K499&lt;&gt;"",H499&gt;0),(H499-K499)/H499,"")</f>
        <v/>
      </c>
      <c r="R499" s="14" t="inlineStr"/>
      <c r="S499" s="18" t="n"/>
      <c r="T499" s="18" t="n"/>
      <c r="U499" s="14" t="inlineStr">
        <is>
          <t>100923</t>
        </is>
      </c>
      <c r="V499" t="inlineStr">
        <is>
          <t>215512</t>
        </is>
      </c>
      <c r="W499" t="inlineStr">
        <is>
          <t>venda casada (4 pedidos) · custo do KIT 215520 (2× 215512)</t>
        </is>
      </c>
      <c r="X499" t="n">
        <v>4</v>
      </c>
      <c r="Y499" t="inlineStr">
        <is>
          <t>ok</t>
        </is>
      </c>
    </row>
    <row r="500" ht="15" customFormat="1" customHeight="1" s="14">
      <c r="A500" s="19" t="inlineStr">
        <is>
          <t>Jacartta</t>
        </is>
      </c>
      <c r="B500" s="19" t="inlineStr">
        <is>
          <t>Kit 2 Areia Higiênica Biodegradável Grãos Finos Milho e Mandioca (100% Natural) - Espaço De Bicho</t>
        </is>
      </c>
      <c r="C500" s="19" t="inlineStr">
        <is>
          <t>Grãos Mistos</t>
        </is>
      </c>
      <c r="D500" s="19" t="inlineStr">
        <is>
          <t>KIT2-AREIA-EDB-4KG-GM</t>
        </is>
      </c>
      <c r="E500" s="19" t="inlineStr">
        <is>
          <t>58204488339</t>
        </is>
      </c>
      <c r="F500" s="19" t="inlineStr">
        <is>
          <t>371298956863</t>
        </is>
      </c>
      <c r="G500" s="19" t="inlineStr">
        <is>
          <t>NORMAL</t>
        </is>
      </c>
      <c r="H500" s="20" t="n">
        <v>99.90000000000001</v>
      </c>
      <c r="I500" s="20" t="n">
        <v>99.90000000000001</v>
      </c>
      <c r="J500" s="21" t="inlineStr">
        <is>
          <t>NÃO</t>
        </is>
      </c>
      <c r="K500" s="20" t="n"/>
      <c r="L500" s="35">
        <f>IF(K500&lt;&gt;"",K500,I500)</f>
        <v/>
      </c>
      <c r="M500" s="81" t="n">
        <v>2</v>
      </c>
      <c r="N500" s="82" t="n">
        <v>22.36</v>
      </c>
      <c r="O500" s="83">
        <f>ROUND(M500*N500,2)</f>
        <v/>
      </c>
      <c r="P500" s="80">
        <f>IF($O500="","",L500-O500-(L500*IF(L500&lt;=79.99,20%,14%)+IF(L500&lt;=79.99,4,IF(L500&lt;=99.99,16,IF(L500&lt;=199.99,20,IF(L500&lt;=499.99,26,28)))))-L500*1.3%-L500*6%-(L500-O500)*9.25%-L500*3%-L500*3%-1)</f>
        <v/>
      </c>
      <c r="Q500" s="22">
        <f>IF(AND(K500&lt;&gt;"",H500&gt;0),(H500-K500)/H500,"")</f>
        <v/>
      </c>
      <c r="R500" s="19" t="inlineStr"/>
      <c r="S500" s="23" t="n"/>
      <c r="T500" s="23" t="n"/>
      <c r="U500" s="19" t="inlineStr">
        <is>
          <t>100923</t>
        </is>
      </c>
      <c r="V500" t="inlineStr">
        <is>
          <t>216211</t>
        </is>
      </c>
      <c r="W500" t="inlineStr">
        <is>
          <t>venda casada (2 pedidos) · custo do KIT 216213 (2× 216211)</t>
        </is>
      </c>
      <c r="X500" t="n">
        <v>2</v>
      </c>
      <c r="Y500" t="inlineStr">
        <is>
          <t>ok</t>
        </is>
      </c>
    </row>
    <row r="501" ht="15" customFormat="1" customHeight="1" s="19">
      <c r="A501" s="19" t="inlineStr">
        <is>
          <t>Jacartta</t>
        </is>
      </c>
      <c r="B501" s="19" t="inlineStr">
        <is>
          <t>Kit 2 Brinquedo Para Gatos Patinha Com Catnip Erva Gato Natural</t>
        </is>
      </c>
      <c r="C501" s="19" t="inlineStr">
        <is>
          <t>BOLINHA,AMARELO</t>
        </is>
      </c>
      <c r="D501" s="19" t="inlineStr">
        <is>
          <t>KIT2-CATBOLINHA-AMARELO</t>
        </is>
      </c>
      <c r="E501" s="19" t="inlineStr">
        <is>
          <t>20599498230</t>
        </is>
      </c>
      <c r="F501" s="19" t="inlineStr">
        <is>
          <t>199601100343</t>
        </is>
      </c>
      <c r="G501" s="19" t="inlineStr">
        <is>
          <t>NORMAL</t>
        </is>
      </c>
      <c r="H501" s="20" t="n">
        <v>39.9</v>
      </c>
      <c r="I501" s="20" t="n">
        <v>14.9</v>
      </c>
      <c r="J501" s="21" t="inlineStr">
        <is>
          <t>SIM</t>
        </is>
      </c>
      <c r="K501" s="20" t="n">
        <v>14.9</v>
      </c>
      <c r="L501" s="35">
        <f>IF(K501&lt;&gt;"",K501,I501)</f>
        <v/>
      </c>
      <c r="M501" s="81" t="n">
        <v>2</v>
      </c>
      <c r="N501" s="82" t="n">
        <v>2.33</v>
      </c>
      <c r="O501" s="80">
        <f>ROUND(M501*N501,2)</f>
        <v/>
      </c>
      <c r="P501" s="80">
        <f>IF($O501="","",L501-O501-(L501*IF(L501&lt;=79.99,20%,14%)+IF(L501&lt;=79.99,4,IF(L501&lt;=99.99,16,IF(L501&lt;=199.99,20,IF(L501&lt;=499.99,26,28)))))-L501*1.3%-L501*6%-(L501-O501)*9.25%-L501*3%-L501*3%-1)</f>
        <v/>
      </c>
      <c r="Q501" s="22">
        <f>IF(AND(K501&lt;&gt;"",H501&gt;0),(H501-K501)/H501,"")</f>
        <v/>
      </c>
      <c r="R501" s="19" t="inlineStr">
        <is>
          <t>909481504866304</t>
        </is>
      </c>
      <c r="S501" s="23" t="n">
        <v>46144.3875</v>
      </c>
      <c r="T501" s="23" t="n">
        <v>46295.4375</v>
      </c>
      <c r="U501" s="19" t="inlineStr">
        <is>
          <t>101928</t>
        </is>
      </c>
      <c r="V501" t="inlineStr">
        <is>
          <t>213577</t>
        </is>
      </c>
      <c r="W501" t="inlineStr">
        <is>
          <t>venda casada (2 pedidos) · custo do KIT 213592 (2× 213577)</t>
        </is>
      </c>
      <c r="X501" t="n">
        <v>2</v>
      </c>
      <c r="Y501" t="inlineStr">
        <is>
          <t>ok</t>
        </is>
      </c>
    </row>
    <row r="502" ht="15" customFormat="1" customHeight="1" s="14">
      <c r="A502" s="14" t="inlineStr">
        <is>
          <t>Jacartta</t>
        </is>
      </c>
      <c r="B502" s="14" t="inlineStr">
        <is>
          <t>Kit 2 Brinquedo Para Gatos Patinha Com Catnip Erva Gato Natural</t>
        </is>
      </c>
      <c r="C502" s="14" t="inlineStr">
        <is>
          <t>BOLINHA,AZUL</t>
        </is>
      </c>
      <c r="D502" s="14" t="inlineStr">
        <is>
          <t>KIT2-CATBOLINHA-AZUL</t>
        </is>
      </c>
      <c r="E502" s="14" t="inlineStr">
        <is>
          <t>20599498230</t>
        </is>
      </c>
      <c r="F502" s="14" t="inlineStr">
        <is>
          <t>199601100350</t>
        </is>
      </c>
      <c r="G502" s="14" t="inlineStr">
        <is>
          <t>NORMAL</t>
        </is>
      </c>
      <c r="H502" s="15" t="n">
        <v>39.9</v>
      </c>
      <c r="I502" s="15" t="n">
        <v>14.9</v>
      </c>
      <c r="J502" s="16" t="inlineStr">
        <is>
          <t>SIM</t>
        </is>
      </c>
      <c r="K502" s="15" t="n">
        <v>14.9</v>
      </c>
      <c r="L502" s="35">
        <f>IF(K502&lt;&gt;"",K502,I502)</f>
        <v/>
      </c>
      <c r="M502" s="84" t="n">
        <v>2</v>
      </c>
      <c r="N502" s="85" t="n">
        <v>2.33</v>
      </c>
      <c r="O502" s="80">
        <f>ROUND(M502*N502,2)</f>
        <v/>
      </c>
      <c r="P502" s="80">
        <f>IF($O502="","",L502-O502-(L502*IF(L502&lt;=79.99,20%,14%)+IF(L502&lt;=79.99,4,IF(L502&lt;=99.99,16,IF(L502&lt;=199.99,20,IF(L502&lt;=499.99,26,28)))))-L502*1.3%-L502*6%-(L502-O502)*9.25%-L502*3%-L502*3%-1)</f>
        <v/>
      </c>
      <c r="Q502" s="17">
        <f>IF(AND(K502&lt;&gt;"",H502&gt;0),(H502-K502)/H502,"")</f>
        <v/>
      </c>
      <c r="R502" s="14" t="inlineStr">
        <is>
          <t>909481504866304</t>
        </is>
      </c>
      <c r="S502" s="18" t="n">
        <v>46144.3875</v>
      </c>
      <c r="T502" s="18" t="n">
        <v>46295.4375</v>
      </c>
      <c r="U502" s="14" t="inlineStr">
        <is>
          <t>101928</t>
        </is>
      </c>
      <c r="V502" t="inlineStr">
        <is>
          <t>213583</t>
        </is>
      </c>
      <c r="W502" t="inlineStr">
        <is>
          <t>venda casada (1 pedido) · custo do KIT 213601 (2× 213583)</t>
        </is>
      </c>
      <c r="X502" t="n">
        <v>1</v>
      </c>
      <c r="Y502" t="inlineStr">
        <is>
          <t>⚠ evidência fraca (1 pedido)</t>
        </is>
      </c>
    </row>
    <row r="503" ht="15" customFormat="1" customHeight="1" s="19">
      <c r="A503" s="19" t="inlineStr">
        <is>
          <t>Jacartta</t>
        </is>
      </c>
      <c r="B503" s="19" t="inlineStr">
        <is>
          <t>Kit 2 Brinquedo Para Gatos Patinha Com Catnip Erva Gato Natural</t>
        </is>
      </c>
      <c r="C503" s="19" t="inlineStr">
        <is>
          <t>BOLINHA,BRANCO</t>
        </is>
      </c>
      <c r="D503" s="19" t="inlineStr">
        <is>
          <t>1156</t>
        </is>
      </c>
      <c r="E503" s="19" t="inlineStr">
        <is>
          <t>20599498230</t>
        </is>
      </c>
      <c r="F503" s="19" t="inlineStr">
        <is>
          <t>199601100351</t>
        </is>
      </c>
      <c r="G503" s="19" t="inlineStr">
        <is>
          <t>NORMAL</t>
        </is>
      </c>
      <c r="H503" s="20" t="n">
        <v>39.9</v>
      </c>
      <c r="I503" s="20" t="n">
        <v>14.9</v>
      </c>
      <c r="J503" s="21" t="inlineStr">
        <is>
          <t>SIM</t>
        </is>
      </c>
      <c r="K503" s="20" t="n">
        <v>14.9</v>
      </c>
      <c r="L503" s="35">
        <f>IF(K503&lt;&gt;"",K503,I503)</f>
        <v/>
      </c>
      <c r="M503" s="81" t="n">
        <v>2</v>
      </c>
      <c r="N503" s="82" t="n">
        <v>2.33</v>
      </c>
      <c r="O503" s="80">
        <f>ROUND(M503*N503,2)</f>
        <v/>
      </c>
      <c r="P503" s="80">
        <f>IF($O503="","",L503-O503-(L503*IF(L503&lt;=79.99,20%,14%)+IF(L503&lt;=79.99,4,IF(L503&lt;=99.99,16,IF(L503&lt;=199.99,20,IF(L503&lt;=499.99,26,28)))))-L503*1.3%-L503*6%-(L503-O503)*9.25%-L503*3%-L503*3%-1)</f>
        <v/>
      </c>
      <c r="Q503" s="22">
        <f>IF(AND(K503&lt;&gt;"",H503&gt;0),(H503-K503)/H503,"")</f>
        <v/>
      </c>
      <c r="R503" s="19" t="inlineStr">
        <is>
          <t>909481504866304</t>
        </is>
      </c>
      <c r="S503" s="23" t="n">
        <v>46144.3875</v>
      </c>
      <c r="T503" s="23" t="n">
        <v>46295.4375</v>
      </c>
      <c r="U503" s="19" t="inlineStr">
        <is>
          <t>101928</t>
        </is>
      </c>
      <c r="V503" t="inlineStr">
        <is>
          <t>213574</t>
        </is>
      </c>
      <c r="W503" t="inlineStr">
        <is>
          <t>venda casada (3 pedidos) · custo do KIT 213589 (2× 213574)</t>
        </is>
      </c>
      <c r="X503" t="n">
        <v>3</v>
      </c>
      <c r="Y503" t="inlineStr">
        <is>
          <t>ok</t>
        </is>
      </c>
    </row>
    <row r="504" ht="15" customFormat="1" customHeight="1" s="14">
      <c r="A504" s="14" t="inlineStr">
        <is>
          <t>Jacartta</t>
        </is>
      </c>
      <c r="B504" s="14" t="inlineStr">
        <is>
          <t>Kit 2 Brinquedo Para Gatos Patinha Com Catnip Erva Gato Natural</t>
        </is>
      </c>
      <c r="C504" s="14" t="inlineStr">
        <is>
          <t>BOLINHA,CORES SORTIDAS</t>
        </is>
      </c>
      <c r="D504" s="14" t="inlineStr">
        <is>
          <t>KIT2-CATBOLINHA-SORTIDO</t>
        </is>
      </c>
      <c r="E504" s="14" t="inlineStr">
        <is>
          <t>20599498230</t>
        </is>
      </c>
      <c r="F504" s="14" t="inlineStr">
        <is>
          <t>199601100352</t>
        </is>
      </c>
      <c r="G504" s="14" t="inlineStr">
        <is>
          <t>NORMAL</t>
        </is>
      </c>
      <c r="H504" s="15" t="n">
        <v>39.9</v>
      </c>
      <c r="I504" s="15" t="n">
        <v>14.9</v>
      </c>
      <c r="J504" s="16" t="inlineStr">
        <is>
          <t>SIM</t>
        </is>
      </c>
      <c r="K504" s="15" t="n">
        <v>14.9</v>
      </c>
      <c r="L504" s="35">
        <f>IF(K504&lt;&gt;"",K504,I504)</f>
        <v/>
      </c>
      <c r="M504" s="84" t="n">
        <v>2</v>
      </c>
      <c r="N504" s="85" t="n">
        <v>2.33</v>
      </c>
      <c r="O504" s="80">
        <f>ROUND(M504*N504,2)</f>
        <v/>
      </c>
      <c r="P504" s="80">
        <f>IF($O504="","",L504-O504-(L504*IF(L504&lt;=79.99,20%,14%)+IF(L504&lt;=79.99,4,IF(L504&lt;=99.99,16,IF(L504&lt;=199.99,20,IF(L504&lt;=499.99,26,28)))))-L504*1.3%-L504*6%-(L504-O504)*9.25%-L504*3%-L504*3%-1)</f>
        <v/>
      </c>
      <c r="Q504" s="17">
        <f>IF(AND(K504&lt;&gt;"",H504&gt;0),(H504-K504)/H504,"")</f>
        <v/>
      </c>
      <c r="R504" s="14" t="inlineStr">
        <is>
          <t>909481504866304</t>
        </is>
      </c>
      <c r="S504" s="18" t="n">
        <v>46144.3875</v>
      </c>
      <c r="T504" s="18" t="n">
        <v>46295.4375</v>
      </c>
      <c r="U504" s="14" t="inlineStr">
        <is>
          <t>101928</t>
        </is>
      </c>
      <c r="V504" t="inlineStr">
        <is>
          <t>213583</t>
        </is>
      </c>
      <c r="W504" t="inlineStr">
        <is>
          <t>venda casada (3 pedidos) · custo do KIT 213601 (2× 213583)</t>
        </is>
      </c>
      <c r="X504" t="n">
        <v>3</v>
      </c>
      <c r="Y504" t="inlineStr">
        <is>
          <t>ok</t>
        </is>
      </c>
    </row>
    <row r="505" ht="15" customFormat="1" customHeight="1" s="19">
      <c r="A505" s="19" t="inlineStr">
        <is>
          <t>Jacartta</t>
        </is>
      </c>
      <c r="B505" s="19" t="inlineStr">
        <is>
          <t>Kit 2 Brinquedo Para Gatos Patinha Com Catnip Erva Gato Natural</t>
        </is>
      </c>
      <c r="C505" s="19" t="inlineStr">
        <is>
          <t>BOLINHA,ROSA</t>
        </is>
      </c>
      <c r="D505" s="19" t="inlineStr">
        <is>
          <t>KIT2-CATBOLINHA-ROSA</t>
        </is>
      </c>
      <c r="E505" s="19" t="inlineStr">
        <is>
          <t>20599498230</t>
        </is>
      </c>
      <c r="F505" s="19" t="inlineStr">
        <is>
          <t>199601100355</t>
        </is>
      </c>
      <c r="G505" s="19" t="inlineStr">
        <is>
          <t>NORMAL</t>
        </is>
      </c>
      <c r="H505" s="20" t="n">
        <v>39.9</v>
      </c>
      <c r="I505" s="20" t="n">
        <v>14.9</v>
      </c>
      <c r="J505" s="21" t="inlineStr">
        <is>
          <t>SIM</t>
        </is>
      </c>
      <c r="K505" s="20" t="n">
        <v>14.9</v>
      </c>
      <c r="L505" s="35">
        <f>IF(K505&lt;&gt;"",K505,I505)</f>
        <v/>
      </c>
      <c r="M505" s="30" t="n"/>
      <c r="N505" s="30" t="n"/>
      <c r="O505" s="29" t="n"/>
      <c r="P505" s="80">
        <f>IF($O505="","",L505-O505-(L505*IF(L505&lt;=79.99,20%,14%)+IF(L505&lt;=79.99,4,IF(L505&lt;=99.99,16,IF(L505&lt;=199.99,20,IF(L505&lt;=499.99,26,28)))))-L505*1.3%-L505*6%-(L505-O505)*9.25%-L505*3%-L505*3%-1)</f>
        <v/>
      </c>
      <c r="Q505" s="22">
        <f>IF(AND(K505&lt;&gt;"",H505&gt;0),(H505-K505)/H505,"")</f>
        <v/>
      </c>
      <c r="R505" s="19" t="inlineStr">
        <is>
          <t>909481504866304</t>
        </is>
      </c>
      <c r="S505" s="23" t="n">
        <v>46144.3875</v>
      </c>
      <c r="T505" s="23" t="n">
        <v>46295.4375</v>
      </c>
      <c r="U505" s="19" t="inlineStr">
        <is>
          <t>101928</t>
        </is>
      </c>
      <c r="W505" t="inlineStr">
        <is>
          <t>sem correspondência</t>
        </is>
      </c>
      <c r="Y505" t="inlineStr"/>
    </row>
    <row r="506" ht="15" customFormat="1" customHeight="1" s="14">
      <c r="A506" s="14" t="inlineStr">
        <is>
          <t>Jacartta</t>
        </is>
      </c>
      <c r="B506" s="14" t="inlineStr">
        <is>
          <t>Kit 2 Brinquedo Para Gatos Patinha Com Catnip Erva Gato Natural</t>
        </is>
      </c>
      <c r="C506" s="14" t="inlineStr">
        <is>
          <t>GATINHO,AMARELO</t>
        </is>
      </c>
      <c r="D506" s="14" t="inlineStr">
        <is>
          <t>KIT2-CATGATINHO-AMARELO</t>
        </is>
      </c>
      <c r="E506" s="14" t="inlineStr">
        <is>
          <t>20599498230</t>
        </is>
      </c>
      <c r="F506" s="14" t="inlineStr">
        <is>
          <t>199601100344</t>
        </is>
      </c>
      <c r="G506" s="14" t="inlineStr">
        <is>
          <t>NORMAL</t>
        </is>
      </c>
      <c r="H506" s="15" t="n">
        <v>39.9</v>
      </c>
      <c r="I506" s="15" t="n">
        <v>14.9</v>
      </c>
      <c r="J506" s="16" t="inlineStr">
        <is>
          <t>SIM</t>
        </is>
      </c>
      <c r="K506" s="15" t="n">
        <v>14.9</v>
      </c>
      <c r="L506" s="35">
        <f>IF(K506&lt;&gt;"",K506,I506)</f>
        <v/>
      </c>
      <c r="M506" s="84" t="n">
        <v>2</v>
      </c>
      <c r="N506" s="85" t="n">
        <v>2.33</v>
      </c>
      <c r="O506" s="80">
        <f>ROUND(M506*N506,2)</f>
        <v/>
      </c>
      <c r="P506" s="80">
        <f>IF($O506="","",L506-O506-(L506*IF(L506&lt;=79.99,20%,14%)+IF(L506&lt;=79.99,4,IF(L506&lt;=99.99,16,IF(L506&lt;=199.99,20,IF(L506&lt;=499.99,26,28)))))-L506*1.3%-L506*6%-(L506-O506)*9.25%-L506*3%-L506*3%-1)</f>
        <v/>
      </c>
      <c r="Q506" s="17">
        <f>IF(AND(K506&lt;&gt;"",H506&gt;0),(H506-K506)/H506,"")</f>
        <v/>
      </c>
      <c r="R506" s="14" t="inlineStr">
        <is>
          <t>909481504866304</t>
        </is>
      </c>
      <c r="S506" s="18" t="n">
        <v>46144.3875</v>
      </c>
      <c r="T506" s="18" t="n">
        <v>46295.4375</v>
      </c>
      <c r="U506" s="14" t="inlineStr">
        <is>
          <t>101928</t>
        </is>
      </c>
      <c r="V506" t="inlineStr">
        <is>
          <t>213578</t>
        </is>
      </c>
      <c r="W506" t="inlineStr">
        <is>
          <t>SKU do de-para · custo do KIT 213593 (2× 213578)</t>
        </is>
      </c>
      <c r="X506" t="n">
        <v>4</v>
      </c>
      <c r="Y506" t="inlineStr">
        <is>
          <t>ok</t>
        </is>
      </c>
    </row>
    <row r="507" ht="15" customFormat="1" customHeight="1" s="19">
      <c r="A507" s="19" t="inlineStr">
        <is>
          <t>Jacartta</t>
        </is>
      </c>
      <c r="B507" s="19" t="inlineStr">
        <is>
          <t>Kit 2 Brinquedo Para Gatos Patinha Com Catnip Erva Gato Natural</t>
        </is>
      </c>
      <c r="C507" s="19" t="inlineStr">
        <is>
          <t>GATINHO,AZUL</t>
        </is>
      </c>
      <c r="D507" s="19" t="inlineStr">
        <is>
          <t>KIT2-CATGATINHO-AZUL</t>
        </is>
      </c>
      <c r="E507" s="19" t="inlineStr">
        <is>
          <t>20599498230</t>
        </is>
      </c>
      <c r="F507" s="19" t="inlineStr">
        <is>
          <t>199601100356</t>
        </is>
      </c>
      <c r="G507" s="19" t="inlineStr">
        <is>
          <t>NORMAL</t>
        </is>
      </c>
      <c r="H507" s="20" t="n">
        <v>39.9</v>
      </c>
      <c r="I507" s="20" t="n">
        <v>14.9</v>
      </c>
      <c r="J507" s="21" t="inlineStr">
        <is>
          <t>SIM</t>
        </is>
      </c>
      <c r="K507" s="20" t="n">
        <v>14.9</v>
      </c>
      <c r="L507" s="35">
        <f>IF(K507&lt;&gt;"",K507,I507)</f>
        <v/>
      </c>
      <c r="M507" s="30" t="n"/>
      <c r="N507" s="30" t="n"/>
      <c r="O507" s="29" t="n"/>
      <c r="P507" s="80">
        <f>IF($O507="","",L507-O507-(L507*IF(L507&lt;=79.99,20%,14%)+IF(L507&lt;=79.99,4,IF(L507&lt;=99.99,16,IF(L507&lt;=199.99,20,IF(L507&lt;=499.99,26,28)))))-L507*1.3%-L507*6%-(L507-O507)*9.25%-L507*3%-L507*3%-1)</f>
        <v/>
      </c>
      <c r="Q507" s="22">
        <f>IF(AND(K507&lt;&gt;"",H507&gt;0),(H507-K507)/H507,"")</f>
        <v/>
      </c>
      <c r="R507" s="19" t="inlineStr">
        <is>
          <t>909481504866304</t>
        </is>
      </c>
      <c r="S507" s="23" t="n">
        <v>46144.3875</v>
      </c>
      <c r="T507" s="23" t="n">
        <v>46295.4375</v>
      </c>
      <c r="U507" s="19" t="inlineStr">
        <is>
          <t>101928</t>
        </is>
      </c>
      <c r="W507" t="inlineStr">
        <is>
          <t>sem correspondência</t>
        </is>
      </c>
      <c r="Y507" t="inlineStr"/>
    </row>
    <row r="508" ht="15" customFormat="1" customHeight="1" s="14">
      <c r="A508" s="14" t="inlineStr">
        <is>
          <t>Jacartta</t>
        </is>
      </c>
      <c r="B508" s="14" t="inlineStr">
        <is>
          <t>Kit 2 Brinquedo Para Gatos Patinha Com Catnip Erva Gato Natural</t>
        </is>
      </c>
      <c r="C508" s="14" t="inlineStr">
        <is>
          <t>GATINHO,BRANCO</t>
        </is>
      </c>
      <c r="D508" s="14" t="inlineStr">
        <is>
          <t>KIT2-CATGATINHO-BRANCO</t>
        </is>
      </c>
      <c r="E508" s="14" t="inlineStr">
        <is>
          <t>20599498230</t>
        </is>
      </c>
      <c r="F508" s="14" t="inlineStr">
        <is>
          <t>199601100345</t>
        </is>
      </c>
      <c r="G508" s="14" t="inlineStr">
        <is>
          <t>NORMAL</t>
        </is>
      </c>
      <c r="H508" s="15" t="n">
        <v>39.9</v>
      </c>
      <c r="I508" s="15" t="n">
        <v>14.9</v>
      </c>
      <c r="J508" s="16" t="inlineStr">
        <is>
          <t>SIM</t>
        </is>
      </c>
      <c r="K508" s="15" t="n">
        <v>14.9</v>
      </c>
      <c r="L508" s="35">
        <f>IF(K508&lt;&gt;"",K508,I508)</f>
        <v/>
      </c>
      <c r="M508" s="84" t="n">
        <v>2</v>
      </c>
      <c r="N508" s="85" t="n">
        <v>2.33</v>
      </c>
      <c r="O508" s="80">
        <f>ROUND(M508*N508,2)</f>
        <v/>
      </c>
      <c r="P508" s="80">
        <f>IF($O508="","",L508-O508-(L508*IF(L508&lt;=79.99,20%,14%)+IF(L508&lt;=79.99,4,IF(L508&lt;=99.99,16,IF(L508&lt;=199.99,20,IF(L508&lt;=499.99,26,28)))))-L508*1.3%-L508*6%-(L508-O508)*9.25%-L508*3%-L508*3%-1)</f>
        <v/>
      </c>
      <c r="Q508" s="17">
        <f>IF(AND(K508&lt;&gt;"",H508&gt;0),(H508-K508)/H508,"")</f>
        <v/>
      </c>
      <c r="R508" s="14" t="inlineStr">
        <is>
          <t>909481504866304</t>
        </is>
      </c>
      <c r="S508" s="18" t="n">
        <v>46144.3875</v>
      </c>
      <c r="T508" s="18" t="n">
        <v>46295.4375</v>
      </c>
      <c r="U508" s="14" t="inlineStr">
        <is>
          <t>101928</t>
        </is>
      </c>
      <c r="V508" t="inlineStr">
        <is>
          <t>213575</t>
        </is>
      </c>
      <c r="W508" t="inlineStr">
        <is>
          <t>venda casada (2 pedidos) · custo do KIT 213590 (2× 213575)</t>
        </is>
      </c>
      <c r="X508" t="n">
        <v>2</v>
      </c>
      <c r="Y508" t="inlineStr">
        <is>
          <t>ok</t>
        </is>
      </c>
    </row>
    <row r="509" ht="15" customFormat="1" customHeight="1" s="19">
      <c r="A509" s="19" t="inlineStr">
        <is>
          <t>Jacartta</t>
        </is>
      </c>
      <c r="B509" s="19" t="inlineStr">
        <is>
          <t>Kit 2 Brinquedo Para Gatos Patinha Com Catnip Erva Gato Natural</t>
        </is>
      </c>
      <c r="C509" s="19" t="inlineStr">
        <is>
          <t>GATINHO,CORES SORTIDAS</t>
        </is>
      </c>
      <c r="D509" s="19" t="inlineStr">
        <is>
          <t>KIT2-CATGATINHO-SORTIDO</t>
        </is>
      </c>
      <c r="E509" s="19" t="inlineStr">
        <is>
          <t>20599498230</t>
        </is>
      </c>
      <c r="F509" s="19" t="inlineStr">
        <is>
          <t>199601100347</t>
        </is>
      </c>
      <c r="G509" s="19" t="inlineStr">
        <is>
          <t>NORMAL</t>
        </is>
      </c>
      <c r="H509" s="20" t="n">
        <v>39.9</v>
      </c>
      <c r="I509" s="20" t="n">
        <v>14.9</v>
      </c>
      <c r="J509" s="21" t="inlineStr">
        <is>
          <t>SIM</t>
        </is>
      </c>
      <c r="K509" s="20" t="n">
        <v>14.9</v>
      </c>
      <c r="L509" s="35">
        <f>IF(K509&lt;&gt;"",K509,I509)</f>
        <v/>
      </c>
      <c r="M509" s="81" t="n">
        <v>2</v>
      </c>
      <c r="N509" s="82" t="n">
        <v>2.33</v>
      </c>
      <c r="O509" s="80">
        <f>ROUND(M509*N509,2)</f>
        <v/>
      </c>
      <c r="P509" s="80">
        <f>IF($O509="","",L509-O509-(L509*IF(L509&lt;=79.99,20%,14%)+IF(L509&lt;=79.99,4,IF(L509&lt;=99.99,16,IF(L509&lt;=199.99,20,IF(L509&lt;=499.99,26,28)))))-L509*1.3%-L509*6%-(L509-O509)*9.25%-L509*3%-L509*3%-1)</f>
        <v/>
      </c>
      <c r="Q509" s="22">
        <f>IF(AND(K509&lt;&gt;"",H509&gt;0),(H509-K509)/H509,"")</f>
        <v/>
      </c>
      <c r="R509" s="19" t="inlineStr">
        <is>
          <t>909481504866304</t>
        </is>
      </c>
      <c r="S509" s="23" t="n">
        <v>46144.3875</v>
      </c>
      <c r="T509" s="23" t="n">
        <v>46295.4375</v>
      </c>
      <c r="U509" s="19" t="inlineStr">
        <is>
          <t>101928</t>
        </is>
      </c>
      <c r="V509" t="inlineStr">
        <is>
          <t>213584</t>
        </is>
      </c>
      <c r="W509" t="inlineStr">
        <is>
          <t>venda casada (7 pedidos) · custo do KIT 213602 (2× 213584)</t>
        </is>
      </c>
      <c r="X509" t="n">
        <v>7</v>
      </c>
      <c r="Y509" t="inlineStr">
        <is>
          <t>ok</t>
        </is>
      </c>
    </row>
    <row r="510" ht="15" customFormat="1" customHeight="1" s="14">
      <c r="A510" s="14" t="inlineStr">
        <is>
          <t>Jacartta</t>
        </is>
      </c>
      <c r="B510" s="14" t="inlineStr">
        <is>
          <t>Kit 2 Brinquedo Para Gatos Patinha Com Catnip Erva Gato Natural</t>
        </is>
      </c>
      <c r="C510" s="14" t="inlineStr">
        <is>
          <t>GATINHO,ROSA</t>
        </is>
      </c>
      <c r="D510" s="14" t="inlineStr">
        <is>
          <t>KIT2-CATGATINHO-ROSA</t>
        </is>
      </c>
      <c r="E510" s="14" t="inlineStr">
        <is>
          <t>20599498230</t>
        </is>
      </c>
      <c r="F510" s="14" t="inlineStr">
        <is>
          <t>199601100346</t>
        </is>
      </c>
      <c r="G510" s="14" t="inlineStr">
        <is>
          <t>NORMAL</t>
        </is>
      </c>
      <c r="H510" s="15" t="n">
        <v>39.9</v>
      </c>
      <c r="I510" s="15" t="n">
        <v>14.9</v>
      </c>
      <c r="J510" s="16" t="inlineStr">
        <is>
          <t>SIM</t>
        </is>
      </c>
      <c r="K510" s="15" t="n">
        <v>14.9</v>
      </c>
      <c r="L510" s="35">
        <f>IF(K510&lt;&gt;"",K510,I510)</f>
        <v/>
      </c>
      <c r="M510" s="84" t="n">
        <v>2</v>
      </c>
      <c r="N510" s="85" t="n">
        <v>2.33</v>
      </c>
      <c r="O510" s="80">
        <f>ROUND(M510*N510,2)</f>
        <v/>
      </c>
      <c r="P510" s="80">
        <f>IF($O510="","",L510-O510-(L510*IF(L510&lt;=79.99,20%,14%)+IF(L510&lt;=79.99,4,IF(L510&lt;=99.99,16,IF(L510&lt;=199.99,20,IF(L510&lt;=499.99,26,28)))))-L510*1.3%-L510*6%-(L510-O510)*9.25%-L510*3%-L510*3%-1)</f>
        <v/>
      </c>
      <c r="Q510" s="17">
        <f>IF(AND(K510&lt;&gt;"",H510&gt;0),(H510-K510)/H510,"")</f>
        <v/>
      </c>
      <c r="R510" s="14" t="inlineStr">
        <is>
          <t>909481504866304</t>
        </is>
      </c>
      <c r="S510" s="18" t="n">
        <v>46144.3875</v>
      </c>
      <c r="T510" s="18" t="n">
        <v>46295.4375</v>
      </c>
      <c r="U510" s="14" t="inlineStr">
        <is>
          <t>101928</t>
        </is>
      </c>
      <c r="V510" t="inlineStr">
        <is>
          <t>213581</t>
        </is>
      </c>
      <c r="W510" t="inlineStr">
        <is>
          <t>venda casada (2 pedidos) · custo do KIT 213596 (2× 213581)</t>
        </is>
      </c>
      <c r="X510" t="n">
        <v>2</v>
      </c>
      <c r="Y510" t="inlineStr">
        <is>
          <t>ok</t>
        </is>
      </c>
    </row>
    <row r="511" ht="15" customFormat="1" customHeight="1" s="19">
      <c r="A511" s="19" t="inlineStr">
        <is>
          <t>Jacartta</t>
        </is>
      </c>
      <c r="B511" s="19" t="inlineStr">
        <is>
          <t>Kit 2 Brinquedo Para Gatos Patinha Com Catnip Erva Gato Natural</t>
        </is>
      </c>
      <c r="C511" s="19" t="inlineStr">
        <is>
          <t>PATINHA,AMARELO</t>
        </is>
      </c>
      <c r="D511" s="19" t="inlineStr">
        <is>
          <t>1156</t>
        </is>
      </c>
      <c r="E511" s="19" t="inlineStr">
        <is>
          <t>20599498230</t>
        </is>
      </c>
      <c r="F511" s="19" t="inlineStr">
        <is>
          <t>199601100348</t>
        </is>
      </c>
      <c r="G511" s="19" t="inlineStr">
        <is>
          <t>NORMAL</t>
        </is>
      </c>
      <c r="H511" s="20" t="n">
        <v>39.9</v>
      </c>
      <c r="I511" s="20" t="n">
        <v>14.9</v>
      </c>
      <c r="J511" s="21" t="inlineStr">
        <is>
          <t>SIM</t>
        </is>
      </c>
      <c r="K511" s="20" t="n">
        <v>14.9</v>
      </c>
      <c r="L511" s="35">
        <f>IF(K511&lt;&gt;"",K511,I511)</f>
        <v/>
      </c>
      <c r="M511" s="30" t="n"/>
      <c r="N511" s="30" t="n"/>
      <c r="O511" s="29" t="n"/>
      <c r="P511" s="80">
        <f>IF($O511="","",L511-O511-(L511*IF(L511&lt;=79.99,20%,14%)+IF(L511&lt;=79.99,4,IF(L511&lt;=99.99,16,IF(L511&lt;=199.99,20,IF(L511&lt;=499.99,26,28)))))-L511*1.3%-L511*6%-(L511-O511)*9.25%-L511*3%-L511*3%-1)</f>
        <v/>
      </c>
      <c r="Q511" s="22">
        <f>IF(AND(K511&lt;&gt;"",H511&gt;0),(H511-K511)/H511,"")</f>
        <v/>
      </c>
      <c r="R511" s="19" t="inlineStr">
        <is>
          <t>909481504866304</t>
        </is>
      </c>
      <c r="S511" s="23" t="n">
        <v>46144.3875</v>
      </c>
      <c r="T511" s="23" t="n">
        <v>46295.4375</v>
      </c>
      <c r="U511" s="19" t="inlineStr">
        <is>
          <t>101928</t>
        </is>
      </c>
      <c r="W511" t="inlineStr">
        <is>
          <t>sem correspondência</t>
        </is>
      </c>
      <c r="Y511" t="inlineStr"/>
    </row>
    <row r="512" ht="15" customFormat="1" customHeight="1" s="14">
      <c r="A512" s="14" t="inlineStr">
        <is>
          <t>Jacartta</t>
        </is>
      </c>
      <c r="B512" s="14" t="inlineStr">
        <is>
          <t>Kit 2 Brinquedo Para Gatos Patinha Com Catnip Erva Gato Natural</t>
        </is>
      </c>
      <c r="C512" s="14" t="inlineStr">
        <is>
          <t>PATINHA,AZUL</t>
        </is>
      </c>
      <c r="D512" s="14" t="inlineStr">
        <is>
          <t>1156</t>
        </is>
      </c>
      <c r="E512" s="14" t="inlineStr">
        <is>
          <t>20599498230</t>
        </is>
      </c>
      <c r="F512" s="14" t="inlineStr">
        <is>
          <t>199601100349</t>
        </is>
      </c>
      <c r="G512" s="14" t="inlineStr">
        <is>
          <t>NORMAL</t>
        </is>
      </c>
      <c r="H512" s="15" t="n">
        <v>39.9</v>
      </c>
      <c r="I512" s="15" t="n">
        <v>14.9</v>
      </c>
      <c r="J512" s="16" t="inlineStr">
        <is>
          <t>SIM</t>
        </is>
      </c>
      <c r="K512" s="15" t="n">
        <v>14.9</v>
      </c>
      <c r="L512" s="35">
        <f>IF(K512&lt;&gt;"",K512,I512)</f>
        <v/>
      </c>
      <c r="M512" s="84" t="n">
        <v>2</v>
      </c>
      <c r="N512" s="85" t="n">
        <v>2.33</v>
      </c>
      <c r="O512" s="80">
        <f>ROUND(M512*N512,2)</f>
        <v/>
      </c>
      <c r="P512" s="80">
        <f>IF($O512="","",L512-O512-(L512*IF(L512&lt;=79.99,20%,14%)+IF(L512&lt;=79.99,4,IF(L512&lt;=99.99,16,IF(L512&lt;=199.99,20,IF(L512&lt;=499.99,26,28)))))-L512*1.3%-L512*6%-(L512-O512)*9.25%-L512*3%-L512*3%-1)</f>
        <v/>
      </c>
      <c r="Q512" s="17">
        <f>IF(AND(K512&lt;&gt;"",H512&gt;0),(H512-K512)/H512,"")</f>
        <v/>
      </c>
      <c r="R512" s="14" t="inlineStr">
        <is>
          <t>909481504866304</t>
        </is>
      </c>
      <c r="S512" s="18" t="n">
        <v>46144.3875</v>
      </c>
      <c r="T512" s="18" t="n">
        <v>46295.4375</v>
      </c>
      <c r="U512" s="14" t="inlineStr">
        <is>
          <t>101928</t>
        </is>
      </c>
      <c r="V512" t="inlineStr">
        <is>
          <t>213582</t>
        </is>
      </c>
      <c r="W512" t="inlineStr">
        <is>
          <t>venda casada (15 pedidos) · custo do KIT 213600 (2× 213582)</t>
        </is>
      </c>
      <c r="X512" t="n">
        <v>15</v>
      </c>
      <c r="Y512" t="inlineStr">
        <is>
          <t>ok</t>
        </is>
      </c>
    </row>
    <row r="513" ht="15" customFormat="1" customHeight="1" s="19">
      <c r="A513" s="19" t="inlineStr">
        <is>
          <t>Jacartta</t>
        </is>
      </c>
      <c r="B513" s="19" t="inlineStr">
        <is>
          <t>Kit 2 Brinquedo Para Gatos Patinha Com Catnip Erva Gato Natural</t>
        </is>
      </c>
      <c r="C513" s="19" t="inlineStr">
        <is>
          <t>PATINHA,BRANCO</t>
        </is>
      </c>
      <c r="D513" s="19" t="inlineStr">
        <is>
          <t>1156</t>
        </is>
      </c>
      <c r="E513" s="19" t="inlineStr">
        <is>
          <t>20599498230</t>
        </is>
      </c>
      <c r="F513" s="19" t="inlineStr">
        <is>
          <t>199601100353</t>
        </is>
      </c>
      <c r="G513" s="19" t="inlineStr">
        <is>
          <t>NORMAL</t>
        </is>
      </c>
      <c r="H513" s="20" t="n">
        <v>39.9</v>
      </c>
      <c r="I513" s="20" t="n">
        <v>14.9</v>
      </c>
      <c r="J513" s="21" t="inlineStr">
        <is>
          <t>SIM</t>
        </is>
      </c>
      <c r="K513" s="20" t="n">
        <v>14.9</v>
      </c>
      <c r="L513" s="35">
        <f>IF(K513&lt;&gt;"",K513,I513)</f>
        <v/>
      </c>
      <c r="M513" s="81" t="n">
        <v>2</v>
      </c>
      <c r="N513" s="82" t="n">
        <v>2.33</v>
      </c>
      <c r="O513" s="80">
        <f>ROUND(M513*N513,2)</f>
        <v/>
      </c>
      <c r="P513" s="80">
        <f>IF($O513="","",L513-O513-(L513*IF(L513&lt;=79.99,20%,14%)+IF(L513&lt;=79.99,4,IF(L513&lt;=99.99,16,IF(L513&lt;=199.99,20,IF(L513&lt;=499.99,26,28)))))-L513*1.3%-L513*6%-(L513-O513)*9.25%-L513*3%-L513*3%-1)</f>
        <v/>
      </c>
      <c r="Q513" s="22">
        <f>IF(AND(K513&lt;&gt;"",H513&gt;0),(H513-K513)/H513,"")</f>
        <v/>
      </c>
      <c r="R513" s="19" t="inlineStr">
        <is>
          <t>909481504866304</t>
        </is>
      </c>
      <c r="S513" s="23" t="n">
        <v>46144.3875</v>
      </c>
      <c r="T513" s="23" t="n">
        <v>46295.4375</v>
      </c>
      <c r="U513" s="19" t="inlineStr">
        <is>
          <t>101928</t>
        </is>
      </c>
      <c r="V513" t="inlineStr">
        <is>
          <t>213573</t>
        </is>
      </c>
      <c r="W513" t="inlineStr">
        <is>
          <t>venda casada (1 pedido) · custo do KIT 213588 (2× 213573)</t>
        </is>
      </c>
      <c r="X513" t="n">
        <v>1</v>
      </c>
      <c r="Y513" t="inlineStr">
        <is>
          <t>⚠ evidência fraca (1 pedido)</t>
        </is>
      </c>
    </row>
    <row r="514" ht="15" customFormat="1" customHeight="1" s="14">
      <c r="A514" s="14" t="inlineStr">
        <is>
          <t>Jacartta</t>
        </is>
      </c>
      <c r="B514" s="14" t="inlineStr">
        <is>
          <t>Kit 2 Brinquedo Para Gatos Patinha Com Catnip Erva Gato Natural</t>
        </is>
      </c>
      <c r="C514" s="14" t="inlineStr">
        <is>
          <t>PATINHA,CORES SORTIDAS</t>
        </is>
      </c>
      <c r="D514" s="14" t="inlineStr">
        <is>
          <t>1156</t>
        </is>
      </c>
      <c r="E514" s="14" t="inlineStr">
        <is>
          <t>20599498230</t>
        </is>
      </c>
      <c r="F514" s="14" t="inlineStr">
        <is>
          <t>199601100354</t>
        </is>
      </c>
      <c r="G514" s="14" t="inlineStr">
        <is>
          <t>NORMAL</t>
        </is>
      </c>
      <c r="H514" s="15" t="n">
        <v>39.9</v>
      </c>
      <c r="I514" s="15" t="n">
        <v>14.9</v>
      </c>
      <c r="J514" s="16" t="inlineStr">
        <is>
          <t>SIM</t>
        </is>
      </c>
      <c r="K514" s="15" t="n">
        <v>14.9</v>
      </c>
      <c r="L514" s="35">
        <f>IF(K514&lt;&gt;"",K514,I514)</f>
        <v/>
      </c>
      <c r="M514" s="84" t="n">
        <v>2</v>
      </c>
      <c r="N514" s="85" t="n">
        <v>2.33</v>
      </c>
      <c r="O514" s="80">
        <f>ROUND(M514*N514,2)</f>
        <v/>
      </c>
      <c r="P514" s="80">
        <f>IF($O514="","",L514-O514-(L514*IF(L514&lt;=79.99,20%,14%)+IF(L514&lt;=79.99,4,IF(L514&lt;=99.99,16,IF(L514&lt;=199.99,20,IF(L514&lt;=499.99,26,28)))))-L514*1.3%-L514*6%-(L514-O514)*9.25%-L514*3%-L514*3%-1)</f>
        <v/>
      </c>
      <c r="Q514" s="17">
        <f>IF(AND(K514&lt;&gt;"",H514&gt;0),(H514-K514)/H514,"")</f>
        <v/>
      </c>
      <c r="R514" s="14" t="inlineStr">
        <is>
          <t>909481504866304</t>
        </is>
      </c>
      <c r="S514" s="18" t="n">
        <v>46144.3875</v>
      </c>
      <c r="T514" s="18" t="n">
        <v>46295.4375</v>
      </c>
      <c r="U514" s="14" t="inlineStr">
        <is>
          <t>101928</t>
        </is>
      </c>
      <c r="V514" t="inlineStr">
        <is>
          <t>213582</t>
        </is>
      </c>
      <c r="W514" t="inlineStr">
        <is>
          <t>venda casada (11 pedidos) · custo do KIT 213600 (2× 213582)</t>
        </is>
      </c>
      <c r="X514" t="n">
        <v>11</v>
      </c>
      <c r="Y514" t="inlineStr">
        <is>
          <t>ok</t>
        </is>
      </c>
    </row>
    <row r="515" ht="15" customFormat="1" customHeight="1" s="19">
      <c r="A515" s="19" t="inlineStr">
        <is>
          <t>Jacartta</t>
        </is>
      </c>
      <c r="B515" s="19" t="inlineStr">
        <is>
          <t>Kit 2 Brinquedo Para Gatos Patinha Com Catnip Erva Gato Natural</t>
        </is>
      </c>
      <c r="C515" s="19" t="inlineStr">
        <is>
          <t>PATINHA,ROSA</t>
        </is>
      </c>
      <c r="D515" s="19" t="inlineStr">
        <is>
          <t>1156</t>
        </is>
      </c>
      <c r="E515" s="19" t="inlineStr">
        <is>
          <t>20599498230</t>
        </is>
      </c>
      <c r="F515" s="19" t="inlineStr">
        <is>
          <t>199601100342</t>
        </is>
      </c>
      <c r="G515" s="19" t="inlineStr">
        <is>
          <t>NORMAL</t>
        </is>
      </c>
      <c r="H515" s="20" t="n">
        <v>39.9</v>
      </c>
      <c r="I515" s="20" t="n">
        <v>14.9</v>
      </c>
      <c r="J515" s="21" t="inlineStr">
        <is>
          <t>SIM</t>
        </is>
      </c>
      <c r="K515" s="20" t="n">
        <v>14.9</v>
      </c>
      <c r="L515" s="35">
        <f>IF(K515&lt;&gt;"",K515,I515)</f>
        <v/>
      </c>
      <c r="M515" s="81" t="n">
        <v>2</v>
      </c>
      <c r="N515" s="82" t="n">
        <v>2.33</v>
      </c>
      <c r="O515" s="80">
        <f>ROUND(M515*N515,2)</f>
        <v/>
      </c>
      <c r="P515" s="80">
        <f>IF($O515="","",L515-O515-(L515*IF(L515&lt;=79.99,20%,14%)+IF(L515&lt;=79.99,4,IF(L515&lt;=99.99,16,IF(L515&lt;=199.99,20,IF(L515&lt;=499.99,26,28)))))-L515*1.3%-L515*6%-(L515-O515)*9.25%-L515*3%-L515*3%-1)</f>
        <v/>
      </c>
      <c r="Q515" s="22">
        <f>IF(AND(K515&lt;&gt;"",H515&gt;0),(H515-K515)/H515,"")</f>
        <v/>
      </c>
      <c r="R515" s="19" t="inlineStr">
        <is>
          <t>909481504866304</t>
        </is>
      </c>
      <c r="S515" s="23" t="n">
        <v>46144.3875</v>
      </c>
      <c r="T515" s="23" t="n">
        <v>46295.4375</v>
      </c>
      <c r="U515" s="19" t="inlineStr">
        <is>
          <t>101928</t>
        </is>
      </c>
      <c r="V515" t="inlineStr">
        <is>
          <t>213579</t>
        </is>
      </c>
      <c r="W515" t="inlineStr">
        <is>
          <t>venda casada (4 pedidos) · custo do KIT 213594 (2× 213579)</t>
        </is>
      </c>
      <c r="X515" t="n">
        <v>4</v>
      </c>
      <c r="Y515" t="inlineStr">
        <is>
          <t>ok</t>
        </is>
      </c>
    </row>
    <row r="516" ht="15" customFormat="1" customHeight="1" s="14">
      <c r="A516" s="14" t="inlineStr">
        <is>
          <t>Jacartta</t>
        </is>
      </c>
      <c r="B516" s="14" t="inlineStr">
        <is>
          <t>Kit 20/30/50 Unidades De Cabides Veludo Para Roupas Adulto Fino Resistente</t>
        </is>
      </c>
      <c r="C516" s="14" t="inlineStr">
        <is>
          <t>Bege,20 UNIDADES</t>
        </is>
      </c>
      <c r="D516" s="14" t="inlineStr">
        <is>
          <t>KIT-20-CAB-VEL-BG</t>
        </is>
      </c>
      <c r="E516" s="14" t="inlineStr">
        <is>
          <t>23394521918</t>
        </is>
      </c>
      <c r="F516" s="14" t="inlineStr">
        <is>
          <t>159788726156</t>
        </is>
      </c>
      <c r="G516" s="14" t="inlineStr">
        <is>
          <t>NORMAL</t>
        </is>
      </c>
      <c r="H516" s="15" t="n">
        <v>99.90000000000001</v>
      </c>
      <c r="I516" s="15" t="n">
        <v>99.90000000000001</v>
      </c>
      <c r="J516" s="16" t="inlineStr">
        <is>
          <t>NÃO</t>
        </is>
      </c>
      <c r="K516" s="15" t="n"/>
      <c r="L516" s="35">
        <f>IF(K516&lt;&gt;"",K516,I516)</f>
        <v/>
      </c>
      <c r="M516" s="28" t="n"/>
      <c r="N516" s="28" t="n"/>
      <c r="O516" s="29" t="n"/>
      <c r="P516" s="80">
        <f>IF($O516="","",L516-O516-(L516*IF(L516&lt;=79.99,20%,14%)+IF(L516&lt;=79.99,4,IF(L516&lt;=99.99,16,IF(L516&lt;=199.99,20,IF(L516&lt;=499.99,26,28)))))-L516*1.3%-L516*6%-(L516-O516)*9.25%-L516*3%-L516*3%-1)</f>
        <v/>
      </c>
      <c r="Q516" s="17">
        <f>IF(AND(K516&lt;&gt;"",H516&gt;0),(H516-K516)/H516,"")</f>
        <v/>
      </c>
      <c r="R516" s="14" t="inlineStr"/>
      <c r="S516" s="18" t="n"/>
      <c r="T516" s="18" t="n"/>
      <c r="U516" s="14" t="inlineStr">
        <is>
          <t>101253</t>
        </is>
      </c>
      <c r="W516" t="inlineStr">
        <is>
          <t>sem correspondência</t>
        </is>
      </c>
      <c r="Y516" t="inlineStr"/>
    </row>
    <row r="517" ht="15" customFormat="1" customHeight="1" s="19">
      <c r="A517" s="19" t="inlineStr">
        <is>
          <t>Jacartta</t>
        </is>
      </c>
      <c r="B517" s="19" t="inlineStr">
        <is>
          <t>Kit 20/30/50 Unidades De Cabides Veludo Para Roupas Adulto Fino Resistente</t>
        </is>
      </c>
      <c r="C517" s="19" t="inlineStr">
        <is>
          <t>Bege,30 UNIDADES</t>
        </is>
      </c>
      <c r="D517" s="19" t="inlineStr">
        <is>
          <t>KIT-30-CAB-VEL-BG</t>
        </is>
      </c>
      <c r="E517" s="19" t="inlineStr">
        <is>
          <t>23394521918</t>
        </is>
      </c>
      <c r="F517" s="19" t="inlineStr">
        <is>
          <t>189180562461</t>
        </is>
      </c>
      <c r="G517" s="19" t="inlineStr">
        <is>
          <t>NORMAL</t>
        </is>
      </c>
      <c r="H517" s="20" t="n">
        <v>99.90000000000001</v>
      </c>
      <c r="I517" s="20" t="n">
        <v>99.90000000000001</v>
      </c>
      <c r="J517" s="21" t="inlineStr">
        <is>
          <t>NÃO</t>
        </is>
      </c>
      <c r="K517" s="20" t="n"/>
      <c r="L517" s="35">
        <f>IF(K517&lt;&gt;"",K517,I517)</f>
        <v/>
      </c>
      <c r="M517" s="30" t="n"/>
      <c r="N517" s="30" t="n"/>
      <c r="O517" s="31" t="n"/>
      <c r="P517" s="80">
        <f>IF($O517="","",L517-O517-(L517*IF(L517&lt;=79.99,20%,14%)+IF(L517&lt;=79.99,4,IF(L517&lt;=99.99,16,IF(L517&lt;=199.99,20,IF(L517&lt;=499.99,26,28)))))-L517*1.3%-L517*6%-(L517-O517)*9.25%-L517*3%-L517*3%-1)</f>
        <v/>
      </c>
      <c r="Q517" s="22">
        <f>IF(AND(K517&lt;&gt;"",H517&gt;0),(H517-K517)/H517,"")</f>
        <v/>
      </c>
      <c r="R517" s="19" t="inlineStr"/>
      <c r="S517" s="23" t="n"/>
      <c r="T517" s="23" t="n"/>
      <c r="U517" s="19" t="inlineStr">
        <is>
          <t>101253</t>
        </is>
      </c>
      <c r="W517" t="inlineStr">
        <is>
          <t>sem correspondência</t>
        </is>
      </c>
      <c r="Y517" t="inlineStr"/>
    </row>
    <row r="518" ht="15" customFormat="1" customHeight="1" s="14">
      <c r="A518" s="14" t="inlineStr">
        <is>
          <t>Jacartta</t>
        </is>
      </c>
      <c r="B518" s="14" t="inlineStr">
        <is>
          <t>Kit 20/30/50 Unidades De Cabides Veludo Para Roupas Adulto Fino Resistente</t>
        </is>
      </c>
      <c r="C518" s="14" t="inlineStr">
        <is>
          <t>Bege,50 UNIDADES</t>
        </is>
      </c>
      <c r="D518" s="14" t="inlineStr">
        <is>
          <t>KIT-50-CAB-VEL-BG</t>
        </is>
      </c>
      <c r="E518" s="14" t="inlineStr">
        <is>
          <t>23394521918</t>
        </is>
      </c>
      <c r="F518" s="14" t="inlineStr">
        <is>
          <t>366043696180</t>
        </is>
      </c>
      <c r="G518" s="14" t="inlineStr">
        <is>
          <t>NORMAL</t>
        </is>
      </c>
      <c r="H518" s="15" t="n">
        <v>99.90000000000001</v>
      </c>
      <c r="I518" s="15" t="n">
        <v>99.90000000000001</v>
      </c>
      <c r="J518" s="16" t="inlineStr">
        <is>
          <t>NÃO</t>
        </is>
      </c>
      <c r="K518" s="15" t="n"/>
      <c r="L518" s="35">
        <f>IF(K518&lt;&gt;"",K518,I518)</f>
        <v/>
      </c>
      <c r="M518" s="28" t="n"/>
      <c r="N518" s="28" t="n"/>
      <c r="O518" s="29" t="n"/>
      <c r="P518" s="80">
        <f>IF($O518="","",L518-O518-(L518*IF(L518&lt;=79.99,20%,14%)+IF(L518&lt;=79.99,4,IF(L518&lt;=99.99,16,IF(L518&lt;=199.99,20,IF(L518&lt;=499.99,26,28)))))-L518*1.3%-L518*6%-(L518-O518)*9.25%-L518*3%-L518*3%-1)</f>
        <v/>
      </c>
      <c r="Q518" s="17">
        <f>IF(AND(K518&lt;&gt;"",H518&gt;0),(H518-K518)/H518,"")</f>
        <v/>
      </c>
      <c r="R518" s="14" t="inlineStr"/>
      <c r="S518" s="18" t="n"/>
      <c r="T518" s="18" t="n"/>
      <c r="U518" s="14" t="inlineStr">
        <is>
          <t>101253</t>
        </is>
      </c>
      <c r="W518" t="inlineStr">
        <is>
          <t>sem correspondência</t>
        </is>
      </c>
      <c r="Y518" t="inlineStr"/>
    </row>
    <row r="519" ht="15" customFormat="1" customHeight="1" s="19">
      <c r="A519" s="19" t="inlineStr">
        <is>
          <t>Jacartta</t>
        </is>
      </c>
      <c r="B519" s="19" t="inlineStr">
        <is>
          <t>Kit 20/30/50 Unidades De Cabides Veludo Para Roupas Adulto Fino Resistente</t>
        </is>
      </c>
      <c r="C519" s="19" t="inlineStr">
        <is>
          <t>Branco,20 UNIDADES</t>
        </is>
      </c>
      <c r="D519" s="19" t="inlineStr">
        <is>
          <t>KIT-20-CAB-VEL-BR</t>
        </is>
      </c>
      <c r="E519" s="19" t="inlineStr">
        <is>
          <t>23394521918</t>
        </is>
      </c>
      <c r="F519" s="19" t="inlineStr">
        <is>
          <t>159788726153</t>
        </is>
      </c>
      <c r="G519" s="19" t="inlineStr">
        <is>
          <t>NORMAL</t>
        </is>
      </c>
      <c r="H519" s="20" t="n">
        <v>99.90000000000001</v>
      </c>
      <c r="I519" s="20" t="n">
        <v>34.49</v>
      </c>
      <c r="J519" s="21" t="inlineStr">
        <is>
          <t>SIM</t>
        </is>
      </c>
      <c r="K519" s="20" t="n">
        <v>34.49</v>
      </c>
      <c r="L519" s="35">
        <f>IF(K519&lt;&gt;"",K519,I519)</f>
        <v/>
      </c>
      <c r="M519" s="81" t="n">
        <v>20</v>
      </c>
      <c r="N519" s="82" t="n">
        <v>0.59</v>
      </c>
      <c r="O519" s="80">
        <f>ROUND(M519*N519,2)</f>
        <v/>
      </c>
      <c r="P519" s="80">
        <f>IF($O519="","",L519-O519-(L519*IF(L519&lt;=79.99,20%,14%)+IF(L519&lt;=79.99,4,IF(L519&lt;=99.99,16,IF(L519&lt;=199.99,20,IF(L519&lt;=499.99,26,28)))))-L519*1.3%-L519*6%-(L519-O519)*9.25%-L519*3%-L519*3%-1)</f>
        <v/>
      </c>
      <c r="Q519" s="22">
        <f>IF(AND(K519&lt;&gt;"",H519&gt;0),(H519-K519)/H519,"")</f>
        <v/>
      </c>
      <c r="R519" s="19" t="inlineStr">
        <is>
          <t>478386871025791</t>
        </is>
      </c>
      <c r="S519" s="23" t="n">
        <v>46209.64583333334</v>
      </c>
      <c r="T519" s="23" t="n">
        <v>46326.99930555555</v>
      </c>
      <c r="U519" s="19" t="inlineStr">
        <is>
          <t>101253</t>
        </is>
      </c>
      <c r="V519" t="inlineStr">
        <is>
          <t>214000</t>
        </is>
      </c>
      <c r="W519" t="inlineStr">
        <is>
          <t>venda casada (3 pedidos) · custo do KIT 214008 (20× 214000)</t>
        </is>
      </c>
      <c r="X519" t="n">
        <v>3</v>
      </c>
      <c r="Y519" t="inlineStr">
        <is>
          <t>ok</t>
        </is>
      </c>
    </row>
    <row r="520" ht="15" customFormat="1" customHeight="1" s="14">
      <c r="A520" s="14" t="inlineStr">
        <is>
          <t>Jacartta</t>
        </is>
      </c>
      <c r="B520" s="14" t="inlineStr">
        <is>
          <t>Kit 20/30/50 Unidades De Cabides Veludo Para Roupas Adulto Fino Resistente</t>
        </is>
      </c>
      <c r="C520" s="14" t="inlineStr">
        <is>
          <t>Branco,30 UNIDADES</t>
        </is>
      </c>
      <c r="D520" s="14" t="inlineStr">
        <is>
          <t>KIT-30-CAB-VEL-BR</t>
        </is>
      </c>
      <c r="E520" s="14" t="inlineStr">
        <is>
          <t>23394521918</t>
        </is>
      </c>
      <c r="F520" s="14" t="inlineStr">
        <is>
          <t>159788726152</t>
        </is>
      </c>
      <c r="G520" s="14" t="inlineStr">
        <is>
          <t>NORMAL</t>
        </is>
      </c>
      <c r="H520" s="15" t="n">
        <v>99.90000000000001</v>
      </c>
      <c r="I520" s="15" t="n">
        <v>44.89</v>
      </c>
      <c r="J520" s="16" t="inlineStr">
        <is>
          <t>SIM</t>
        </is>
      </c>
      <c r="K520" s="15" t="n">
        <v>44.89</v>
      </c>
      <c r="L520" s="35">
        <f>IF(K520&lt;&gt;"",K520,I520)</f>
        <v/>
      </c>
      <c r="M520" s="84" t="n">
        <v>30</v>
      </c>
      <c r="N520" s="85" t="n">
        <v>0.59</v>
      </c>
      <c r="O520" s="80">
        <f>ROUND(M520*N520,2)</f>
        <v/>
      </c>
      <c r="P520" s="80">
        <f>IF($O520="","",L520-O520-(L520*IF(L520&lt;=79.99,20%,14%)+IF(L520&lt;=79.99,4,IF(L520&lt;=99.99,16,IF(L520&lt;=199.99,20,IF(L520&lt;=499.99,26,28)))))-L520*1.3%-L520*6%-(L520-O520)*9.25%-L520*3%-L520*3%-1)</f>
        <v/>
      </c>
      <c r="Q520" s="17">
        <f>IF(AND(K520&lt;&gt;"",H520&gt;0),(H520-K520)/H520,"")</f>
        <v/>
      </c>
      <c r="R520" s="14" t="inlineStr">
        <is>
          <t>478386871025791</t>
        </is>
      </c>
      <c r="S520" s="18" t="n">
        <v>46209.64583333334</v>
      </c>
      <c r="T520" s="18" t="n">
        <v>46326.99930555555</v>
      </c>
      <c r="U520" s="14" t="inlineStr">
        <is>
          <t>101253</t>
        </is>
      </c>
      <c r="V520" t="inlineStr">
        <is>
          <t>214000</t>
        </is>
      </c>
      <c r="W520" t="inlineStr">
        <is>
          <t>venda casada (8 pedidos) · custo do KIT 214012 (30× 214000)</t>
        </is>
      </c>
      <c r="X520" t="n">
        <v>8</v>
      </c>
      <c r="Y520" t="inlineStr">
        <is>
          <t>ok</t>
        </is>
      </c>
    </row>
    <row r="521" ht="15" customFormat="1" customHeight="1" s="19">
      <c r="A521" s="19" t="inlineStr">
        <is>
          <t>Jacartta</t>
        </is>
      </c>
      <c r="B521" s="19" t="inlineStr">
        <is>
          <t>Kit 20/30/50 Unidades De Cabides Veludo Para Roupas Adulto Fino Resistente</t>
        </is>
      </c>
      <c r="C521" s="19" t="inlineStr">
        <is>
          <t>Branco,50 UNIDADES</t>
        </is>
      </c>
      <c r="D521" s="19" t="inlineStr">
        <is>
          <t>KIT-50-CAB-VEL-BR</t>
        </is>
      </c>
      <c r="E521" s="19" t="inlineStr">
        <is>
          <t>23394521918</t>
        </is>
      </c>
      <c r="F521" s="19" t="inlineStr">
        <is>
          <t>366043696182</t>
        </is>
      </c>
      <c r="G521" s="19" t="inlineStr">
        <is>
          <t>NORMAL</t>
        </is>
      </c>
      <c r="H521" s="20" t="n">
        <v>99.90000000000001</v>
      </c>
      <c r="I521" s="20" t="n">
        <v>62.5</v>
      </c>
      <c r="J521" s="21" t="inlineStr">
        <is>
          <t>SIM</t>
        </is>
      </c>
      <c r="K521" s="20" t="n">
        <v>62.5</v>
      </c>
      <c r="L521" s="35">
        <f>IF(K521&lt;&gt;"",K521,I521)</f>
        <v/>
      </c>
      <c r="M521" s="30" t="n"/>
      <c r="N521" s="30" t="n"/>
      <c r="O521" s="29" t="n"/>
      <c r="P521" s="80">
        <f>IF($O521="","",L521-O521-(L521*IF(L521&lt;=79.99,20%,14%)+IF(L521&lt;=79.99,4,IF(L521&lt;=99.99,16,IF(L521&lt;=199.99,20,IF(L521&lt;=499.99,26,28)))))-L521*1.3%-L521*6%-(L521-O521)*9.25%-L521*3%-L521*3%-1)</f>
        <v/>
      </c>
      <c r="Q521" s="22">
        <f>IF(AND(K521&lt;&gt;"",H521&gt;0),(H521-K521)/H521,"")</f>
        <v/>
      </c>
      <c r="R521" s="19" t="inlineStr">
        <is>
          <t>478386871025791</t>
        </is>
      </c>
      <c r="S521" s="23" t="n">
        <v>46209.64583333334</v>
      </c>
      <c r="T521" s="23" t="n">
        <v>46326.99930555555</v>
      </c>
      <c r="U521" s="19" t="inlineStr">
        <is>
          <t>101253</t>
        </is>
      </c>
      <c r="W521" t="inlineStr">
        <is>
          <t>sem correspondência</t>
        </is>
      </c>
      <c r="Y521" t="inlineStr"/>
    </row>
    <row r="522" ht="15" customFormat="1" customHeight="1" s="14">
      <c r="A522" s="14" t="inlineStr">
        <is>
          <t>Jacartta</t>
        </is>
      </c>
      <c r="B522" s="14" t="inlineStr">
        <is>
          <t>Kit 20/30/50 Unidades De Cabides Veludo Para Roupas Adulto Fino Resistente</t>
        </is>
      </c>
      <c r="C522" s="14" t="inlineStr">
        <is>
          <t>Cinza,20 UNIDADES</t>
        </is>
      </c>
      <c r="D522" s="14" t="inlineStr">
        <is>
          <t>KIT-20-CAB-VEL-CZ</t>
        </is>
      </c>
      <c r="E522" s="14" t="inlineStr">
        <is>
          <t>23394521918</t>
        </is>
      </c>
      <c r="F522" s="14" t="inlineStr">
        <is>
          <t>159788726155</t>
        </is>
      </c>
      <c r="G522" s="14" t="inlineStr">
        <is>
          <t>NORMAL</t>
        </is>
      </c>
      <c r="H522" s="15" t="n">
        <v>99.90000000000001</v>
      </c>
      <c r="I522" s="15" t="n">
        <v>34.48</v>
      </c>
      <c r="J522" s="16" t="inlineStr">
        <is>
          <t>SIM</t>
        </is>
      </c>
      <c r="K522" s="15" t="n">
        <v>34.48</v>
      </c>
      <c r="L522" s="35">
        <f>IF(K522&lt;&gt;"",K522,I522)</f>
        <v/>
      </c>
      <c r="M522" s="84" t="n">
        <v>20</v>
      </c>
      <c r="N522" s="85" t="n">
        <v>0.59</v>
      </c>
      <c r="O522" s="80">
        <f>ROUND(M522*N522,2)</f>
        <v/>
      </c>
      <c r="P522" s="80">
        <f>IF($O522="","",L522-O522-(L522*IF(L522&lt;=79.99,20%,14%)+IF(L522&lt;=79.99,4,IF(L522&lt;=99.99,16,IF(L522&lt;=199.99,20,IF(L522&lt;=499.99,26,28)))))-L522*1.3%-L522*6%-(L522-O522)*9.25%-L522*3%-L522*3%-1)</f>
        <v/>
      </c>
      <c r="Q522" s="17">
        <f>IF(AND(K522&lt;&gt;"",H522&gt;0),(H522-K522)/H522,"")</f>
        <v/>
      </c>
      <c r="R522" s="14" t="inlineStr">
        <is>
          <t>492047266168992</t>
        </is>
      </c>
      <c r="S522" s="18" t="n">
        <v>46248</v>
      </c>
      <c r="T522" s="18" t="n">
        <v>46249</v>
      </c>
      <c r="U522" s="14" t="inlineStr">
        <is>
          <t>101253</t>
        </is>
      </c>
      <c r="V522" t="inlineStr">
        <is>
          <t>213998</t>
        </is>
      </c>
      <c r="W522" t="inlineStr">
        <is>
          <t>venda casada (17 pedidos) · custo do KIT 214006 (20× 213998)</t>
        </is>
      </c>
      <c r="X522" t="n">
        <v>17</v>
      </c>
      <c r="Y522" t="inlineStr">
        <is>
          <t>ok</t>
        </is>
      </c>
    </row>
    <row r="523" ht="15" customFormat="1" customHeight="1" s="19">
      <c r="A523" s="19" t="inlineStr">
        <is>
          <t>Jacartta</t>
        </is>
      </c>
      <c r="B523" s="19" t="inlineStr">
        <is>
          <t>Kit 20/30/50 Unidades De Cabides Veludo Para Roupas Adulto Fino Resistente</t>
        </is>
      </c>
      <c r="C523" s="19" t="inlineStr">
        <is>
          <t>Cinza,30 UNIDADES</t>
        </is>
      </c>
      <c r="D523" s="19" t="inlineStr">
        <is>
          <t>KIT-30-CAB-VEL-CZ</t>
        </is>
      </c>
      <c r="E523" s="19" t="inlineStr">
        <is>
          <t>23394521918</t>
        </is>
      </c>
      <c r="F523" s="19" t="inlineStr">
        <is>
          <t>159788726154</t>
        </is>
      </c>
      <c r="G523" s="19" t="inlineStr">
        <is>
          <t>NORMAL</t>
        </is>
      </c>
      <c r="H523" s="20" t="n">
        <v>99.90000000000001</v>
      </c>
      <c r="I523" s="20" t="n">
        <v>44.88</v>
      </c>
      <c r="J523" s="21" t="inlineStr">
        <is>
          <t>SIM</t>
        </is>
      </c>
      <c r="K523" s="20" t="n">
        <v>44.88</v>
      </c>
      <c r="L523" s="35">
        <f>IF(K523&lt;&gt;"",K523,I523)</f>
        <v/>
      </c>
      <c r="M523" s="81" t="n">
        <v>30</v>
      </c>
      <c r="N523" s="82" t="n">
        <v>0.59</v>
      </c>
      <c r="O523" s="80">
        <f>ROUND(M523*N523,2)</f>
        <v/>
      </c>
      <c r="P523" s="80">
        <f>IF($O523="","",L523-O523-(L523*IF(L523&lt;=79.99,20%,14%)+IF(L523&lt;=79.99,4,IF(L523&lt;=99.99,16,IF(L523&lt;=199.99,20,IF(L523&lt;=499.99,26,28)))))-L523*1.3%-L523*6%-(L523-O523)*9.25%-L523*3%-L523*3%-1)</f>
        <v/>
      </c>
      <c r="Q523" s="22">
        <f>IF(AND(K523&lt;&gt;"",H523&gt;0),(H523-K523)/H523,"")</f>
        <v/>
      </c>
      <c r="R523" s="19" t="inlineStr">
        <is>
          <t>492047266168992</t>
        </is>
      </c>
      <c r="S523" s="23" t="n">
        <v>46248</v>
      </c>
      <c r="T523" s="23" t="n">
        <v>46249</v>
      </c>
      <c r="U523" s="19" t="inlineStr">
        <is>
          <t>101253</t>
        </is>
      </c>
      <c r="V523" t="inlineStr">
        <is>
          <t>213998</t>
        </is>
      </c>
      <c r="W523" t="inlineStr">
        <is>
          <t>venda casada (17 pedidos) · custo do KIT 214010 (30× 213998)</t>
        </is>
      </c>
      <c r="X523" t="n">
        <v>17</v>
      </c>
      <c r="Y523" t="inlineStr">
        <is>
          <t>ok</t>
        </is>
      </c>
    </row>
    <row r="524" ht="15" customFormat="1" customHeight="1" s="14">
      <c r="A524" s="14" t="inlineStr">
        <is>
          <t>Jacartta</t>
        </is>
      </c>
      <c r="B524" s="14" t="inlineStr">
        <is>
          <t>Kit 20/30/50 Unidades De Cabides Veludo Para Roupas Adulto Fino Resistente</t>
        </is>
      </c>
      <c r="C524" s="14" t="inlineStr">
        <is>
          <t>Cinza,50 UNIDADES</t>
        </is>
      </c>
      <c r="D524" s="14" t="inlineStr">
        <is>
          <t>KIT-50-CAB-VEL-CZ</t>
        </is>
      </c>
      <c r="E524" s="14" t="inlineStr">
        <is>
          <t>23394521918</t>
        </is>
      </c>
      <c r="F524" s="14" t="inlineStr">
        <is>
          <t>366043696183</t>
        </is>
      </c>
      <c r="G524" s="14" t="inlineStr">
        <is>
          <t>NORMAL</t>
        </is>
      </c>
      <c r="H524" s="15" t="n">
        <v>99.90000000000001</v>
      </c>
      <c r="I524" s="15" t="n">
        <v>62.49</v>
      </c>
      <c r="J524" s="16" t="inlineStr">
        <is>
          <t>SIM</t>
        </is>
      </c>
      <c r="K524" s="15" t="n">
        <v>62.49</v>
      </c>
      <c r="L524" s="35">
        <f>IF(K524&lt;&gt;"",K524,I524)</f>
        <v/>
      </c>
      <c r="M524" s="28" t="n"/>
      <c r="N524" s="28" t="n"/>
      <c r="O524" s="29" t="n"/>
      <c r="P524" s="80">
        <f>IF($O524="","",L524-O524-(L524*IF(L524&lt;=79.99,20%,14%)+IF(L524&lt;=79.99,4,IF(L524&lt;=99.99,16,IF(L524&lt;=199.99,20,IF(L524&lt;=499.99,26,28)))))-L524*1.3%-L524*6%-(L524-O524)*9.25%-L524*3%-L524*3%-1)</f>
        <v/>
      </c>
      <c r="Q524" s="17">
        <f>IF(AND(K524&lt;&gt;"",H524&gt;0),(H524-K524)/H524,"")</f>
        <v/>
      </c>
      <c r="R524" s="14" t="inlineStr">
        <is>
          <t>492047266168992</t>
        </is>
      </c>
      <c r="S524" s="18" t="n">
        <v>46248</v>
      </c>
      <c r="T524" s="18" t="n">
        <v>46249</v>
      </c>
      <c r="U524" s="14" t="inlineStr">
        <is>
          <t>101253</t>
        </is>
      </c>
      <c r="W524" t="inlineStr">
        <is>
          <t>ambíguo: 213998 (68%) vs 213997</t>
        </is>
      </c>
      <c r="X524" t="n">
        <v>22</v>
      </c>
      <c r="Y524" t="inlineStr"/>
    </row>
    <row r="525" ht="15" customFormat="1" customHeight="1" s="19">
      <c r="A525" s="19" t="inlineStr">
        <is>
          <t>Jacartta</t>
        </is>
      </c>
      <c r="B525" s="19" t="inlineStr">
        <is>
          <t>Kit 20/30/50 Unidades De Cabides Veludo Para Roupas Adulto Fino Resistente</t>
        </is>
      </c>
      <c r="C525" s="19" t="inlineStr">
        <is>
          <t>Preto,20 UNIDADES</t>
        </is>
      </c>
      <c r="D525" s="19" t="inlineStr">
        <is>
          <t>KIT-20-CAB-VEL-PT</t>
        </is>
      </c>
      <c r="E525" s="19" t="inlineStr">
        <is>
          <t>23394521918</t>
        </is>
      </c>
      <c r="F525" s="19" t="inlineStr">
        <is>
          <t>159788726151</t>
        </is>
      </c>
      <c r="G525" s="19" t="inlineStr">
        <is>
          <t>NORMAL</t>
        </is>
      </c>
      <c r="H525" s="20" t="n">
        <v>99.90000000000001</v>
      </c>
      <c r="I525" s="20" t="n">
        <v>34.48</v>
      </c>
      <c r="J525" s="21" t="inlineStr">
        <is>
          <t>SIM</t>
        </is>
      </c>
      <c r="K525" s="20" t="n">
        <v>34.48</v>
      </c>
      <c r="L525" s="35">
        <f>IF(K525&lt;&gt;"",K525,I525)</f>
        <v/>
      </c>
      <c r="M525" s="81" t="n">
        <v>20</v>
      </c>
      <c r="N525" s="82" t="n">
        <v>0.59</v>
      </c>
      <c r="O525" s="80">
        <f>ROUND(M525*N525,2)</f>
        <v/>
      </c>
      <c r="P525" s="80">
        <f>IF($O525="","",L525-O525-(L525*IF(L525&lt;=79.99,20%,14%)+IF(L525&lt;=79.99,4,IF(L525&lt;=99.99,16,IF(L525&lt;=199.99,20,IF(L525&lt;=499.99,26,28)))))-L525*1.3%-L525*6%-(L525-O525)*9.25%-L525*3%-L525*3%-1)</f>
        <v/>
      </c>
      <c r="Q525" s="22">
        <f>IF(AND(K525&lt;&gt;"",H525&gt;0),(H525-K525)/H525,"")</f>
        <v/>
      </c>
      <c r="R525" s="19" t="inlineStr">
        <is>
          <t>492047266168992</t>
        </is>
      </c>
      <c r="S525" s="23" t="n">
        <v>46248</v>
      </c>
      <c r="T525" s="23" t="n">
        <v>46249</v>
      </c>
      <c r="U525" s="19" t="inlineStr">
        <is>
          <t>101253</t>
        </is>
      </c>
      <c r="V525" t="inlineStr">
        <is>
          <t>213997</t>
        </is>
      </c>
      <c r="W525" t="inlineStr">
        <is>
          <t>venda casada (86 pedidos) · custo do KIT 214005 (20× 213997)</t>
        </is>
      </c>
      <c r="X525" t="n">
        <v>86</v>
      </c>
      <c r="Y525" t="inlineStr">
        <is>
          <t>ok</t>
        </is>
      </c>
    </row>
    <row r="526" ht="15" customFormat="1" customHeight="1" s="14">
      <c r="A526" s="14" t="inlineStr">
        <is>
          <t>Jacartta</t>
        </is>
      </c>
      <c r="B526" s="14" t="inlineStr">
        <is>
          <t>Kit 20/30/50 Unidades De Cabides Veludo Para Roupas Adulto Fino Resistente</t>
        </is>
      </c>
      <c r="C526" s="14" t="inlineStr">
        <is>
          <t>Preto,30 UNIDADES</t>
        </is>
      </c>
      <c r="D526" s="14" t="inlineStr">
        <is>
          <t>KIT-30-CAB-VEL-PT</t>
        </is>
      </c>
      <c r="E526" s="14" t="inlineStr">
        <is>
          <t>23394521918</t>
        </is>
      </c>
      <c r="F526" s="14" t="inlineStr">
        <is>
          <t>159788726157</t>
        </is>
      </c>
      <c r="G526" s="14" t="inlineStr">
        <is>
          <t>NORMAL</t>
        </is>
      </c>
      <c r="H526" s="15" t="n">
        <v>99.90000000000001</v>
      </c>
      <c r="I526" s="15" t="n">
        <v>44.88</v>
      </c>
      <c r="J526" s="16" t="inlineStr">
        <is>
          <t>SIM</t>
        </is>
      </c>
      <c r="K526" s="15" t="n">
        <v>44.88</v>
      </c>
      <c r="L526" s="35">
        <f>IF(K526&lt;&gt;"",K526,I526)</f>
        <v/>
      </c>
      <c r="M526" s="84" t="n">
        <v>30</v>
      </c>
      <c r="N526" s="85" t="n">
        <v>0.59</v>
      </c>
      <c r="O526" s="80">
        <f>ROUND(M526*N526,2)</f>
        <v/>
      </c>
      <c r="P526" s="80">
        <f>IF($O526="","",L526-O526-(L526*IF(L526&lt;=79.99,20%,14%)+IF(L526&lt;=79.99,4,IF(L526&lt;=99.99,16,IF(L526&lt;=199.99,20,IF(L526&lt;=499.99,26,28)))))-L526*1.3%-L526*6%-(L526-O526)*9.25%-L526*3%-L526*3%-1)</f>
        <v/>
      </c>
      <c r="Q526" s="17">
        <f>IF(AND(K526&lt;&gt;"",H526&gt;0),(H526-K526)/H526,"")</f>
        <v/>
      </c>
      <c r="R526" s="14" t="inlineStr">
        <is>
          <t>492047266168992</t>
        </is>
      </c>
      <c r="S526" s="18" t="n">
        <v>46248</v>
      </c>
      <c r="T526" s="18" t="n">
        <v>46249</v>
      </c>
      <c r="U526" s="14" t="inlineStr">
        <is>
          <t>101253</t>
        </is>
      </c>
      <c r="V526" t="inlineStr">
        <is>
          <t>213997</t>
        </is>
      </c>
      <c r="W526" t="inlineStr">
        <is>
          <t>venda casada (78 pedidos) · custo do KIT 214009 (30× 213997)</t>
        </is>
      </c>
      <c r="X526" t="n">
        <v>78</v>
      </c>
      <c r="Y526" t="inlineStr">
        <is>
          <t>ok</t>
        </is>
      </c>
    </row>
    <row r="527" ht="15" customFormat="1" customHeight="1" s="19">
      <c r="A527" s="19" t="inlineStr">
        <is>
          <t>Jacartta</t>
        </is>
      </c>
      <c r="B527" s="19" t="inlineStr">
        <is>
          <t>Kit 20/30/50 Unidades De Cabides Veludo Para Roupas Adulto Fino Resistente</t>
        </is>
      </c>
      <c r="C527" s="19" t="inlineStr">
        <is>
          <t>Preto,50 UNIDADES</t>
        </is>
      </c>
      <c r="D527" s="19" t="inlineStr">
        <is>
          <t>KIT-50-CAB-VEL-PT</t>
        </is>
      </c>
      <c r="E527" s="19" t="inlineStr">
        <is>
          <t>23394521918</t>
        </is>
      </c>
      <c r="F527" s="19" t="inlineStr">
        <is>
          <t>366043696181</t>
        </is>
      </c>
      <c r="G527" s="19" t="inlineStr">
        <is>
          <t>NORMAL</t>
        </is>
      </c>
      <c r="H527" s="20" t="n">
        <v>99.90000000000001</v>
      </c>
      <c r="I527" s="20" t="n">
        <v>62.49</v>
      </c>
      <c r="J527" s="21" t="inlineStr">
        <is>
          <t>SIM</t>
        </is>
      </c>
      <c r="K527" s="20" t="n">
        <v>62.49</v>
      </c>
      <c r="L527" s="35">
        <f>IF(K527&lt;&gt;"",K527,I527)</f>
        <v/>
      </c>
      <c r="M527" s="81" t="n">
        <v>50</v>
      </c>
      <c r="N527" s="82" t="n">
        <v>0.59</v>
      </c>
      <c r="O527" s="80">
        <f>ROUND(M527*N527,2)</f>
        <v/>
      </c>
      <c r="P527" s="80">
        <f>IF($O527="","",L527-O527-(L527*IF(L527&lt;=79.99,20%,14%)+IF(L527&lt;=79.99,4,IF(L527&lt;=99.99,16,IF(L527&lt;=199.99,20,IF(L527&lt;=499.99,26,28)))))-L527*1.3%-L527*6%-(L527-O527)*9.25%-L527*3%-L527*3%-1)</f>
        <v/>
      </c>
      <c r="Q527" s="22">
        <f>IF(AND(K527&lt;&gt;"",H527&gt;0),(H527-K527)/H527,"")</f>
        <v/>
      </c>
      <c r="R527" s="19" t="inlineStr">
        <is>
          <t>492047266168992</t>
        </is>
      </c>
      <c r="S527" s="23" t="n">
        <v>46248</v>
      </c>
      <c r="T527" s="23" t="n">
        <v>46249</v>
      </c>
      <c r="U527" s="19" t="inlineStr">
        <is>
          <t>101253</t>
        </is>
      </c>
      <c r="V527" t="inlineStr">
        <is>
          <t>213997</t>
        </is>
      </c>
      <c r="W527" t="inlineStr">
        <is>
          <t>venda casada (71 pedidos) · custo do KIT 214013 (50× 213997)</t>
        </is>
      </c>
      <c r="X527" t="n">
        <v>71</v>
      </c>
      <c r="Y527" t="inlineStr">
        <is>
          <t>ok</t>
        </is>
      </c>
    </row>
    <row r="528" ht="15" customFormat="1" customHeight="1" s="14">
      <c r="A528" s="19" t="inlineStr">
        <is>
          <t>Jacartta</t>
        </is>
      </c>
      <c r="B528" s="19" t="inlineStr">
        <is>
          <t>Kit 21 Cabides De Madeira Premium Marfim Para Roupas Calça Gancho Cromado</t>
        </is>
      </c>
      <c r="C528" s="19" t="inlineStr">
        <is>
          <t>KIT 12 PEÇAS</t>
        </is>
      </c>
      <c r="D528" s="19" t="inlineStr">
        <is>
          <t>KIT12-CAB-MADEIRA</t>
        </is>
      </c>
      <c r="E528" s="19" t="inlineStr">
        <is>
          <t>58252742642</t>
        </is>
      </c>
      <c r="F528" s="19" t="inlineStr">
        <is>
          <t>219183988461</t>
        </is>
      </c>
      <c r="G528" s="19" t="inlineStr">
        <is>
          <t>NORMAL</t>
        </is>
      </c>
      <c r="H528" s="20" t="n">
        <v>99.90000000000001</v>
      </c>
      <c r="I528" s="20" t="n">
        <v>69.90000000000001</v>
      </c>
      <c r="J528" s="21" t="inlineStr">
        <is>
          <t>SIM</t>
        </is>
      </c>
      <c r="K528" s="20" t="n">
        <v>69.90000000000001</v>
      </c>
      <c r="L528" s="35">
        <f>IF(K528&lt;&gt;"",K528,I528)</f>
        <v/>
      </c>
      <c r="M528" s="81" t="n">
        <v>12</v>
      </c>
      <c r="N528" s="82" t="n">
        <v>2.01</v>
      </c>
      <c r="O528" s="80">
        <f>ROUND(M528*N528,2)</f>
        <v/>
      </c>
      <c r="P528" s="80">
        <f>IF($O528="","",L528-O528-(L528*IF(L528&lt;=79.99,20%,14%)+IF(L528&lt;=79.99,4,IF(L528&lt;=99.99,16,IF(L528&lt;=199.99,20,IF(L528&lt;=499.99,26,28)))))-L528*1.3%-L528*6%-(L528-O528)*9.25%-L528*3%-L528*3%-1)</f>
        <v/>
      </c>
      <c r="Q528" s="22">
        <f>IF(AND(K528&lt;&gt;"",H528&gt;0),(H528-K528)/H528,"")</f>
        <v/>
      </c>
      <c r="R528" s="19" t="inlineStr">
        <is>
          <t>478386871025791</t>
        </is>
      </c>
      <c r="S528" s="23" t="n">
        <v>46209.64583333334</v>
      </c>
      <c r="T528" s="23" t="n">
        <v>46326.99930555555</v>
      </c>
      <c r="U528" s="19" t="inlineStr">
        <is>
          <t>101253</t>
        </is>
      </c>
      <c r="V528" t="inlineStr">
        <is>
          <t>213176</t>
        </is>
      </c>
      <c r="W528" t="inlineStr">
        <is>
          <t>venda casada (3 pedidos) · custo do KIT 214053 (12× 213176)</t>
        </is>
      </c>
      <c r="X528" t="n">
        <v>3</v>
      </c>
      <c r="Y528" t="inlineStr">
        <is>
          <t>ok</t>
        </is>
      </c>
    </row>
    <row r="529" ht="15" customFormat="1" customHeight="1" s="19">
      <c r="A529" s="14" t="inlineStr">
        <is>
          <t>Jacartta</t>
        </is>
      </c>
      <c r="B529" s="14" t="inlineStr">
        <is>
          <t>Kit 21 Cabides De Madeira Premium Marfim Para Roupas Calça Gancho Cromado</t>
        </is>
      </c>
      <c r="C529" s="14" t="inlineStr">
        <is>
          <t>KIT 21 PEÇAS</t>
        </is>
      </c>
      <c r="D529" s="14" t="inlineStr">
        <is>
          <t>KIT21-CAB-MADEIRA</t>
        </is>
      </c>
      <c r="E529" s="14" t="inlineStr">
        <is>
          <t>58252742642</t>
        </is>
      </c>
      <c r="F529" s="14" t="inlineStr">
        <is>
          <t>219183988462</t>
        </is>
      </c>
      <c r="G529" s="14" t="inlineStr">
        <is>
          <t>NORMAL</t>
        </is>
      </c>
      <c r="H529" s="15" t="n">
        <v>99.90000000000001</v>
      </c>
      <c r="I529" s="15" t="n">
        <v>94.90000000000001</v>
      </c>
      <c r="J529" s="16" t="inlineStr">
        <is>
          <t>SIM</t>
        </is>
      </c>
      <c r="K529" s="15" t="n">
        <v>94.90000000000001</v>
      </c>
      <c r="L529" s="35">
        <f>IF(K529&lt;&gt;"",K529,I529)</f>
        <v/>
      </c>
      <c r="M529" s="84" t="n">
        <v>21</v>
      </c>
      <c r="N529" s="85" t="n">
        <v>2.01</v>
      </c>
      <c r="O529" s="80">
        <f>ROUND(M529*N529,2)</f>
        <v/>
      </c>
      <c r="P529" s="80">
        <f>IF($O529="","",L529-O529-(L529*IF(L529&lt;=79.99,20%,14%)+IF(L529&lt;=79.99,4,IF(L529&lt;=99.99,16,IF(L529&lt;=199.99,20,IF(L529&lt;=499.99,26,28)))))-L529*1.3%-L529*6%-(L529-O529)*9.25%-L529*3%-L529*3%-1)</f>
        <v/>
      </c>
      <c r="Q529" s="17">
        <f>IF(AND(K529&lt;&gt;"",H529&gt;0),(H529-K529)/H529,"")</f>
        <v/>
      </c>
      <c r="R529" s="14" t="inlineStr">
        <is>
          <t>478386871025791</t>
        </is>
      </c>
      <c r="S529" s="18" t="n">
        <v>46209.64583333334</v>
      </c>
      <c r="T529" s="18" t="n">
        <v>46326.99930555555</v>
      </c>
      <c r="U529" s="14" t="inlineStr">
        <is>
          <t>101253</t>
        </is>
      </c>
      <c r="V529" t="inlineStr">
        <is>
          <t>213176</t>
        </is>
      </c>
      <c r="W529" t="inlineStr">
        <is>
          <t>venda casada (6 pedidos) · custo do KIT 214054 (21× 213176)</t>
        </is>
      </c>
      <c r="X529" t="n">
        <v>6</v>
      </c>
      <c r="Y529" t="inlineStr">
        <is>
          <t>ok</t>
        </is>
      </c>
    </row>
    <row r="530" ht="15" customFormat="1" customHeight="1" s="14">
      <c r="A530" s="19" t="inlineStr">
        <is>
          <t>Jacartta</t>
        </is>
      </c>
      <c r="B530" s="19" t="inlineStr">
        <is>
          <t>Kit 21 Cabides De Madeira Premium Marfim Para Roupas Calça Gancho Cromado</t>
        </is>
      </c>
      <c r="C530" s="19" t="inlineStr">
        <is>
          <t>KIT 6 PEÇAS</t>
        </is>
      </c>
      <c r="D530" s="19" t="inlineStr">
        <is>
          <t>KIT6-CAB-MADEIRA</t>
        </is>
      </c>
      <c r="E530" s="19" t="inlineStr">
        <is>
          <t>58252742642</t>
        </is>
      </c>
      <c r="F530" s="19" t="inlineStr">
        <is>
          <t>219183988460</t>
        </is>
      </c>
      <c r="G530" s="19" t="inlineStr">
        <is>
          <t>NORMAL</t>
        </is>
      </c>
      <c r="H530" s="20" t="n">
        <v>99.90000000000001</v>
      </c>
      <c r="I530" s="20" t="n">
        <v>34.9</v>
      </c>
      <c r="J530" s="21" t="inlineStr">
        <is>
          <t>SIM</t>
        </is>
      </c>
      <c r="K530" s="20" t="n">
        <v>34.9</v>
      </c>
      <c r="L530" s="35">
        <f>IF(K530&lt;&gt;"",K530,I530)</f>
        <v/>
      </c>
      <c r="M530" s="81" t="n">
        <v>6</v>
      </c>
      <c r="N530" s="82" t="n">
        <v>2.01</v>
      </c>
      <c r="O530" s="80">
        <f>ROUND(M530*N530,2)</f>
        <v/>
      </c>
      <c r="P530" s="80">
        <f>IF($O530="","",L530-O530-(L530*IF(L530&lt;=79.99,20%,14%)+IF(L530&lt;=79.99,4,IF(L530&lt;=99.99,16,IF(L530&lt;=199.99,20,IF(L530&lt;=499.99,26,28)))))-L530*1.3%-L530*6%-(L530-O530)*9.25%-L530*3%-L530*3%-1)</f>
        <v/>
      </c>
      <c r="Q530" s="22">
        <f>IF(AND(K530&lt;&gt;"",H530&gt;0),(H530-K530)/H530,"")</f>
        <v/>
      </c>
      <c r="R530" s="19" t="inlineStr">
        <is>
          <t>478386871025791</t>
        </is>
      </c>
      <c r="S530" s="23" t="n">
        <v>46209.64583333334</v>
      </c>
      <c r="T530" s="23" t="n">
        <v>46326.99930555555</v>
      </c>
      <c r="U530" s="19" t="inlineStr">
        <is>
          <t>101253</t>
        </is>
      </c>
      <c r="V530" t="inlineStr">
        <is>
          <t>213176</t>
        </is>
      </c>
      <c r="W530" t="inlineStr">
        <is>
          <t>venda casada (11 pedidos) · custo do KIT 214052 (6× 213176)</t>
        </is>
      </c>
      <c r="X530" t="n">
        <v>11</v>
      </c>
      <c r="Y530" t="inlineStr">
        <is>
          <t>ok</t>
        </is>
      </c>
    </row>
    <row r="531" ht="15" customFormat="1" customHeight="1" s="19">
      <c r="A531" s="14" t="inlineStr">
        <is>
          <t>Espaço De Bicho</t>
        </is>
      </c>
      <c r="B531" s="14" t="inlineStr">
        <is>
          <t>Kit 3 Areia Sanitária Higiênica Biodegradável Grãos Finos Milho e Mandioca (100% Natural)</t>
        </is>
      </c>
      <c r="C531" s="14" t="inlineStr">
        <is>
          <t>Grãos Finos</t>
        </is>
      </c>
      <c r="D531" s="14" t="inlineStr">
        <is>
          <t>KIT3-AREIA-EDB-4KG-GF</t>
        </is>
      </c>
      <c r="E531" s="14" t="inlineStr">
        <is>
          <t>23999315521</t>
        </is>
      </c>
      <c r="F531" s="14" t="inlineStr">
        <is>
          <t>179413325548</t>
        </is>
      </c>
      <c r="G531" s="14" t="inlineStr">
        <is>
          <t>NORMAL</t>
        </is>
      </c>
      <c r="H531" s="15" t="n">
        <v>150.9</v>
      </c>
      <c r="I531" s="15" t="n">
        <v>149.9</v>
      </c>
      <c r="J531" s="16" t="inlineStr">
        <is>
          <t>SIM</t>
        </is>
      </c>
      <c r="K531" s="15" t="n">
        <v>149.9</v>
      </c>
      <c r="L531" s="35">
        <f>IF(K531&lt;&gt;"",K531,I531)</f>
        <v/>
      </c>
      <c r="M531" s="33" t="n">
        <v>3</v>
      </c>
      <c r="N531" s="30" t="n">
        <v>22.36</v>
      </c>
      <c r="O531" s="31">
        <f>N531*M531</f>
        <v/>
      </c>
      <c r="P531" s="80">
        <f>IF($O531="","",L531-O531-(L531*IF(L531&lt;=79.99,20%,14%)+IF(L531&lt;=79.99,4,IF(L531&lt;=99.99,16,IF(L531&lt;=199.99,20,IF(L531&lt;=499.99,26,28)))))-L531*1.3%-L531*6%-(L531-O531)*9.25%-L531*3%-L531*3%-1)</f>
        <v/>
      </c>
      <c r="Q531" s="17">
        <f>IF(AND(K531&lt;&gt;"",H531&gt;0),(H531-K531)/H531,"")</f>
        <v/>
      </c>
      <c r="R531" s="14" t="inlineStr">
        <is>
          <t>488116129583228</t>
        </is>
      </c>
      <c r="S531" s="18" t="n">
        <v>46236.5</v>
      </c>
      <c r="T531" s="18" t="n">
        <v>46360.99930555555</v>
      </c>
      <c r="U531" s="14" t="inlineStr">
        <is>
          <t>100923</t>
        </is>
      </c>
      <c r="V531" t="inlineStr">
        <is>
          <t>215511</t>
        </is>
      </c>
      <c r="W531" t="inlineStr">
        <is>
          <t>venda casada (23 pedidos) · QTD/custo manuais mantidos · ATENÇÃO: Olist hoje diz 28.27</t>
        </is>
      </c>
      <c r="X531" t="n">
        <v>23</v>
      </c>
      <c r="Y531" t="inlineStr">
        <is>
          <t>ok</t>
        </is>
      </c>
    </row>
    <row r="532" ht="15" customFormat="1" customHeight="1" s="14">
      <c r="A532" s="14" t="inlineStr">
        <is>
          <t>Jacartta</t>
        </is>
      </c>
      <c r="B532" s="14" t="inlineStr">
        <is>
          <t>Kit 3 Areia Sanitária Higiênica Biodegradável Grãos Finos Milho e Mandioca Espaço De Bicho</t>
        </is>
      </c>
      <c r="C532" s="14" t="inlineStr">
        <is>
          <t>Grãos Grossos</t>
        </is>
      </c>
      <c r="D532" s="14" t="inlineStr">
        <is>
          <t>KIT3-AREIA-EDB-4KG-GG</t>
        </is>
      </c>
      <c r="E532" s="14" t="inlineStr">
        <is>
          <t>58204492547</t>
        </is>
      </c>
      <c r="F532" s="14" t="inlineStr">
        <is>
          <t>179413325543</t>
        </is>
      </c>
      <c r="G532" s="14" t="inlineStr">
        <is>
          <t>NORMAL</t>
        </is>
      </c>
      <c r="H532" s="15" t="n">
        <v>150.9</v>
      </c>
      <c r="I532" s="15" t="n">
        <v>150.9</v>
      </c>
      <c r="J532" s="16" t="inlineStr">
        <is>
          <t>NÃO</t>
        </is>
      </c>
      <c r="K532" s="15" t="n"/>
      <c r="L532" s="35">
        <f>IF(K532&lt;&gt;"",K532,I532)</f>
        <v/>
      </c>
      <c r="M532" s="84" t="n">
        <v>3</v>
      </c>
      <c r="N532" s="85" t="n">
        <v>22.36</v>
      </c>
      <c r="O532" s="80">
        <f>ROUND(M532*N532,2)</f>
        <v/>
      </c>
      <c r="P532" s="80">
        <f>IF($O532="","",L532-O532-(L532*IF(L532&lt;=79.99,20%,14%)+IF(L532&lt;=79.99,4,IF(L532&lt;=99.99,16,IF(L532&lt;=199.99,20,IF(L532&lt;=499.99,26,28)))))-L532*1.3%-L532*6%-(L532-O532)*9.25%-L532*3%-L532*3%-1)</f>
        <v/>
      </c>
      <c r="Q532" s="17">
        <f>IF(AND(K532&lt;&gt;"",H532&gt;0),(H532-K532)/H532,"")</f>
        <v/>
      </c>
      <c r="R532" s="14" t="inlineStr"/>
      <c r="S532" s="18" t="n"/>
      <c r="T532" s="18" t="n"/>
      <c r="U532" s="14" t="inlineStr">
        <is>
          <t>100923</t>
        </is>
      </c>
      <c r="V532" t="inlineStr">
        <is>
          <t>215512</t>
        </is>
      </c>
      <c r="W532" t="inlineStr">
        <is>
          <t>venda casada (2 pedidos) · custo do KIT 215521 (3× 215512)</t>
        </is>
      </c>
      <c r="X532" t="n">
        <v>2</v>
      </c>
      <c r="Y532" t="inlineStr">
        <is>
          <t>ok</t>
        </is>
      </c>
    </row>
    <row r="533" ht="15" customFormat="1" customHeight="1" s="19">
      <c r="A533" s="19" t="inlineStr">
        <is>
          <t>Jacartta</t>
        </is>
      </c>
      <c r="B533" s="19" t="inlineStr">
        <is>
          <t>Kit 3 Areia Sanitária Higiênica Biodegradável Grãos Finos Milho e Mandioca Espaço De Bicho</t>
        </is>
      </c>
      <c r="C533" s="19" t="inlineStr">
        <is>
          <t>Grãos Mistos</t>
        </is>
      </c>
      <c r="D533" s="19" t="inlineStr">
        <is>
          <t>KIT3-AREIA-EDB-4KG-GM</t>
        </is>
      </c>
      <c r="E533" s="19" t="inlineStr">
        <is>
          <t>58204492547</t>
        </is>
      </c>
      <c r="F533" s="19" t="inlineStr">
        <is>
          <t>436298960971</t>
        </is>
      </c>
      <c r="G533" s="19" t="inlineStr">
        <is>
          <t>NORMAL</t>
        </is>
      </c>
      <c r="H533" s="20" t="n">
        <v>150.9</v>
      </c>
      <c r="I533" s="20" t="n">
        <v>150.9</v>
      </c>
      <c r="J533" s="21" t="inlineStr">
        <is>
          <t>NÃO</t>
        </is>
      </c>
      <c r="K533" s="20" t="n"/>
      <c r="L533" s="35">
        <f>IF(K533&lt;&gt;"",K533,I533)</f>
        <v/>
      </c>
      <c r="M533" s="81" t="n">
        <v>3</v>
      </c>
      <c r="N533" s="82" t="n">
        <v>22.36</v>
      </c>
      <c r="O533" s="83">
        <f>ROUND(M533*N533,2)</f>
        <v/>
      </c>
      <c r="P533" s="80">
        <f>IF($O533="","",L533-O533-(L533*IF(L533&lt;=79.99,20%,14%)+IF(L533&lt;=79.99,4,IF(L533&lt;=99.99,16,IF(L533&lt;=199.99,20,IF(L533&lt;=499.99,26,28)))))-L533*1.3%-L533*6%-(L533-O533)*9.25%-L533*3%-L533*3%-1)</f>
        <v/>
      </c>
      <c r="Q533" s="22">
        <f>IF(AND(K533&lt;&gt;"",H533&gt;0),(H533-K533)/H533,"")</f>
        <v/>
      </c>
      <c r="R533" s="19" t="inlineStr"/>
      <c r="S533" s="23" t="n"/>
      <c r="T533" s="23" t="n"/>
      <c r="U533" s="19" t="inlineStr">
        <is>
          <t>100923</t>
        </is>
      </c>
      <c r="V533" t="inlineStr">
        <is>
          <t>216211</t>
        </is>
      </c>
      <c r="W533" t="inlineStr">
        <is>
          <t>venda casada (1 pedido) · custo do KIT 216214 (3× 216211)</t>
        </is>
      </c>
      <c r="X533" t="n">
        <v>1</v>
      </c>
      <c r="Y533" t="inlineStr">
        <is>
          <t>⚠ evidência fraca (1 pedido)</t>
        </is>
      </c>
    </row>
    <row r="534" ht="15" customFormat="1" customHeight="1" s="14">
      <c r="A534" s="19" t="inlineStr">
        <is>
          <t>Jacartta</t>
        </is>
      </c>
      <c r="B534" s="19" t="inlineStr">
        <is>
          <t>Kit 4 Areia Higiênica Biodegradável Espaço De Bicho Grãos Finos Milho e Mandioca (100% Natural)</t>
        </is>
      </c>
      <c r="C534" s="19" t="inlineStr">
        <is>
          <t>Grãos Finos</t>
        </is>
      </c>
      <c r="D534" s="19" t="inlineStr">
        <is>
          <t>KIT4-AREIA-EDB-4KG-GF</t>
        </is>
      </c>
      <c r="E534" s="19" t="inlineStr">
        <is>
          <t>58254481687</t>
        </is>
      </c>
      <c r="F534" s="19" t="inlineStr">
        <is>
          <t>238800511110</t>
        </is>
      </c>
      <c r="G534" s="19" t="inlineStr">
        <is>
          <t>NORMAL</t>
        </is>
      </c>
      <c r="H534" s="20" t="n">
        <v>199.9</v>
      </c>
      <c r="I534" s="20" t="n">
        <v>199.9</v>
      </c>
      <c r="J534" s="21" t="inlineStr">
        <is>
          <t>NÃO</t>
        </is>
      </c>
      <c r="K534" s="20" t="n"/>
      <c r="L534" s="35">
        <f>IF(K534&lt;&gt;"",K534,I534)</f>
        <v/>
      </c>
      <c r="M534" s="81" t="n">
        <v>4</v>
      </c>
      <c r="N534" s="82" t="n">
        <v>28.27</v>
      </c>
      <c r="O534" s="83">
        <f>ROUND(M534*N534,2)</f>
        <v/>
      </c>
      <c r="P534" s="80">
        <f>IF($O534="","",L534-O534-(L534*IF(L534&lt;=79.99,20%,14%)+IF(L534&lt;=79.99,4,IF(L534&lt;=99.99,16,IF(L534&lt;=199.99,20,IF(L534&lt;=499.99,26,28)))))-L534*1.3%-L534*6%-(L534-O534)*9.25%-L534*3%-L534*3%-1)</f>
        <v/>
      </c>
      <c r="Q534" s="22">
        <f>IF(AND(K534&lt;&gt;"",H534&gt;0),(H534-K534)/H534,"")</f>
        <v/>
      </c>
      <c r="R534" s="19" t="inlineStr"/>
      <c r="S534" s="23" t="n"/>
      <c r="T534" s="23" t="n"/>
      <c r="U534" s="19" t="inlineStr">
        <is>
          <t>100923</t>
        </is>
      </c>
      <c r="V534" t="inlineStr">
        <is>
          <t>215511</t>
        </is>
      </c>
      <c r="W534" t="inlineStr">
        <is>
          <t>venda casada (13 pedidos) · custo do KIT 215517 (4× 215511)</t>
        </is>
      </c>
      <c r="X534" t="n">
        <v>13</v>
      </c>
      <c r="Y534" t="inlineStr">
        <is>
          <t>ok</t>
        </is>
      </c>
    </row>
    <row r="535" ht="15" customFormat="1" customHeight="1" s="19">
      <c r="A535" s="14" t="inlineStr">
        <is>
          <t>Jacartta</t>
        </is>
      </c>
      <c r="B535" s="14" t="inlineStr">
        <is>
          <t>Kit 4 Areia Higiênica Biodegradável Espaço De Bicho Grãos Finos Milho e Mandioca (100% Natural)</t>
        </is>
      </c>
      <c r="C535" s="14" t="inlineStr">
        <is>
          <t>Grãos Grossos</t>
        </is>
      </c>
      <c r="D535" s="14" t="inlineStr">
        <is>
          <t>KIT4-AREIA-EDB-4KG-GG</t>
        </is>
      </c>
      <c r="E535" s="14" t="inlineStr">
        <is>
          <t>58254481687</t>
        </is>
      </c>
      <c r="F535" s="14" t="inlineStr">
        <is>
          <t>238800511111</t>
        </is>
      </c>
      <c r="G535" s="14" t="inlineStr">
        <is>
          <t>NORMAL</t>
        </is>
      </c>
      <c r="H535" s="15" t="n">
        <v>199.9</v>
      </c>
      <c r="I535" s="15" t="n">
        <v>199.9</v>
      </c>
      <c r="J535" s="16" t="inlineStr">
        <is>
          <t>NÃO</t>
        </is>
      </c>
      <c r="K535" s="15" t="n"/>
      <c r="L535" s="35">
        <f>IF(K535&lt;&gt;"",K535,I535)</f>
        <v/>
      </c>
      <c r="M535" s="84" t="n">
        <v>4</v>
      </c>
      <c r="N535" s="85" t="n">
        <v>22.36</v>
      </c>
      <c r="O535" s="80">
        <f>ROUND(M535*N535,2)</f>
        <v/>
      </c>
      <c r="P535" s="80">
        <f>IF($O535="","",L535-O535-(L535*IF(L535&lt;=79.99,20%,14%)+IF(L535&lt;=79.99,4,IF(L535&lt;=99.99,16,IF(L535&lt;=199.99,20,IF(L535&lt;=499.99,26,28)))))-L535*1.3%-L535*6%-(L535-O535)*9.25%-L535*3%-L535*3%-1)</f>
        <v/>
      </c>
      <c r="Q535" s="17">
        <f>IF(AND(K535&lt;&gt;"",H535&gt;0),(H535-K535)/H535,"")</f>
        <v/>
      </c>
      <c r="R535" s="14" t="inlineStr"/>
      <c r="S535" s="18" t="n"/>
      <c r="T535" s="18" t="n"/>
      <c r="U535" s="14" t="inlineStr">
        <is>
          <t>100923</t>
        </is>
      </c>
      <c r="V535" t="inlineStr">
        <is>
          <t>215512</t>
        </is>
      </c>
      <c r="W535" t="inlineStr">
        <is>
          <t>venda casada (2 pedidos) · custo do KIT 215522 (4× 215512)</t>
        </is>
      </c>
      <c r="X535" t="n">
        <v>2</v>
      </c>
      <c r="Y535" t="inlineStr">
        <is>
          <t>ok</t>
        </is>
      </c>
    </row>
    <row r="536" ht="15" customFormat="1" customHeight="1" s="14">
      <c r="A536" s="19" t="inlineStr">
        <is>
          <t>Jacartta</t>
        </is>
      </c>
      <c r="B536" s="19" t="inlineStr">
        <is>
          <t>Kit 4 Areia Higiênica Biodegradável Espaço De Bicho Grãos Finos Milho e Mandioca (100% Natural)</t>
        </is>
      </c>
      <c r="C536" s="19" t="inlineStr">
        <is>
          <t>Grãos Mistos</t>
        </is>
      </c>
      <c r="D536" s="19" t="inlineStr">
        <is>
          <t>KIT4-AREIA-EDB-4KG-GM</t>
        </is>
      </c>
      <c r="E536" s="19" t="inlineStr">
        <is>
          <t>58254481687</t>
        </is>
      </c>
      <c r="F536" s="19" t="inlineStr">
        <is>
          <t>331298958831</t>
        </is>
      </c>
      <c r="G536" s="19" t="inlineStr">
        <is>
          <t>NORMAL</t>
        </is>
      </c>
      <c r="H536" s="20" t="n">
        <v>199.9</v>
      </c>
      <c r="I536" s="20" t="n">
        <v>199.9</v>
      </c>
      <c r="J536" s="21" t="inlineStr">
        <is>
          <t>NÃO</t>
        </is>
      </c>
      <c r="K536" s="20" t="n"/>
      <c r="L536" s="35">
        <f>IF(K536&lt;&gt;"",K536,I536)</f>
        <v/>
      </c>
      <c r="M536" s="81" t="n">
        <v>4</v>
      </c>
      <c r="N536" s="82" t="n">
        <v>22.36</v>
      </c>
      <c r="O536" s="83">
        <f>ROUND(M536*N536,2)</f>
        <v/>
      </c>
      <c r="P536" s="80">
        <f>IF($O536="","",L536-O536-(L536*IF(L536&lt;=79.99,20%,14%)+IF(L536&lt;=79.99,4,IF(L536&lt;=99.99,16,IF(L536&lt;=199.99,20,IF(L536&lt;=499.99,26,28)))))-L536*1.3%-L536*6%-(L536-O536)*9.25%-L536*3%-L536*3%-1)</f>
        <v/>
      </c>
      <c r="Q536" s="22">
        <f>IF(AND(K536&lt;&gt;"",H536&gt;0),(H536-K536)/H536,"")</f>
        <v/>
      </c>
      <c r="R536" s="19" t="inlineStr"/>
      <c r="S536" s="23" t="n"/>
      <c r="T536" s="23" t="n"/>
      <c r="U536" s="19" t="inlineStr">
        <is>
          <t>100923</t>
        </is>
      </c>
      <c r="V536" t="inlineStr">
        <is>
          <t>216211</t>
        </is>
      </c>
      <c r="W536" t="inlineStr">
        <is>
          <t>venda casada (1 pedido) · custo do KIT 216215 (4× 216211)</t>
        </is>
      </c>
      <c r="X536" t="n">
        <v>1</v>
      </c>
      <c r="Y536" t="inlineStr">
        <is>
          <t>⚠ evidência fraca (1 pedido)</t>
        </is>
      </c>
    </row>
    <row r="537" ht="15" customFormat="1" customHeight="1" s="19">
      <c r="A537" s="14" t="inlineStr">
        <is>
          <t>Espaço De Bicho</t>
        </is>
      </c>
      <c r="B537" s="14" t="inlineStr">
        <is>
          <t>Kit 3 Areia Sanitária Higiênica Biodegradável Grãos Finos Milho e Mandioca (100% Natural)</t>
        </is>
      </c>
      <c r="C537" s="14" t="inlineStr">
        <is>
          <t>Grãos Mistos</t>
        </is>
      </c>
      <c r="D537" s="14" t="inlineStr">
        <is>
          <t>KIT3-AREIA-EDB-4KG-GM</t>
        </is>
      </c>
      <c r="E537" s="14" t="inlineStr">
        <is>
          <t>23999315521</t>
        </is>
      </c>
      <c r="F537" s="14" t="inlineStr">
        <is>
          <t>411299000586</t>
        </is>
      </c>
      <c r="G537" s="14" t="inlineStr">
        <is>
          <t>NORMAL</t>
        </is>
      </c>
      <c r="H537" s="15" t="n">
        <v>150.9</v>
      </c>
      <c r="I537" s="15" t="n">
        <v>149.9</v>
      </c>
      <c r="J537" s="16" t="inlineStr">
        <is>
          <t>SIM</t>
        </is>
      </c>
      <c r="K537" s="15" t="n">
        <v>149.9</v>
      </c>
      <c r="L537" s="35">
        <f>IF(K537&lt;&gt;"",K537,I537)</f>
        <v/>
      </c>
      <c r="M537" s="33" t="n">
        <v>3</v>
      </c>
      <c r="N537" s="30" t="n">
        <v>22.36</v>
      </c>
      <c r="O537" s="31">
        <f>N537*M537</f>
        <v/>
      </c>
      <c r="P537" s="80">
        <f>IF($O537="","",L537-O537-(L537*IF(L537&lt;=79.99,20%,14%)+IF(L537&lt;=79.99,4,IF(L537&lt;=99.99,16,IF(L537&lt;=199.99,20,IF(L537&lt;=499.99,26,28)))))-L537*1.3%-L537*6%-(L537-O537)*9.25%-L537*3%-L537*3%-1)</f>
        <v/>
      </c>
      <c r="Q537" s="17">
        <f>IF(AND(K537&lt;&gt;"",H537&gt;0),(H537-K537)/H537,"")</f>
        <v/>
      </c>
      <c r="R537" s="14" t="inlineStr">
        <is>
          <t>488116129583228</t>
        </is>
      </c>
      <c r="S537" s="18" t="n">
        <v>46236.5</v>
      </c>
      <c r="T537" s="18" t="n">
        <v>46360.99930555555</v>
      </c>
      <c r="U537" s="14" t="inlineStr">
        <is>
          <t>100923</t>
        </is>
      </c>
      <c r="V537" t="inlineStr">
        <is>
          <t>216211</t>
        </is>
      </c>
      <c r="W537" t="inlineStr">
        <is>
          <t>venda casada (1 pedido) · QTD/custo manuais mantidos</t>
        </is>
      </c>
      <c r="X537" t="n">
        <v>1</v>
      </c>
      <c r="Y537" t="inlineStr">
        <is>
          <t>⚠ evidência fraca (1 pedido)</t>
        </is>
      </c>
    </row>
    <row r="538" ht="15" customFormat="1" customHeight="1" s="14">
      <c r="A538" s="19" t="inlineStr">
        <is>
          <t>Jacartta</t>
        </is>
      </c>
      <c r="B538" s="19" t="inlineStr">
        <is>
          <t>Kit 5 Areia Higiênica Biodegradável Espaço De Bicho Grãos Finos Milho e Mandioca (100% Natural)</t>
        </is>
      </c>
      <c r="C538" s="19" t="inlineStr">
        <is>
          <t>Grãos Grossos</t>
        </is>
      </c>
      <c r="D538" s="19" t="inlineStr">
        <is>
          <t>KIT5-AREIA-EDB-4KG-GG</t>
        </is>
      </c>
      <c r="E538" s="19" t="inlineStr">
        <is>
          <t>58254476850</t>
        </is>
      </c>
      <c r="F538" s="19" t="inlineStr">
        <is>
          <t>169724776629</t>
        </is>
      </c>
      <c r="G538" s="19" t="inlineStr">
        <is>
          <t>NORMAL</t>
        </is>
      </c>
      <c r="H538" s="20" t="n">
        <v>299.9</v>
      </c>
      <c r="I538" s="20" t="n">
        <v>299.9</v>
      </c>
      <c r="J538" s="21" t="inlineStr">
        <is>
          <t>NÃO</t>
        </is>
      </c>
      <c r="K538" s="20" t="n"/>
      <c r="L538" s="35">
        <f>IF(K538&lt;&gt;"",K538,I538)</f>
        <v/>
      </c>
      <c r="M538" s="81" t="n">
        <v>5</v>
      </c>
      <c r="N538" s="82" t="n">
        <v>22.36</v>
      </c>
      <c r="O538" s="83">
        <f>ROUND(M538*N538,2)</f>
        <v/>
      </c>
      <c r="P538" s="80">
        <f>IF($O538="","",L538-O538-(L538*IF(L538&lt;=79.99,20%,14%)+IF(L538&lt;=79.99,4,IF(L538&lt;=99.99,16,IF(L538&lt;=199.99,20,IF(L538&lt;=499.99,26,28)))))-L538*1.3%-L538*6%-(L538-O538)*9.25%-L538*3%-L538*3%-1)</f>
        <v/>
      </c>
      <c r="Q538" s="22">
        <f>IF(AND(K538&lt;&gt;"",H538&gt;0),(H538-K538)/H538,"")</f>
        <v/>
      </c>
      <c r="R538" s="19" t="inlineStr"/>
      <c r="S538" s="23" t="n"/>
      <c r="T538" s="23" t="n"/>
      <c r="U538" s="19" t="inlineStr">
        <is>
          <t>100923</t>
        </is>
      </c>
      <c r="V538" t="inlineStr">
        <is>
          <t>215512</t>
        </is>
      </c>
      <c r="W538" t="inlineStr">
        <is>
          <t>venda casada (2 pedidos) · custo do KIT 215523 (5× 215512)</t>
        </is>
      </c>
      <c r="X538" t="n">
        <v>2</v>
      </c>
      <c r="Y538" t="inlineStr">
        <is>
          <t>ok</t>
        </is>
      </c>
    </row>
    <row r="539" ht="15" customFormat="1" customHeight="1" s="19">
      <c r="A539" s="14" t="inlineStr">
        <is>
          <t>Jacartta</t>
        </is>
      </c>
      <c r="B539" s="14" t="inlineStr">
        <is>
          <t>Kit 5 Areia Higiênica Biodegradável Espaço De Bicho Grãos Finos Milho e Mandioca (100% Natural)</t>
        </is>
      </c>
      <c r="C539" s="14" t="inlineStr">
        <is>
          <t>Grãos Mistos</t>
        </is>
      </c>
      <c r="D539" s="14" t="inlineStr">
        <is>
          <t>KIT5-AREIA-EDB-4KG-GM</t>
        </is>
      </c>
      <c r="E539" s="14" t="inlineStr">
        <is>
          <t>58254476850</t>
        </is>
      </c>
      <c r="F539" s="14" t="inlineStr">
        <is>
          <t>272836550408</t>
        </is>
      </c>
      <c r="G539" s="14" t="inlineStr">
        <is>
          <t>NORMAL</t>
        </is>
      </c>
      <c r="H539" s="15" t="n">
        <v>299.9</v>
      </c>
      <c r="I539" s="15" t="n">
        <v>299.9</v>
      </c>
      <c r="J539" s="16" t="inlineStr">
        <is>
          <t>NÃO</t>
        </is>
      </c>
      <c r="K539" s="15" t="n"/>
      <c r="L539" s="35">
        <f>IF(K539&lt;&gt;"",K539,I539)</f>
        <v/>
      </c>
      <c r="M539" s="84" t="n">
        <v>5</v>
      </c>
      <c r="N539" s="85" t="n">
        <v>22.36</v>
      </c>
      <c r="O539" s="80">
        <f>ROUND(M539*N539,2)</f>
        <v/>
      </c>
      <c r="P539" s="80">
        <f>IF($O539="","",L539-O539-(L539*IF(L539&lt;=79.99,20%,14%)+IF(L539&lt;=79.99,4,IF(L539&lt;=99.99,16,IF(L539&lt;=199.99,20,IF(L539&lt;=499.99,26,28)))))-L539*1.3%-L539*6%-(L539-O539)*9.25%-L539*3%-L539*3%-1)</f>
        <v/>
      </c>
      <c r="Q539" s="17">
        <f>IF(AND(K539&lt;&gt;"",H539&gt;0),(H539-K539)/H539,"")</f>
        <v/>
      </c>
      <c r="R539" s="14" t="inlineStr"/>
      <c r="S539" s="18" t="n"/>
      <c r="T539" s="18" t="n"/>
      <c r="U539" s="14" t="inlineStr">
        <is>
          <t>100923</t>
        </is>
      </c>
      <c r="V539" t="inlineStr">
        <is>
          <t>216211</t>
        </is>
      </c>
      <c r="W539" t="inlineStr">
        <is>
          <t>venda casada (1 pedido) · custo do KIT 216216 (5× 216211)</t>
        </is>
      </c>
      <c r="X539" t="n">
        <v>1</v>
      </c>
      <c r="Y539" t="inlineStr">
        <is>
          <t>⚠ evidência fraca (1 pedido)</t>
        </is>
      </c>
    </row>
    <row r="540" ht="15" customFormat="1" customHeight="1" s="14">
      <c r="A540" s="19" t="inlineStr">
        <is>
          <t>Jacartta</t>
        </is>
      </c>
      <c r="B540" s="19" t="inlineStr">
        <is>
          <t>Kit 5/ kit 10 Potes de Vidro 640ml Hermético Marmita Fit com Tampa 4 Travas Oliver Home</t>
        </is>
      </c>
      <c r="C540" s="19" t="inlineStr">
        <is>
          <t>10 UNIDADES,1040ML</t>
        </is>
      </c>
      <c r="D540" s="19" t="inlineStr">
        <is>
          <t>KIT-10POTES-1040ML</t>
        </is>
      </c>
      <c r="E540" s="19" t="inlineStr">
        <is>
          <t>26695370644</t>
        </is>
      </c>
      <c r="F540" s="19" t="inlineStr">
        <is>
          <t>351245360247</t>
        </is>
      </c>
      <c r="G540" s="19" t="inlineStr">
        <is>
          <t>NORMAL</t>
        </is>
      </c>
      <c r="H540" s="20" t="n">
        <v>220</v>
      </c>
      <c r="I540" s="20" t="n">
        <v>158.9</v>
      </c>
      <c r="J540" s="21" t="inlineStr">
        <is>
          <t>SIM</t>
        </is>
      </c>
      <c r="K540" s="20" t="n">
        <v>158.9</v>
      </c>
      <c r="L540" s="35">
        <f>IF(K540&lt;&gt;"",K540,I540)</f>
        <v/>
      </c>
      <c r="M540" s="81" t="n">
        <v>10</v>
      </c>
      <c r="N540" s="82" t="n">
        <v>9.48</v>
      </c>
      <c r="O540" s="80">
        <f>ROUND(M540*N540,2)</f>
        <v/>
      </c>
      <c r="P540" s="80">
        <f>IF($O540="","",L540-O540-(L540*IF(L540&lt;=79.99,20%,14%)+IF(L540&lt;=79.99,4,IF(L540&lt;=99.99,16,IF(L540&lt;=199.99,20,IF(L540&lt;=499.99,26,28)))))-L540*1.3%-L540*6%-(L540-O540)*9.25%-L540*3%-L540*3%-1)</f>
        <v/>
      </c>
      <c r="Q540" s="22">
        <f>IF(AND(K540&lt;&gt;"",H540&gt;0),(H540-K540)/H540,"")</f>
        <v/>
      </c>
      <c r="R540" s="19" t="inlineStr">
        <is>
          <t>478386871025791</t>
        </is>
      </c>
      <c r="S540" s="23" t="n">
        <v>46209.64583333334</v>
      </c>
      <c r="T540" s="23" t="n">
        <v>46326.99930555555</v>
      </c>
      <c r="U540" s="19" t="inlineStr">
        <is>
          <t>101220</t>
        </is>
      </c>
      <c r="V540" t="inlineStr">
        <is>
          <t>213880</t>
        </is>
      </c>
      <c r="W540" t="inlineStr">
        <is>
          <t>SKU do de-para · custo do KIT 216009 (10× 213880)</t>
        </is>
      </c>
      <c r="X540" t="n">
        <v>239</v>
      </c>
      <c r="Y540" t="inlineStr">
        <is>
          <t>ok</t>
        </is>
      </c>
    </row>
    <row r="541" ht="15" customFormat="1" customHeight="1" s="19">
      <c r="A541" s="14" t="inlineStr">
        <is>
          <t>Jacartta</t>
        </is>
      </c>
      <c r="B541" s="14" t="inlineStr">
        <is>
          <t>Kit 5/ kit 10 Potes de Vidro 640ml Hermético Marmita Fit com Tampa 4 Travas Oliver Home</t>
        </is>
      </c>
      <c r="C541" s="14" t="inlineStr">
        <is>
          <t>5 UNIDADES,1040ML</t>
        </is>
      </c>
      <c r="D541" s="14" t="inlineStr">
        <is>
          <t>KIT-5POTES-1040ML</t>
        </is>
      </c>
      <c r="E541" s="14" t="inlineStr">
        <is>
          <t>26695370644</t>
        </is>
      </c>
      <c r="F541" s="14" t="inlineStr">
        <is>
          <t>351245360244</t>
        </is>
      </c>
      <c r="G541" s="14" t="inlineStr">
        <is>
          <t>NORMAL</t>
        </is>
      </c>
      <c r="H541" s="15" t="n">
        <v>140</v>
      </c>
      <c r="I541" s="15" t="n">
        <v>79.90000000000001</v>
      </c>
      <c r="J541" s="16" t="inlineStr">
        <is>
          <t>SIM</t>
        </is>
      </c>
      <c r="K541" s="15" t="n">
        <v>79.90000000000001</v>
      </c>
      <c r="L541" s="35">
        <f>IF(K541&lt;&gt;"",K541,I541)</f>
        <v/>
      </c>
      <c r="M541" s="84" t="n">
        <v>5</v>
      </c>
      <c r="N541" s="85" t="n">
        <v>9.48</v>
      </c>
      <c r="O541" s="80">
        <f>ROUND(M541*N541,2)</f>
        <v/>
      </c>
      <c r="P541" s="80">
        <f>IF($O541="","",L541-O541-(L541*IF(L541&lt;=79.99,20%,14%)+IF(L541&lt;=79.99,4,IF(L541&lt;=99.99,16,IF(L541&lt;=199.99,20,IF(L541&lt;=499.99,26,28)))))-L541*1.3%-L541*6%-(L541-O541)*9.25%-L541*3%-L541*3%-1)</f>
        <v/>
      </c>
      <c r="Q541" s="17">
        <f>IF(AND(K541&lt;&gt;"",H541&gt;0),(H541-K541)/H541,"")</f>
        <v/>
      </c>
      <c r="R541" s="14" t="inlineStr">
        <is>
          <t>478386871025791</t>
        </is>
      </c>
      <c r="S541" s="18" t="n">
        <v>46209.64583333334</v>
      </c>
      <c r="T541" s="18" t="n">
        <v>46326.99930555555</v>
      </c>
      <c r="U541" s="14" t="inlineStr">
        <is>
          <t>101220</t>
        </is>
      </c>
      <c r="V541" t="inlineStr">
        <is>
          <t>213880</t>
        </is>
      </c>
      <c r="W541" t="inlineStr">
        <is>
          <t>SKU do de-para · custo do KIT 216006 (5× 213880)</t>
        </is>
      </c>
      <c r="X541" t="n">
        <v>420</v>
      </c>
      <c r="Y541" t="inlineStr">
        <is>
          <t>ok</t>
        </is>
      </c>
    </row>
    <row r="542" ht="15" customFormat="1" customHeight="1" s="14">
      <c r="A542" s="19" t="inlineStr">
        <is>
          <t>Jacartta</t>
        </is>
      </c>
      <c r="B542" s="19" t="inlineStr">
        <is>
          <t>Kit 6 Alcance Anti Vespas E Marimbondos 400ml - Labgard</t>
        </is>
      </c>
      <c r="C542" s="19" t="inlineStr">
        <is>
          <t>Sem variação</t>
        </is>
      </c>
      <c r="D542" s="19" t="inlineStr">
        <is>
          <t>KIT6-ALCANCE-VESPAS</t>
        </is>
      </c>
      <c r="E542" s="19" t="inlineStr">
        <is>
          <t>23795865450</t>
        </is>
      </c>
      <c r="F542" s="19" t="inlineStr">
        <is>
          <t>0</t>
        </is>
      </c>
      <c r="G542" s="19" t="inlineStr">
        <is>
          <t>NORMAL</t>
        </is>
      </c>
      <c r="H542" s="20" t="n">
        <v>239.9</v>
      </c>
      <c r="I542" s="20" t="n">
        <v>239.9</v>
      </c>
      <c r="J542" s="21" t="inlineStr">
        <is>
          <t>NÃO</t>
        </is>
      </c>
      <c r="K542" s="20" t="n"/>
      <c r="L542" s="35">
        <f>IF(K542&lt;&gt;"",K542,I542)</f>
        <v/>
      </c>
      <c r="M542" s="30" t="n"/>
      <c r="N542" s="30" t="n"/>
      <c r="O542" s="31" t="n"/>
      <c r="P542" s="80">
        <f>IF($O542="","",L542-O542-(L542*IF(L542&lt;=79.99,20%,14%)+IF(L542&lt;=79.99,4,IF(L542&lt;=99.99,16,IF(L542&lt;=199.99,20,IF(L542&lt;=499.99,26,28)))))-L542*1.3%-L542*6%-(L542-O542)*9.25%-L542*3%-L542*3%-1)</f>
        <v/>
      </c>
      <c r="Q542" s="22">
        <f>IF(AND(K542&lt;&gt;"",H542&gt;0),(H542-K542)/H542,"")</f>
        <v/>
      </c>
      <c r="R542" s="19" t="inlineStr"/>
      <c r="S542" s="23" t="n"/>
      <c r="T542" s="23" t="n"/>
      <c r="U542" s="19" t="inlineStr">
        <is>
          <t>100942</t>
        </is>
      </c>
      <c r="W542" t="inlineStr">
        <is>
          <t>sem correspondência</t>
        </is>
      </c>
      <c r="Y542" t="inlineStr"/>
    </row>
    <row r="543" ht="15" customFormat="1" customHeight="1" s="19">
      <c r="A543" s="14" t="inlineStr">
        <is>
          <t>Jacartta</t>
        </is>
      </c>
      <c r="B543" s="14" t="inlineStr">
        <is>
          <t>Kit 60 Cabides De Madeira Premium Marfim Para Roupas Calça Gancho Cromado</t>
        </is>
      </c>
      <c r="C543" s="14" t="inlineStr">
        <is>
          <t>KIT 30 PEÇAS</t>
        </is>
      </c>
      <c r="D543" s="14" t="inlineStr">
        <is>
          <t>KIT30-CAB-MADEIRA</t>
        </is>
      </c>
      <c r="E543" s="14" t="inlineStr">
        <is>
          <t>58202753066</t>
        </is>
      </c>
      <c r="F543" s="14" t="inlineStr">
        <is>
          <t>239435092028</t>
        </is>
      </c>
      <c r="G543" s="14" t="inlineStr">
        <is>
          <t>NORMAL</t>
        </is>
      </c>
      <c r="H543" s="15" t="n">
        <v>179.9</v>
      </c>
      <c r="I543" s="15" t="n">
        <v>139.9</v>
      </c>
      <c r="J543" s="16" t="inlineStr">
        <is>
          <t>SIM</t>
        </is>
      </c>
      <c r="K543" s="15" t="n">
        <v>139.9</v>
      </c>
      <c r="L543" s="35">
        <f>IF(K543&lt;&gt;"",K543,I543)</f>
        <v/>
      </c>
      <c r="M543" s="84" t="n">
        <v>30</v>
      </c>
      <c r="N543" s="85" t="n">
        <v>2.01</v>
      </c>
      <c r="O543" s="80">
        <f>ROUND(M543*N543,2)</f>
        <v/>
      </c>
      <c r="P543" s="80">
        <f>IF($O543="","",L543-O543-(L543*IF(L543&lt;=79.99,20%,14%)+IF(L543&lt;=79.99,4,IF(L543&lt;=99.99,16,IF(L543&lt;=199.99,20,IF(L543&lt;=499.99,26,28)))))-L543*1.3%-L543*6%-(L543-O543)*9.25%-L543*3%-L543*3%-1)</f>
        <v/>
      </c>
      <c r="Q543" s="17">
        <f>IF(AND(K543&lt;&gt;"",H543&gt;0),(H543-K543)/H543,"")</f>
        <v/>
      </c>
      <c r="R543" s="14" t="inlineStr">
        <is>
          <t>478386871025791</t>
        </is>
      </c>
      <c r="S543" s="18" t="n">
        <v>46209.64583333334</v>
      </c>
      <c r="T543" s="18" t="n">
        <v>46326.99930555555</v>
      </c>
      <c r="U543" s="14" t="inlineStr">
        <is>
          <t>101253</t>
        </is>
      </c>
      <c r="V543" t="inlineStr">
        <is>
          <t>213176</t>
        </is>
      </c>
      <c r="W543" t="inlineStr">
        <is>
          <t>SKU do de-para · custo do KIT 214055 (30× 213176)</t>
        </is>
      </c>
      <c r="X543" t="n">
        <v>4</v>
      </c>
      <c r="Y543" t="inlineStr">
        <is>
          <t>ok</t>
        </is>
      </c>
    </row>
    <row r="544" ht="15" customFormat="1" customHeight="1" s="14">
      <c r="A544" s="19" t="inlineStr">
        <is>
          <t>Jacartta</t>
        </is>
      </c>
      <c r="B544" s="19" t="inlineStr">
        <is>
          <t>Kit 60 Cabides De Madeira Premium Marfim Para Roupas Calça Gancho Cromado</t>
        </is>
      </c>
      <c r="C544" s="19" t="inlineStr">
        <is>
          <t>KIT 51PEÇAS</t>
        </is>
      </c>
      <c r="D544" s="19" t="inlineStr">
        <is>
          <t>KIT51-CAB-MADEIRA</t>
        </is>
      </c>
      <c r="E544" s="19" t="inlineStr">
        <is>
          <t>58202753066</t>
        </is>
      </c>
      <c r="F544" s="19" t="inlineStr">
        <is>
          <t>239435092030</t>
        </is>
      </c>
      <c r="G544" s="19" t="inlineStr">
        <is>
          <t>NORMAL</t>
        </is>
      </c>
      <c r="H544" s="20" t="n">
        <v>250.9</v>
      </c>
      <c r="I544" s="20" t="n">
        <v>234.9</v>
      </c>
      <c r="J544" s="21" t="inlineStr">
        <is>
          <t>SIM</t>
        </is>
      </c>
      <c r="K544" s="20" t="n">
        <v>234.9</v>
      </c>
      <c r="L544" s="35">
        <f>IF(K544&lt;&gt;"",K544,I544)</f>
        <v/>
      </c>
      <c r="M544" s="81" t="n">
        <v>51</v>
      </c>
      <c r="N544" s="82" t="n">
        <v>2.01</v>
      </c>
      <c r="O544" s="80">
        <f>ROUND(M544*N544,2)</f>
        <v/>
      </c>
      <c r="P544" s="80">
        <f>IF($O544="","",L544-O544-(L544*IF(L544&lt;=79.99,20%,14%)+IF(L544&lt;=79.99,4,IF(L544&lt;=99.99,16,IF(L544&lt;=199.99,20,IF(L544&lt;=499.99,26,28)))))-L544*1.3%-L544*6%-(L544-O544)*9.25%-L544*3%-L544*3%-1)</f>
        <v/>
      </c>
      <c r="Q544" s="22">
        <f>IF(AND(K544&lt;&gt;"",H544&gt;0),(H544-K544)/H544,"")</f>
        <v/>
      </c>
      <c r="R544" s="19" t="inlineStr">
        <is>
          <t>478386871025791</t>
        </is>
      </c>
      <c r="S544" s="23" t="n">
        <v>46209.64583333334</v>
      </c>
      <c r="T544" s="23" t="n">
        <v>46326.99930555555</v>
      </c>
      <c r="U544" s="19" t="inlineStr">
        <is>
          <t>101253</t>
        </is>
      </c>
      <c r="V544" t="inlineStr">
        <is>
          <t>213176</t>
        </is>
      </c>
      <c r="W544" t="inlineStr">
        <is>
          <t>herdado do anúncio (escalado 30→51 un) · custo do KIT 214058 (51× 213176)</t>
        </is>
      </c>
      <c r="Y544" t="inlineStr">
        <is>
          <t>ok</t>
        </is>
      </c>
    </row>
    <row r="545" ht="15" customFormat="1" customHeight="1" s="19">
      <c r="A545" s="14" t="inlineStr">
        <is>
          <t>Jacartta</t>
        </is>
      </c>
      <c r="B545" s="14" t="inlineStr">
        <is>
          <t>Kit 60 Cabides De Madeira Premium Marfim Para Roupas Calça Gancho Cromado</t>
        </is>
      </c>
      <c r="C545" s="14" t="inlineStr">
        <is>
          <t>KIT 60 PEÇAS</t>
        </is>
      </c>
      <c r="D545" s="14" t="inlineStr">
        <is>
          <t>KIT60-CAB-MADEIRA</t>
        </is>
      </c>
      <c r="E545" s="14" t="inlineStr">
        <is>
          <t>58202753066</t>
        </is>
      </c>
      <c r="F545" s="14" t="inlineStr">
        <is>
          <t>239435092031</t>
        </is>
      </c>
      <c r="G545" s="14" t="inlineStr">
        <is>
          <t>NORMAL</t>
        </is>
      </c>
      <c r="H545" s="15" t="n">
        <v>299.9</v>
      </c>
      <c r="I545" s="15" t="n">
        <v>277.9</v>
      </c>
      <c r="J545" s="16" t="inlineStr">
        <is>
          <t>SIM</t>
        </is>
      </c>
      <c r="K545" s="15" t="n">
        <v>277.9</v>
      </c>
      <c r="L545" s="35">
        <f>IF(K545&lt;&gt;"",K545,I545)</f>
        <v/>
      </c>
      <c r="M545" s="84" t="n">
        <v>60</v>
      </c>
      <c r="N545" s="85" t="n">
        <v>2.01</v>
      </c>
      <c r="O545" s="80">
        <f>ROUND(M545*N545,2)</f>
        <v/>
      </c>
      <c r="P545" s="80">
        <f>IF($O545="","",L545-O545-(L545*IF(L545&lt;=79.99,20%,14%)+IF(L545&lt;=79.99,4,IF(L545&lt;=99.99,16,IF(L545&lt;=199.99,20,IF(L545&lt;=499.99,26,28)))))-L545*1.3%-L545*6%-(L545-O545)*9.25%-L545*3%-L545*3%-1)</f>
        <v/>
      </c>
      <c r="Q545" s="17">
        <f>IF(AND(K545&lt;&gt;"",H545&gt;0),(H545-K545)/H545,"")</f>
        <v/>
      </c>
      <c r="R545" s="14" t="inlineStr">
        <is>
          <t>478386871025791</t>
        </is>
      </c>
      <c r="S545" s="18" t="n">
        <v>46209.64583333334</v>
      </c>
      <c r="T545" s="18" t="n">
        <v>46326.99930555555</v>
      </c>
      <c r="U545" s="14" t="inlineStr">
        <is>
          <t>101253</t>
        </is>
      </c>
      <c r="V545" t="inlineStr">
        <is>
          <t>213176</t>
        </is>
      </c>
      <c r="W545" t="inlineStr">
        <is>
          <t>SKU do de-para · custo do KIT 214059 (60× 213176)</t>
        </is>
      </c>
      <c r="X545" t="n">
        <v>2</v>
      </c>
      <c r="Y545" t="inlineStr">
        <is>
          <t>ok</t>
        </is>
      </c>
    </row>
    <row r="546" ht="15" customFormat="1" customHeight="1" s="14">
      <c r="A546" s="19" t="inlineStr">
        <is>
          <t>Jacartta</t>
        </is>
      </c>
      <c r="B546" s="19" t="inlineStr">
        <is>
          <t>Kit 60 Cabides De Madeira Premium Marfim Para Roupas Calça Gancho Cromado</t>
        </is>
      </c>
      <c r="C546" s="19" t="inlineStr">
        <is>
          <t>KIT42 PEÇAS</t>
        </is>
      </c>
      <c r="D546" s="19" t="inlineStr">
        <is>
          <t>KIT42-CAB-MADEIRA</t>
        </is>
      </c>
      <c r="E546" s="19" t="inlineStr">
        <is>
          <t>58202753066</t>
        </is>
      </c>
      <c r="F546" s="19" t="inlineStr">
        <is>
          <t>239435092029</t>
        </is>
      </c>
      <c r="G546" s="19" t="inlineStr">
        <is>
          <t>NORMAL</t>
        </is>
      </c>
      <c r="H546" s="20" t="n">
        <v>199.9</v>
      </c>
      <c r="I546" s="20" t="n">
        <v>194.9</v>
      </c>
      <c r="J546" s="21" t="inlineStr">
        <is>
          <t>SIM</t>
        </is>
      </c>
      <c r="K546" s="20" t="n">
        <v>194.9</v>
      </c>
      <c r="L546" s="35">
        <f>IF(K546&lt;&gt;"",K546,I546)</f>
        <v/>
      </c>
      <c r="M546" s="81" t="n">
        <v>42</v>
      </c>
      <c r="N546" s="82" t="n">
        <v>2.01</v>
      </c>
      <c r="O546" s="80">
        <f>ROUND(M546*N546,2)</f>
        <v/>
      </c>
      <c r="P546" s="80">
        <f>IF($O546="","",L546-O546-(L546*IF(L546&lt;=79.99,20%,14%)+IF(L546&lt;=79.99,4,IF(L546&lt;=99.99,16,IF(L546&lt;=199.99,20,IF(L546&lt;=499.99,26,28)))))-L546*1.3%-L546*6%-(L546-O546)*9.25%-L546*3%-L546*3%-1)</f>
        <v/>
      </c>
      <c r="Q546" s="22">
        <f>IF(AND(K546&lt;&gt;"",H546&gt;0),(H546-K546)/H546,"")</f>
        <v/>
      </c>
      <c r="R546" s="19" t="inlineStr">
        <is>
          <t>478386871025791</t>
        </is>
      </c>
      <c r="S546" s="23" t="n">
        <v>46209.64583333334</v>
      </c>
      <c r="T546" s="23" t="n">
        <v>46326.99930555555</v>
      </c>
      <c r="U546" s="19" t="inlineStr">
        <is>
          <t>101253</t>
        </is>
      </c>
      <c r="V546" t="inlineStr">
        <is>
          <t>213176</t>
        </is>
      </c>
      <c r="W546" t="inlineStr">
        <is>
          <t>herdado do anúncio (escalado 30→42 un) · custo do KIT 214056 (42× 213176)</t>
        </is>
      </c>
      <c r="Y546" t="inlineStr">
        <is>
          <t>ok</t>
        </is>
      </c>
    </row>
    <row r="547" ht="15" customFormat="1" customHeight="1" s="19">
      <c r="A547" s="14" t="inlineStr">
        <is>
          <t>Jacartta</t>
        </is>
      </c>
      <c r="B547" s="14" t="inlineStr">
        <is>
          <t>Kit 60 Tapetes Higiênico Xixi Ultra Pads Carvão Ativado 60x60cm</t>
        </is>
      </c>
      <c r="C547" s="14" t="inlineStr">
        <is>
          <t>Sem variação</t>
        </is>
      </c>
      <c r="D547" s="14" t="inlineStr">
        <is>
          <t>0773_2</t>
        </is>
      </c>
      <c r="E547" s="14" t="inlineStr">
        <is>
          <t>20972830860</t>
        </is>
      </c>
      <c r="F547" s="14" t="inlineStr">
        <is>
          <t>0</t>
        </is>
      </c>
      <c r="G547" s="14" t="inlineStr">
        <is>
          <t>NORMAL</t>
        </is>
      </c>
      <c r="H547" s="15" t="n">
        <v>239.8</v>
      </c>
      <c r="I547" s="15" t="n">
        <v>99.8</v>
      </c>
      <c r="J547" s="16" t="inlineStr">
        <is>
          <t>SIM</t>
        </is>
      </c>
      <c r="K547" s="15" t="n">
        <v>99.8</v>
      </c>
      <c r="L547" s="35">
        <f>IF(K547&lt;&gt;"",K547,I547)</f>
        <v/>
      </c>
      <c r="M547" s="84" t="n">
        <v>2</v>
      </c>
      <c r="N547" s="85" t="n">
        <v>23.4</v>
      </c>
      <c r="O547" s="80">
        <f>ROUND(M547*N547,2)</f>
        <v/>
      </c>
      <c r="P547" s="80">
        <f>IF($O547="","",L547-O547-(L547*IF(L547&lt;=79.99,20%,14%)+IF(L547&lt;=79.99,4,IF(L547&lt;=99.99,16,IF(L547&lt;=199.99,20,IF(L547&lt;=499.99,26,28)))))-L547*1.3%-L547*6%-(L547-O547)*9.25%-L547*3%-L547*3%-1)</f>
        <v/>
      </c>
      <c r="Q547" s="17">
        <f>IF(AND(K547&lt;&gt;"",H547&gt;0),(H547-K547)/H547,"")</f>
        <v/>
      </c>
      <c r="R547" s="14" t="inlineStr">
        <is>
          <t>909481068642304</t>
        </is>
      </c>
      <c r="S547" s="18" t="n">
        <v>46144.38680555556</v>
      </c>
      <c r="T547" s="18" t="n">
        <v>46295.4375</v>
      </c>
      <c r="U547" s="14" t="inlineStr">
        <is>
          <t>100926</t>
        </is>
      </c>
      <c r="V547" t="inlineStr">
        <is>
          <t>212950</t>
        </is>
      </c>
      <c r="W547" t="inlineStr">
        <is>
          <t>venda casada (4 pedidos) · custo do KIT 213855 (2× 212950)</t>
        </is>
      </c>
      <c r="X547" t="n">
        <v>4</v>
      </c>
      <c r="Y547" t="inlineStr">
        <is>
          <t>ok</t>
        </is>
      </c>
    </row>
    <row r="548" ht="15" customFormat="1" customHeight="1" s="14">
      <c r="A548" s="14" t="inlineStr">
        <is>
          <t>Jacartta</t>
        </is>
      </c>
      <c r="B548" s="14" t="inlineStr">
        <is>
          <t>Kit 90 Cabides De Madeira Premium Marfim Para Roupas Calça Gancho Cromado</t>
        </is>
      </c>
      <c r="C548" s="14" t="inlineStr">
        <is>
          <t>KIT 30 PEÇAS</t>
        </is>
      </c>
      <c r="D548" s="14" t="inlineStr">
        <is>
          <t>KIT30-CAB-MADEIRA</t>
        </is>
      </c>
      <c r="E548" s="14" t="inlineStr">
        <is>
          <t>58252746236</t>
        </is>
      </c>
      <c r="F548" s="14" t="inlineStr">
        <is>
          <t>228797586050</t>
        </is>
      </c>
      <c r="G548" s="14" t="inlineStr">
        <is>
          <t>NORMAL</t>
        </is>
      </c>
      <c r="H548" s="15" t="n">
        <v>179.9</v>
      </c>
      <c r="I548" s="15" t="n">
        <v>139.9</v>
      </c>
      <c r="J548" s="16" t="inlineStr">
        <is>
          <t>SIM</t>
        </is>
      </c>
      <c r="K548" s="15" t="n">
        <v>139.9</v>
      </c>
      <c r="L548" s="35">
        <f>IF(K548&lt;&gt;"",K548,I548)</f>
        <v/>
      </c>
      <c r="M548" s="84" t="n">
        <v>30</v>
      </c>
      <c r="N548" s="85" t="n">
        <v>2.01</v>
      </c>
      <c r="O548" s="80">
        <f>ROUND(M548*N548,2)</f>
        <v/>
      </c>
      <c r="P548" s="80">
        <f>IF($O548="","",L548-O548-(L548*IF(L548&lt;=79.99,20%,14%)+IF(L548&lt;=79.99,4,IF(L548&lt;=99.99,16,IF(L548&lt;=199.99,20,IF(L548&lt;=499.99,26,28)))))-L548*1.3%-L548*6%-(L548-O548)*9.25%-L548*3%-L548*3%-1)</f>
        <v/>
      </c>
      <c r="Q548" s="17">
        <f>IF(AND(K548&lt;&gt;"",H548&gt;0),(H548-K548)/H548,"")</f>
        <v/>
      </c>
      <c r="R548" s="14" t="inlineStr">
        <is>
          <t>478386871025791</t>
        </is>
      </c>
      <c r="S548" s="18" t="n">
        <v>46209.64583333334</v>
      </c>
      <c r="T548" s="18" t="n">
        <v>46326.99930555555</v>
      </c>
      <c r="U548" s="14" t="inlineStr">
        <is>
          <t>101253</t>
        </is>
      </c>
      <c r="V548" t="inlineStr">
        <is>
          <t>213176</t>
        </is>
      </c>
      <c r="W548" t="inlineStr">
        <is>
          <t>venda casada (4 pedidos) · custo do KIT 214055 (30× 213176)</t>
        </is>
      </c>
      <c r="X548" t="n">
        <v>4</v>
      </c>
      <c r="Y548" t="inlineStr">
        <is>
          <t>ok</t>
        </is>
      </c>
    </row>
    <row r="549" ht="15" customFormat="1" customHeight="1" s="19">
      <c r="A549" s="19" t="inlineStr">
        <is>
          <t>Jacartta</t>
        </is>
      </c>
      <c r="B549" s="19" t="inlineStr">
        <is>
          <t>Kit 90 Cabides De Madeira Premium Marfim Para Roupas Calça Gancho Cromado</t>
        </is>
      </c>
      <c r="C549" s="19" t="inlineStr">
        <is>
          <t>KIT 60 PEÇAS</t>
        </is>
      </c>
      <c r="D549" s="19" t="inlineStr">
        <is>
          <t>KIT60-CAB-MADEIRA</t>
        </is>
      </c>
      <c r="E549" s="19" t="inlineStr">
        <is>
          <t>58252746236</t>
        </is>
      </c>
      <c r="F549" s="19" t="inlineStr">
        <is>
          <t>228797586051</t>
        </is>
      </c>
      <c r="G549" s="19" t="inlineStr">
        <is>
          <t>NORMAL</t>
        </is>
      </c>
      <c r="H549" s="20" t="n">
        <v>299.9</v>
      </c>
      <c r="I549" s="20" t="n">
        <v>277.9</v>
      </c>
      <c r="J549" s="21" t="inlineStr">
        <is>
          <t>SIM</t>
        </is>
      </c>
      <c r="K549" s="20" t="n">
        <v>277.9</v>
      </c>
      <c r="L549" s="35">
        <f>IF(K549&lt;&gt;"",K549,I549)</f>
        <v/>
      </c>
      <c r="M549" s="81" t="n">
        <v>60</v>
      </c>
      <c r="N549" s="82" t="n">
        <v>2.01</v>
      </c>
      <c r="O549" s="80">
        <f>ROUND(M549*N549,2)</f>
        <v/>
      </c>
      <c r="P549" s="80">
        <f>IF($O549="","",L549-O549-(L549*IF(L549&lt;=79.99,20%,14%)+IF(L549&lt;=79.99,4,IF(L549&lt;=99.99,16,IF(L549&lt;=199.99,20,IF(L549&lt;=499.99,26,28)))))-L549*1.3%-L549*6%-(L549-O549)*9.25%-L549*3%-L549*3%-1)</f>
        <v/>
      </c>
      <c r="Q549" s="22">
        <f>IF(AND(K549&lt;&gt;"",H549&gt;0),(H549-K549)/H549,"")</f>
        <v/>
      </c>
      <c r="R549" s="19" t="inlineStr">
        <is>
          <t>478386871025791</t>
        </is>
      </c>
      <c r="S549" s="23" t="n">
        <v>46209.64583333334</v>
      </c>
      <c r="T549" s="23" t="n">
        <v>46326.99930555555</v>
      </c>
      <c r="U549" s="19" t="inlineStr">
        <is>
          <t>101253</t>
        </is>
      </c>
      <c r="V549" t="inlineStr">
        <is>
          <t>213176</t>
        </is>
      </c>
      <c r="W549" t="inlineStr">
        <is>
          <t>venda casada (2 pedidos) · custo do KIT 214059 (60× 213176)</t>
        </is>
      </c>
      <c r="X549" t="n">
        <v>2</v>
      </c>
      <c r="Y549" t="inlineStr">
        <is>
          <t>ok</t>
        </is>
      </c>
    </row>
    <row r="550" ht="15" customFormat="1" customHeight="1" s="14">
      <c r="A550" s="14" t="inlineStr">
        <is>
          <t>Jacartta</t>
        </is>
      </c>
      <c r="B550" s="14" t="inlineStr">
        <is>
          <t>Kit 90 Cabides De Madeira Premium Marfim Para Roupas Calça Gancho Cromado</t>
        </is>
      </c>
      <c r="C550" s="14" t="inlineStr">
        <is>
          <t>KIT 90 PEÇAS</t>
        </is>
      </c>
      <c r="D550" s="14" t="inlineStr">
        <is>
          <t>KIT90-CAB-MADEIRA</t>
        </is>
      </c>
      <c r="E550" s="14" t="inlineStr">
        <is>
          <t>58252746236</t>
        </is>
      </c>
      <c r="F550" s="14" t="inlineStr">
        <is>
          <t>228797586052</t>
        </is>
      </c>
      <c r="G550" s="14" t="inlineStr">
        <is>
          <t>NORMAL</t>
        </is>
      </c>
      <c r="H550" s="15" t="n">
        <v>399.9</v>
      </c>
      <c r="I550" s="15" t="n">
        <v>379.9</v>
      </c>
      <c r="J550" s="16" t="inlineStr">
        <is>
          <t>SIM</t>
        </is>
      </c>
      <c r="K550" s="15" t="n">
        <v>379.9</v>
      </c>
      <c r="L550" s="35">
        <f>IF(K550&lt;&gt;"",K550,I550)</f>
        <v/>
      </c>
      <c r="M550" s="84" t="n">
        <v>90</v>
      </c>
      <c r="N550" s="85" t="n">
        <v>2.01</v>
      </c>
      <c r="O550" s="80">
        <f>ROUND(M550*N550,2)</f>
        <v/>
      </c>
      <c r="P550" s="80">
        <f>IF($O550="","",L550-O550-(L550*IF(L550&lt;=79.99,20%,14%)+IF(L550&lt;=79.99,4,IF(L550&lt;=99.99,16,IF(L550&lt;=199.99,20,IF(L550&lt;=499.99,26,28)))))-L550*1.3%-L550*6%-(L550-O550)*9.25%-L550*3%-L550*3%-1)</f>
        <v/>
      </c>
      <c r="Q550" s="17">
        <f>IF(AND(K550&lt;&gt;"",H550&gt;0),(H550-K550)/H550,"")</f>
        <v/>
      </c>
      <c r="R550" s="14" t="inlineStr">
        <is>
          <t>478386871025791</t>
        </is>
      </c>
      <c r="S550" s="18" t="n">
        <v>46209.64583333334</v>
      </c>
      <c r="T550" s="18" t="n">
        <v>46326.99930555555</v>
      </c>
      <c r="U550" s="14" t="inlineStr">
        <is>
          <t>101253</t>
        </is>
      </c>
      <c r="V550" t="inlineStr">
        <is>
          <t>213176</t>
        </is>
      </c>
      <c r="W550" t="inlineStr">
        <is>
          <t>herdado do anúncio (escalado 30→90 un) · custo do KIT 214060 (90× 213176)</t>
        </is>
      </c>
      <c r="Y550" t="inlineStr">
        <is>
          <t>ok</t>
        </is>
      </c>
    </row>
    <row r="551" ht="15" customFormat="1" customHeight="1" s="19">
      <c r="A551" s="19" t="inlineStr">
        <is>
          <t>Jacartta</t>
        </is>
      </c>
      <c r="B551" s="19" t="inlineStr">
        <is>
          <t>Kit 90 Unidades Tapetes Higiênico Pet Like Para Cães 60x60 Slim Good Pad Carvão Ativado</t>
        </is>
      </c>
      <c r="C551" s="19" t="inlineStr">
        <is>
          <t>Sem variação</t>
        </is>
      </c>
      <c r="D551" s="19" t="inlineStr">
        <is>
          <t>0773_3</t>
        </is>
      </c>
      <c r="E551" s="19" t="inlineStr">
        <is>
          <t>20370349655</t>
        </is>
      </c>
      <c r="F551" s="19" t="inlineStr">
        <is>
          <t>0</t>
        </is>
      </c>
      <c r="G551" s="19" t="inlineStr">
        <is>
          <t>NORMAL</t>
        </is>
      </c>
      <c r="H551" s="20" t="n">
        <v>599.8</v>
      </c>
      <c r="I551" s="20" t="n">
        <v>159.9</v>
      </c>
      <c r="J551" s="21" t="inlineStr">
        <is>
          <t>SIM</t>
        </is>
      </c>
      <c r="K551" s="20" t="n">
        <v>159.9</v>
      </c>
      <c r="L551" s="35">
        <f>IF(K551&lt;&gt;"",K551,I551)</f>
        <v/>
      </c>
      <c r="M551" s="30" t="n"/>
      <c r="N551" s="30" t="n"/>
      <c r="O551" s="29" t="n"/>
      <c r="P551" s="80">
        <f>IF($O551="","",L551-O551-(L551*IF(L551&lt;=79.99,20%,14%)+IF(L551&lt;=79.99,4,IF(L551&lt;=99.99,16,IF(L551&lt;=199.99,20,IF(L551&lt;=499.99,26,28)))))-L551*1.3%-L551*6%-(L551-O551)*9.25%-L551*3%-L551*3%-1)</f>
        <v/>
      </c>
      <c r="Q551" s="22">
        <f>IF(AND(K551&lt;&gt;"",H551&gt;0),(H551-K551)/H551,"")</f>
        <v/>
      </c>
      <c r="R551" s="19" t="inlineStr">
        <is>
          <t>909481068642304</t>
        </is>
      </c>
      <c r="S551" s="23" t="n">
        <v>46144.38680555556</v>
      </c>
      <c r="T551" s="23" t="n">
        <v>46295.4375</v>
      </c>
      <c r="U551" s="19" t="inlineStr">
        <is>
          <t>100926</t>
        </is>
      </c>
      <c r="W551" t="inlineStr">
        <is>
          <t>sem correspondência</t>
        </is>
      </c>
      <c r="Y551" t="inlineStr"/>
    </row>
    <row r="552" ht="15" customFormat="1" customHeight="1" s="14">
      <c r="A552" s="14" t="inlineStr">
        <is>
          <t>Jacartta</t>
        </is>
      </c>
      <c r="B552" s="14" t="inlineStr">
        <is>
          <t>kit adubo fertilizante orquídeas pronto uso manutenção + floração 500 ml forth jardim kit</t>
        </is>
      </c>
      <c r="C552" s="14" t="inlineStr">
        <is>
          <t>Sem variação</t>
        </is>
      </c>
      <c r="D552" s="14" t="inlineStr">
        <is>
          <t>KIT2-FORTH-ORQUIDEAS-500ML</t>
        </is>
      </c>
      <c r="E552" s="14" t="inlineStr">
        <is>
          <t>56310573603</t>
        </is>
      </c>
      <c r="F552" s="14" t="inlineStr">
        <is>
          <t>0</t>
        </is>
      </c>
      <c r="G552" s="14" t="inlineStr">
        <is>
          <t>NORMAL</t>
        </is>
      </c>
      <c r="H552" s="15" t="n">
        <v>89.90000000000001</v>
      </c>
      <c r="I552" s="15" t="n">
        <v>39.9</v>
      </c>
      <c r="J552" s="16" t="inlineStr">
        <is>
          <t>SIM</t>
        </is>
      </c>
      <c r="K552" s="15" t="n">
        <v>39.9</v>
      </c>
      <c r="L552" s="35">
        <f>IF(K552&lt;&gt;"",K552,I552)</f>
        <v/>
      </c>
      <c r="M552" s="28" t="n"/>
      <c r="N552" s="28" t="n"/>
      <c r="O552" s="29" t="n"/>
      <c r="P552" s="80">
        <f>IF($O552="","",L552-O552-(L552*IF(L552&lt;=79.99,20%,14%)+IF(L552&lt;=79.99,4,IF(L552&lt;=99.99,16,IF(L552&lt;=199.99,20,IF(L552&lt;=499.99,26,28)))))-L552*1.3%-L552*6%-(L552-O552)*9.25%-L552*3%-L552*3%-1)</f>
        <v/>
      </c>
      <c r="Q552" s="17">
        <f>IF(AND(K552&lt;&gt;"",H552&gt;0),(H552-K552)/H552,"")</f>
        <v/>
      </c>
      <c r="R552" s="14" t="inlineStr">
        <is>
          <t>909481504866304</t>
        </is>
      </c>
      <c r="S552" s="18" t="n">
        <v>46144.3875</v>
      </c>
      <c r="T552" s="18" t="n">
        <v>46295.4375</v>
      </c>
      <c r="U552" s="14" t="inlineStr">
        <is>
          <t>101184</t>
        </is>
      </c>
      <c r="W552" t="inlineStr">
        <is>
          <t>sem correspondência</t>
        </is>
      </c>
      <c r="Y552" t="inlineStr"/>
    </row>
    <row r="553" ht="15" customFormat="1" customHeight="1" s="19">
      <c r="A553" s="19" t="inlineStr">
        <is>
          <t>Jacartta</t>
        </is>
      </c>
      <c r="B553" s="19" t="inlineStr">
        <is>
          <t>Kit Caixa de Areia Para Gatos Banheira Higiênica 2 Peças Com Bandeja Sanitária e Peneira + Pázinha</t>
        </is>
      </c>
      <c r="C553" s="19" t="inlineStr">
        <is>
          <t>Azul</t>
        </is>
      </c>
      <c r="D553" s="19" t="inlineStr">
        <is>
          <t>KIT-CAIXA+PÁZINHA-AZ</t>
        </is>
      </c>
      <c r="E553" s="19" t="inlineStr">
        <is>
          <t>58256321093</t>
        </is>
      </c>
      <c r="F553" s="19" t="inlineStr">
        <is>
          <t>199186642460</t>
        </is>
      </c>
      <c r="G553" s="19" t="inlineStr">
        <is>
          <t>NORMAL</t>
        </is>
      </c>
      <c r="H553" s="20" t="n">
        <v>99.90000000000001</v>
      </c>
      <c r="I553" s="20" t="n">
        <v>69.90000000000001</v>
      </c>
      <c r="J553" s="21" t="inlineStr">
        <is>
          <t>SIM</t>
        </is>
      </c>
      <c r="K553" s="20" t="n">
        <v>69.90000000000001</v>
      </c>
      <c r="L553" s="35">
        <f>IF(K553&lt;&gt;"",K553,I553)</f>
        <v/>
      </c>
      <c r="M553" s="32" t="n"/>
      <c r="N553" s="30" t="n"/>
      <c r="O553" s="29" t="n"/>
      <c r="P553" s="80">
        <f>IF($O553="","",L553-O553-(L553*IF(L553&lt;=79.99,20%,14%)+IF(L553&lt;=79.99,4,IF(L553&lt;=99.99,16,IF(L553&lt;=199.99,20,IF(L553&lt;=499.99,26,28)))))-L553*1.3%-L553*6%-(L553-O553)*9.25%-L553*3%-L553*3%-1)</f>
        <v/>
      </c>
      <c r="Q553" s="22">
        <f>IF(AND(K553&lt;&gt;"",H553&gt;0),(H553-K553)/H553,"")</f>
        <v/>
      </c>
      <c r="R553" s="19" t="inlineStr">
        <is>
          <t>909481504866304</t>
        </is>
      </c>
      <c r="S553" s="23" t="n">
        <v>46144.3875</v>
      </c>
      <c r="T553" s="23" t="n">
        <v>46295.4375</v>
      </c>
      <c r="U553" s="19" t="inlineStr">
        <is>
          <t>100924</t>
        </is>
      </c>
      <c r="W553" t="inlineStr">
        <is>
          <t>sem correspondência</t>
        </is>
      </c>
      <c r="Y553" t="inlineStr"/>
    </row>
    <row r="554" ht="15" customFormat="1" customHeight="1" s="14">
      <c r="A554" s="14" t="inlineStr">
        <is>
          <t>Jacartta</t>
        </is>
      </c>
      <c r="B554" s="14" t="inlineStr">
        <is>
          <t>Kit Caixa de Areia Para Gatos Banheira Higiênica 2 Peças Com Bandeja Sanitária e Peneira + Pázinha</t>
        </is>
      </c>
      <c r="C554" s="14" t="inlineStr">
        <is>
          <t>Preto</t>
        </is>
      </c>
      <c r="D554" s="14" t="inlineStr">
        <is>
          <t>KIT-CAIXA+PÁZINHA-PT</t>
        </is>
      </c>
      <c r="E554" s="14" t="inlineStr">
        <is>
          <t>58256321093</t>
        </is>
      </c>
      <c r="F554" s="14" t="inlineStr">
        <is>
          <t>199186642463</t>
        </is>
      </c>
      <c r="G554" s="14" t="inlineStr">
        <is>
          <t>NORMAL</t>
        </is>
      </c>
      <c r="H554" s="15" t="n">
        <v>99.90000000000001</v>
      </c>
      <c r="I554" s="15" t="n">
        <v>69.90000000000001</v>
      </c>
      <c r="J554" s="16" t="inlineStr">
        <is>
          <t>SIM</t>
        </is>
      </c>
      <c r="K554" s="15" t="n">
        <v>69.90000000000001</v>
      </c>
      <c r="L554" s="35">
        <f>IF(K554&lt;&gt;"",K554,I554)</f>
        <v/>
      </c>
      <c r="M554" s="33" t="n"/>
      <c r="N554" s="28" t="n"/>
      <c r="O554" s="29" t="n"/>
      <c r="P554" s="80">
        <f>IF($O554="","",L554-O554-(L554*IF(L554&lt;=79.99,20%,14%)+IF(L554&lt;=79.99,4,IF(L554&lt;=99.99,16,IF(L554&lt;=199.99,20,IF(L554&lt;=499.99,26,28)))))-L554*1.3%-L554*6%-(L554-O554)*9.25%-L554*3%-L554*3%-1)</f>
        <v/>
      </c>
      <c r="Q554" s="17">
        <f>IF(AND(K554&lt;&gt;"",H554&gt;0),(H554-K554)/H554,"")</f>
        <v/>
      </c>
      <c r="R554" s="14" t="inlineStr">
        <is>
          <t>909481504866304</t>
        </is>
      </c>
      <c r="S554" s="18" t="n">
        <v>46144.3875</v>
      </c>
      <c r="T554" s="18" t="n">
        <v>46295.4375</v>
      </c>
      <c r="U554" s="14" t="inlineStr">
        <is>
          <t>100924</t>
        </is>
      </c>
      <c r="W554" t="inlineStr">
        <is>
          <t>sem correspondência</t>
        </is>
      </c>
      <c r="Y554" t="inlineStr"/>
    </row>
    <row r="555" ht="15" customFormat="1" customHeight="1" s="19">
      <c r="A555" s="19" t="inlineStr">
        <is>
          <t>Jacartta</t>
        </is>
      </c>
      <c r="B555" s="19" t="inlineStr">
        <is>
          <t>Kit Caixa de Areia Para Gatos Banheira Higiênica 2 Peças Com Bandeja Sanitária e Peneira + Pázinha</t>
        </is>
      </c>
      <c r="C555" s="19" t="inlineStr">
        <is>
          <t>Tiffane</t>
        </is>
      </c>
      <c r="D555" s="19" t="inlineStr">
        <is>
          <t>KIT-CAIXA+PÁZINHA-TF</t>
        </is>
      </c>
      <c r="E555" s="19" t="inlineStr">
        <is>
          <t>58256321093</t>
        </is>
      </c>
      <c r="F555" s="19" t="inlineStr">
        <is>
          <t>199186642461</t>
        </is>
      </c>
      <c r="G555" s="19" t="inlineStr">
        <is>
          <t>NORMAL</t>
        </is>
      </c>
      <c r="H555" s="20" t="n">
        <v>99.90000000000001</v>
      </c>
      <c r="I555" s="20" t="n">
        <v>69.90000000000001</v>
      </c>
      <c r="J555" s="21" t="inlineStr">
        <is>
          <t>SIM</t>
        </is>
      </c>
      <c r="K555" s="20" t="n">
        <v>69.90000000000001</v>
      </c>
      <c r="L555" s="35">
        <f>IF(K555&lt;&gt;"",K555,I555)</f>
        <v/>
      </c>
      <c r="M555" s="32" t="n"/>
      <c r="N555" s="30" t="n"/>
      <c r="O555" s="29" t="n"/>
      <c r="P555" s="80">
        <f>IF($O555="","",L555-O555-(L555*IF(L555&lt;=79.99,20%,14%)+IF(L555&lt;=79.99,4,IF(L555&lt;=99.99,16,IF(L555&lt;=199.99,20,IF(L555&lt;=499.99,26,28)))))-L555*1.3%-L555*6%-(L555-O555)*9.25%-L555*3%-L555*3%-1)</f>
        <v/>
      </c>
      <c r="Q555" s="22">
        <f>IF(AND(K555&lt;&gt;"",H555&gt;0),(H555-K555)/H555,"")</f>
        <v/>
      </c>
      <c r="R555" s="19" t="inlineStr">
        <is>
          <t>909481504866304</t>
        </is>
      </c>
      <c r="S555" s="23" t="n">
        <v>46144.3875</v>
      </c>
      <c r="T555" s="23" t="n">
        <v>46295.4375</v>
      </c>
      <c r="U555" s="19" t="inlineStr">
        <is>
          <t>100924</t>
        </is>
      </c>
      <c r="W555" t="inlineStr">
        <is>
          <t>sem correspondência</t>
        </is>
      </c>
      <c r="Y555" t="inlineStr"/>
    </row>
    <row r="556" ht="15" customFormat="1" customHeight="1" s="14">
      <c r="A556" s="14" t="inlineStr">
        <is>
          <t>Jacartta</t>
        </is>
      </c>
      <c r="B556" s="14" t="inlineStr">
        <is>
          <t>Kit Caixa de Areia Para Gatos Banheira Higiênica 2 Peças Com Bandeja Sanitária e Peneira + Pázinha</t>
        </is>
      </c>
      <c r="C556" s="14" t="inlineStr">
        <is>
          <t>Vermelho</t>
        </is>
      </c>
      <c r="D556" s="14" t="inlineStr">
        <is>
          <t>KIT-CAIXA+PÁZINHA-VM</t>
        </is>
      </c>
      <c r="E556" s="14" t="inlineStr">
        <is>
          <t>58256321093</t>
        </is>
      </c>
      <c r="F556" s="14" t="inlineStr">
        <is>
          <t>199186642462</t>
        </is>
      </c>
      <c r="G556" s="14" t="inlineStr">
        <is>
          <t>NORMAL</t>
        </is>
      </c>
      <c r="H556" s="15" t="n">
        <v>99.90000000000001</v>
      </c>
      <c r="I556" s="15" t="n">
        <v>69.90000000000001</v>
      </c>
      <c r="J556" s="16" t="inlineStr">
        <is>
          <t>SIM</t>
        </is>
      </c>
      <c r="K556" s="15" t="n">
        <v>69.90000000000001</v>
      </c>
      <c r="L556" s="35">
        <f>IF(K556&lt;&gt;"",K556,I556)</f>
        <v/>
      </c>
      <c r="M556" s="33" t="n"/>
      <c r="N556" s="28" t="n"/>
      <c r="O556" s="29" t="n"/>
      <c r="P556" s="80">
        <f>IF($O556="","",L556-O556-(L556*IF(L556&lt;=79.99,20%,14%)+IF(L556&lt;=79.99,4,IF(L556&lt;=99.99,16,IF(L556&lt;=199.99,20,IF(L556&lt;=499.99,26,28)))))-L556*1.3%-L556*6%-(L556-O556)*9.25%-L556*3%-L556*3%-1)</f>
        <v/>
      </c>
      <c r="Q556" s="17">
        <f>IF(AND(K556&lt;&gt;"",H556&gt;0),(H556-K556)/H556,"")</f>
        <v/>
      </c>
      <c r="R556" s="14" t="inlineStr">
        <is>
          <t>909481504866304</t>
        </is>
      </c>
      <c r="S556" s="18" t="n">
        <v>46144.3875</v>
      </c>
      <c r="T556" s="18" t="n">
        <v>46295.4375</v>
      </c>
      <c r="U556" s="14" t="inlineStr">
        <is>
          <t>100924</t>
        </is>
      </c>
      <c r="W556" t="inlineStr">
        <is>
          <t>sem correspondência</t>
        </is>
      </c>
      <c r="Y556" t="inlineStr"/>
    </row>
    <row r="557" ht="15" customFormat="1" customHeight="1" s="19">
      <c r="A557" s="19" t="inlineStr">
        <is>
          <t>Jacartta</t>
        </is>
      </c>
      <c r="B557" s="19" t="inlineStr">
        <is>
          <t>Areia Higiênica Biodegradável Espaço do Bicho Grãos Finos 8kg – Milho e Mandioca (100% Natural)</t>
        </is>
      </c>
      <c r="C557" s="19" t="inlineStr">
        <is>
          <t>12KG,Grãos Finos</t>
        </is>
      </c>
      <c r="D557" s="19" t="inlineStr">
        <is>
          <t>AREIA-EDB-12KG-GF</t>
        </is>
      </c>
      <c r="E557" s="19" t="inlineStr">
        <is>
          <t>58202029368</t>
        </is>
      </c>
      <c r="F557" s="19" t="inlineStr">
        <is>
          <t>219618605528</t>
        </is>
      </c>
      <c r="G557" s="19" t="inlineStr">
        <is>
          <t>NORMAL</t>
        </is>
      </c>
      <c r="H557" s="20" t="n">
        <v>180.9</v>
      </c>
      <c r="I557" s="20" t="n">
        <v>149.9</v>
      </c>
      <c r="J557" s="21" t="inlineStr">
        <is>
          <t>SIM</t>
        </is>
      </c>
      <c r="K557" s="20" t="n">
        <v>149.9</v>
      </c>
      <c r="L557" s="35">
        <f>IF(K557&lt;&gt;"",K557,I557)</f>
        <v/>
      </c>
      <c r="M557" s="32" t="n">
        <v>3</v>
      </c>
      <c r="N557" s="30" t="n">
        <v>22.36</v>
      </c>
      <c r="O557" s="31">
        <f>N557*M557</f>
        <v/>
      </c>
      <c r="P557" s="80">
        <f>IF($O557="","",L557-O557-(L557*IF(L557&lt;=79.99,20%,14%)+IF(L557&lt;=79.99,4,IF(L557&lt;=99.99,16,IF(L557&lt;=199.99,20,IF(L557&lt;=499.99,26,28)))))-L557*1.3%-L557*6%-(L557-O557)*9.25%-L557*3%-L557*3%-1)</f>
        <v/>
      </c>
      <c r="Q557" s="22">
        <f>IF(AND(K557&lt;&gt;"",H557&gt;0),(H557-K557)/H557,"")</f>
        <v/>
      </c>
      <c r="R557" s="19" t="inlineStr">
        <is>
          <t>488117194936589</t>
        </is>
      </c>
      <c r="S557" s="23" t="n">
        <v>46236.5</v>
      </c>
      <c r="T557" s="23" t="n">
        <v>46361.54166666666</v>
      </c>
      <c r="U557" s="19" t="inlineStr">
        <is>
          <t>100923</t>
        </is>
      </c>
      <c r="V557" t="inlineStr">
        <is>
          <t>215511</t>
        </is>
      </c>
      <c r="W557" t="inlineStr">
        <is>
          <t>venda casada (97 pedidos) · QTD/custo manuais mantidos · ATENÇÃO: Olist hoje diz 28.27</t>
        </is>
      </c>
      <c r="X557" t="n">
        <v>97</v>
      </c>
      <c r="Y557" t="inlineStr">
        <is>
          <t>ok</t>
        </is>
      </c>
    </row>
    <row r="558" ht="15" customFormat="1" customHeight="1" s="14">
      <c r="A558" s="19" t="inlineStr">
        <is>
          <t>Jacartta</t>
        </is>
      </c>
      <c r="B558" s="19" t="inlineStr">
        <is>
          <t>Kit 3 Areia Sanitária Higiênica Biodegradável Grãos Finos Milho e Mandioca Espaço De Bicho</t>
        </is>
      </c>
      <c r="C558" s="19" t="inlineStr">
        <is>
          <t>Grãos Finos</t>
        </is>
      </c>
      <c r="D558" s="19" t="inlineStr">
        <is>
          <t>KIT3-AREIA-EDB-4KG-GF</t>
        </is>
      </c>
      <c r="E558" s="19" t="inlineStr">
        <is>
          <t>58204492547</t>
        </is>
      </c>
      <c r="F558" s="19" t="inlineStr">
        <is>
          <t>179413325542</t>
        </is>
      </c>
      <c r="G558" s="19" t="inlineStr">
        <is>
          <t>NORMAL</t>
        </is>
      </c>
      <c r="H558" s="20" t="n">
        <v>150.9</v>
      </c>
      <c r="I558" s="20" t="n">
        <v>149.9</v>
      </c>
      <c r="J558" s="21" t="inlineStr">
        <is>
          <t>SIM</t>
        </is>
      </c>
      <c r="K558" s="20" t="n">
        <v>149.9</v>
      </c>
      <c r="L558" s="35">
        <f>IF(K558&lt;&gt;"",K558,I558)</f>
        <v/>
      </c>
      <c r="M558" s="32" t="n">
        <v>3</v>
      </c>
      <c r="N558" s="30" t="n">
        <v>22.36</v>
      </c>
      <c r="O558" s="31">
        <f>N558*M558</f>
        <v/>
      </c>
      <c r="P558" s="80">
        <f>IF($O558="","",L558-O558-(L558*IF(L558&lt;=79.99,20%,14%)+IF(L558&lt;=79.99,4,IF(L558&lt;=99.99,16,IF(L558&lt;=199.99,20,IF(L558&lt;=499.99,26,28)))))-L558*1.3%-L558*6%-(L558-O558)*9.25%-L558*3%-L558*3%-1)</f>
        <v/>
      </c>
      <c r="Q558" s="22">
        <f>IF(AND(K558&lt;&gt;"",H558&gt;0),(H558-K558)/H558,"")</f>
        <v/>
      </c>
      <c r="R558" s="19" t="inlineStr">
        <is>
          <t>488117194936589</t>
        </is>
      </c>
      <c r="S558" s="23" t="n">
        <v>46236.5</v>
      </c>
      <c r="T558" s="23" t="n">
        <v>46361.54166666666</v>
      </c>
      <c r="U558" s="19" t="inlineStr">
        <is>
          <t>100923</t>
        </is>
      </c>
      <c r="V558" t="inlineStr">
        <is>
          <t>215511</t>
        </is>
      </c>
      <c r="W558" t="inlineStr">
        <is>
          <t>venda casada (4 pedidos) · QTD/custo manuais mantidos · ATENÇÃO: Olist hoje diz 28.27</t>
        </is>
      </c>
      <c r="X558" t="n">
        <v>4</v>
      </c>
      <c r="Y558" t="inlineStr">
        <is>
          <t>ok</t>
        </is>
      </c>
    </row>
    <row r="559" ht="15" customFormat="1" customHeight="1" s="19">
      <c r="A559" s="19" t="inlineStr">
        <is>
          <t>Jacartta</t>
        </is>
      </c>
      <c r="B559" s="19" t="inlineStr">
        <is>
          <t>Areia Higiênica Biodegradável Espaço do Bicho Grãos Finos 4kg – Milho e Mandioca (100% Natural)</t>
        </is>
      </c>
      <c r="C559" s="19" t="inlineStr">
        <is>
          <t>12KG,Grãos Finos</t>
        </is>
      </c>
      <c r="D559" s="19" t="inlineStr">
        <is>
          <t>AREIA-EDB-12KG-GF</t>
        </is>
      </c>
      <c r="E559" s="19" t="inlineStr">
        <is>
          <t>58202029766</t>
        </is>
      </c>
      <c r="F559" s="19" t="inlineStr">
        <is>
          <t>219186161451</t>
        </is>
      </c>
      <c r="G559" s="19" t="inlineStr">
        <is>
          <t>NORMAL</t>
        </is>
      </c>
      <c r="H559" s="20" t="n">
        <v>180.9</v>
      </c>
      <c r="I559" s="20" t="n">
        <v>130.9</v>
      </c>
      <c r="J559" s="21" t="inlineStr">
        <is>
          <t>SIM</t>
        </is>
      </c>
      <c r="K559" s="20" t="n">
        <v>130.9</v>
      </c>
      <c r="L559" s="35">
        <f>IF(K559&lt;&gt;"",K559,I559)</f>
        <v/>
      </c>
      <c r="M559" s="32" t="n">
        <v>3</v>
      </c>
      <c r="N559" s="30" t="n">
        <v>22.36</v>
      </c>
      <c r="O559" s="31">
        <f>N559*M559</f>
        <v/>
      </c>
      <c r="P559" s="80">
        <f>IF($O559="","",L559-O559-(L559*IF(L559&lt;=79.99,20%,14%)+IF(L559&lt;=79.99,4,IF(L559&lt;=99.99,16,IF(L559&lt;=199.99,20,IF(L559&lt;=499.99,26,28)))))-L559*1.3%-L559*6%-(L559-O559)*9.25%-L559*3%-L559*3%-1)</f>
        <v/>
      </c>
      <c r="Q559" s="22">
        <f>IF(AND(K559&lt;&gt;"",H559&gt;0),(H559-K559)/H559,"")</f>
        <v/>
      </c>
      <c r="R559" s="19" t="inlineStr">
        <is>
          <t>488117194936589</t>
        </is>
      </c>
      <c r="S559" s="23" t="n">
        <v>46236.5</v>
      </c>
      <c r="T559" s="23" t="n">
        <v>46361.54166666666</v>
      </c>
      <c r="U559" s="19" t="inlineStr">
        <is>
          <t>100923</t>
        </is>
      </c>
      <c r="V559" t="inlineStr">
        <is>
          <t>215511</t>
        </is>
      </c>
      <c r="W559" t="inlineStr">
        <is>
          <t>venda casada (188 pedidos) · QTD/custo manuais mantidos · ATENÇÃO: Olist hoje diz 28.27</t>
        </is>
      </c>
      <c r="X559" t="n">
        <v>188</v>
      </c>
      <c r="Y559" t="inlineStr">
        <is>
          <t>ok</t>
        </is>
      </c>
    </row>
    <row r="560" ht="15" customFormat="1" customHeight="1" s="14">
      <c r="A560" s="14" t="inlineStr">
        <is>
          <t>Espaço De Bicho</t>
        </is>
      </c>
      <c r="B560" s="14" t="inlineStr">
        <is>
          <t>Kit Tapete Higiênico Ultra Pads 60unid 80x60cm Aroma Lavanda</t>
        </is>
      </c>
      <c r="C560" s="14" t="inlineStr">
        <is>
          <t>Sem variação</t>
        </is>
      </c>
      <c r="D560" s="14" t="inlineStr">
        <is>
          <t>0792_1</t>
        </is>
      </c>
      <c r="E560" s="14" t="inlineStr">
        <is>
          <t>21672832359</t>
        </is>
      </c>
      <c r="F560" s="14" t="inlineStr">
        <is>
          <t>0</t>
        </is>
      </c>
      <c r="G560" s="14" t="inlineStr">
        <is>
          <t>NORMAL</t>
        </is>
      </c>
      <c r="H560" s="15" t="n">
        <v>249.9</v>
      </c>
      <c r="I560" s="15" t="n">
        <v>129.9</v>
      </c>
      <c r="J560" s="16" t="inlineStr">
        <is>
          <t>SIM</t>
        </is>
      </c>
      <c r="K560" s="15" t="n">
        <v>129.9</v>
      </c>
      <c r="L560" s="35">
        <f>IF(K560&lt;&gt;"",K560,I560)</f>
        <v/>
      </c>
      <c r="M560" s="84" t="n">
        <v>2</v>
      </c>
      <c r="N560" s="85" t="n">
        <v>29.19</v>
      </c>
      <c r="O560" s="80">
        <f>ROUND(M560*N560,2)</f>
        <v/>
      </c>
      <c r="P560" s="80">
        <f>IF($O560="","",L560-O560-(L560*IF(L560&lt;=79.99,20%,14%)+IF(L560&lt;=79.99,4,IF(L560&lt;=99.99,16,IF(L560&lt;=199.99,20,IF(L560&lt;=499.99,26,28)))))-L560*1.3%-L560*6%-(L560-O560)*9.25%-L560*3%-L560*3%-1)</f>
        <v/>
      </c>
      <c r="Q560" s="17">
        <f>IF(AND(K560&lt;&gt;"",H560&gt;0),(H560-K560)/H560,"")</f>
        <v/>
      </c>
      <c r="R560" s="14" t="inlineStr">
        <is>
          <t>909477973245952</t>
        </is>
      </c>
      <c r="S560" s="18" t="n">
        <v>46144.38263888889</v>
      </c>
      <c r="T560" s="18" t="n">
        <v>46295.4375</v>
      </c>
      <c r="U560" s="14" t="inlineStr">
        <is>
          <t>100925</t>
        </is>
      </c>
      <c r="V560" t="inlineStr">
        <is>
          <t>212967</t>
        </is>
      </c>
      <c r="W560" t="inlineStr">
        <is>
          <t>venda casada (16 pedidos) · custo do KIT 213808 (2× 212967)</t>
        </is>
      </c>
      <c r="X560" t="n">
        <v>16</v>
      </c>
      <c r="Y560" t="inlineStr">
        <is>
          <t>ok</t>
        </is>
      </c>
    </row>
    <row r="561" ht="15" customFormat="1" customHeight="1" s="19">
      <c r="A561" s="19" t="inlineStr">
        <is>
          <t>Jacartta</t>
        </is>
      </c>
      <c r="B561" s="19" t="inlineStr">
        <is>
          <t>Kit Tapete Higiênico Ultra Pads 60unid 80x60cm Aroma Lavanda</t>
        </is>
      </c>
      <c r="C561" s="19" t="inlineStr">
        <is>
          <t>Sem variação</t>
        </is>
      </c>
      <c r="D561" s="19" t="inlineStr">
        <is>
          <t>0790</t>
        </is>
      </c>
      <c r="E561" s="19" t="inlineStr">
        <is>
          <t>23123040057</t>
        </is>
      </c>
      <c r="F561" s="19" t="inlineStr">
        <is>
          <t>0</t>
        </is>
      </c>
      <c r="G561" s="19" t="inlineStr">
        <is>
          <t>NORMAL</t>
        </is>
      </c>
      <c r="H561" s="20" t="n">
        <v>139.9</v>
      </c>
      <c r="I561" s="20" t="n">
        <v>129.9</v>
      </c>
      <c r="J561" s="21" t="inlineStr">
        <is>
          <t>SIM</t>
        </is>
      </c>
      <c r="K561" s="20" t="n">
        <v>129.9</v>
      </c>
      <c r="L561" s="35">
        <f>IF(K561&lt;&gt;"",K561,I561)</f>
        <v/>
      </c>
      <c r="M561" s="81" t="n">
        <v>2</v>
      </c>
      <c r="N561" s="82" t="n">
        <v>29.19</v>
      </c>
      <c r="O561" s="80">
        <f>ROUND(M561*N561,2)</f>
        <v/>
      </c>
      <c r="P561" s="80">
        <f>IF($O561="","",L561-O561-(L561*IF(L561&lt;=79.99,20%,14%)+IF(L561&lt;=79.99,4,IF(L561&lt;=99.99,16,IF(L561&lt;=199.99,20,IF(L561&lt;=499.99,26,28)))))-L561*1.3%-L561*6%-(L561-O561)*9.25%-L561*3%-L561*3%-1)</f>
        <v/>
      </c>
      <c r="Q561" s="22">
        <f>IF(AND(K561&lt;&gt;"",H561&gt;0),(H561-K561)/H561,"")</f>
        <v/>
      </c>
      <c r="R561" s="19" t="inlineStr">
        <is>
          <t>909481504866304</t>
        </is>
      </c>
      <c r="S561" s="23" t="n">
        <v>46144.3875</v>
      </c>
      <c r="T561" s="23" t="n">
        <v>46295.4375</v>
      </c>
      <c r="U561" s="19" t="inlineStr">
        <is>
          <t>100926</t>
        </is>
      </c>
      <c r="V561" t="inlineStr">
        <is>
          <t>212967</t>
        </is>
      </c>
      <c r="W561" t="inlineStr">
        <is>
          <t>venda casada (21 pedidos) · custo do KIT 213808 (2× 212967)</t>
        </is>
      </c>
      <c r="X561" t="n">
        <v>21</v>
      </c>
      <c r="Y561" t="inlineStr">
        <is>
          <t>ok</t>
        </is>
      </c>
    </row>
    <row r="562" ht="15" customFormat="1" customHeight="1" s="14">
      <c r="A562" s="14" t="inlineStr">
        <is>
          <t>Jacartta</t>
        </is>
      </c>
      <c r="B562" s="14" t="inlineStr">
        <is>
          <t>Tapete Higiênico Good Pad 60x60 com 150 unidades</t>
        </is>
      </c>
      <c r="C562" s="14" t="inlineStr">
        <is>
          <t>Sem variação</t>
        </is>
      </c>
      <c r="D562" s="14" t="inlineStr">
        <is>
          <t>0771</t>
        </is>
      </c>
      <c r="E562" s="14" t="inlineStr">
        <is>
          <t>12096100294</t>
        </is>
      </c>
      <c r="F562" s="14" t="inlineStr">
        <is>
          <t>0</t>
        </is>
      </c>
      <c r="G562" s="14" t="inlineStr">
        <is>
          <t>NORMAL</t>
        </is>
      </c>
      <c r="H562" s="15" t="n">
        <v>299.9</v>
      </c>
      <c r="I562" s="15" t="n">
        <v>149.9</v>
      </c>
      <c r="J562" s="16" t="inlineStr">
        <is>
          <t>SIM</t>
        </is>
      </c>
      <c r="K562" s="15" t="n">
        <v>149.9</v>
      </c>
      <c r="L562" s="35">
        <f>IF(K562&lt;&gt;"",K562,I562)</f>
        <v/>
      </c>
      <c r="M562" s="84" t="n">
        <v>3</v>
      </c>
      <c r="N562" s="85" t="n">
        <v>33.46</v>
      </c>
      <c r="O562" s="80">
        <f>ROUND(M562*N562,2)</f>
        <v/>
      </c>
      <c r="P562" s="80">
        <f>IF($O562="","",L562-O562-(L562*IF(L562&lt;=79.99,20%,14%)+IF(L562&lt;=79.99,4,IF(L562&lt;=99.99,16,IF(L562&lt;=199.99,20,IF(L562&lt;=499.99,26,28)))))-L562*1.3%-L562*6%-(L562-O562)*9.25%-L562*3%-L562*3%-1)</f>
        <v/>
      </c>
      <c r="Q562" s="17">
        <f>IF(AND(K562&lt;&gt;"",H562&gt;0),(H562-K562)/H562,"")</f>
        <v/>
      </c>
      <c r="R562" s="14" t="inlineStr">
        <is>
          <t>909481504866304</t>
        </is>
      </c>
      <c r="S562" s="18" t="n">
        <v>46144.3875</v>
      </c>
      <c r="T562" s="18" t="n">
        <v>46295.4375</v>
      </c>
      <c r="U562" s="14" t="inlineStr">
        <is>
          <t>100926</t>
        </is>
      </c>
      <c r="V562" t="inlineStr">
        <is>
          <t>212961</t>
        </is>
      </c>
      <c r="W562" t="inlineStr">
        <is>
          <t>venda casada (66 pedidos) · custo do KIT 213833 (3× 212961)</t>
        </is>
      </c>
      <c r="X562" t="n">
        <v>66</v>
      </c>
      <c r="Y562" t="inlineStr">
        <is>
          <t>ok</t>
        </is>
      </c>
    </row>
    <row r="563" ht="15" customFormat="1" customHeight="1" s="19">
      <c r="A563" s="19" t="inlineStr">
        <is>
          <t>Espaço De Bicho</t>
        </is>
      </c>
      <c r="B563" s="19" t="inlineStr">
        <is>
          <t>Tapete Higiênico Espaço De Bicho Shopito Oficial 90 Unidades Aroma Bebê 80x60cm</t>
        </is>
      </c>
      <c r="C563" s="19" t="inlineStr">
        <is>
          <t>Sem variação</t>
        </is>
      </c>
      <c r="D563" s="19" t="inlineStr">
        <is>
          <t>TAPETE-SHOPITO-90UNI-AROMABB</t>
        </is>
      </c>
      <c r="E563" s="19" t="inlineStr">
        <is>
          <t>18299646291</t>
        </is>
      </c>
      <c r="F563" s="19" t="inlineStr">
        <is>
          <t>0</t>
        </is>
      </c>
      <c r="G563" s="19" t="inlineStr">
        <is>
          <t>NORMAL</t>
        </is>
      </c>
      <c r="H563" s="20" t="n">
        <v>390.9</v>
      </c>
      <c r="I563" s="20" t="n">
        <v>184.9</v>
      </c>
      <c r="J563" s="21" t="inlineStr">
        <is>
          <t>SIM</t>
        </is>
      </c>
      <c r="K563" s="20" t="n">
        <v>184.9</v>
      </c>
      <c r="L563" s="35">
        <f>IF(K563&lt;&gt;"",K563,I563)</f>
        <v/>
      </c>
      <c r="M563" s="81" t="n">
        <v>3</v>
      </c>
      <c r="N563" s="82" t="n">
        <v>28.64</v>
      </c>
      <c r="O563" s="83">
        <f>ROUND(M563*N563,2)</f>
        <v/>
      </c>
      <c r="P563" s="80">
        <f>IF($O563="","",L563-O563-(L563*IF(L563&lt;=79.99,20%,14%)+IF(L563&lt;=79.99,4,IF(L563&lt;=99.99,16,IF(L563&lt;=199.99,20,IF(L563&lt;=499.99,26,28)))))-L563*1.3%-L563*6%-(L563-O563)*9.25%-L563*3%-L563*3%-1)</f>
        <v/>
      </c>
      <c r="Q563" s="22">
        <f>IF(AND(K563&lt;&gt;"",H563&gt;0),(H563-K563)/H563,"")</f>
        <v/>
      </c>
      <c r="R563" s="19" t="inlineStr">
        <is>
          <t>909474743648256</t>
        </is>
      </c>
      <c r="S563" s="23" t="n">
        <v>46144.37777777778</v>
      </c>
      <c r="T563" s="23" t="n">
        <v>46295.97916666666</v>
      </c>
      <c r="U563" s="19" t="inlineStr">
        <is>
          <t>100926</t>
        </is>
      </c>
      <c r="V563" t="inlineStr">
        <is>
          <t>213173</t>
        </is>
      </c>
      <c r="W563" t="inlineStr">
        <is>
          <t>venda casada (12 pedidos) · custo do KIT 213819 (3× 213173)</t>
        </is>
      </c>
      <c r="X563" t="n">
        <v>12</v>
      </c>
      <c r="Y563" t="inlineStr">
        <is>
          <t>ok</t>
        </is>
      </c>
    </row>
    <row r="564" ht="15" customFormat="1" customHeight="1" s="14">
      <c r="A564" s="19" t="inlineStr">
        <is>
          <t>Jacartta</t>
        </is>
      </c>
      <c r="B564" s="19" t="inlineStr">
        <is>
          <t>Tapete Higiênico Espaço De Bicho Shopito Oficial 90 Unidades Aroma Bebê 80x60cm</t>
        </is>
      </c>
      <c r="C564" s="19" t="inlineStr">
        <is>
          <t>Sem variação</t>
        </is>
      </c>
      <c r="D564" s="19" t="inlineStr">
        <is>
          <t>1701</t>
        </is>
      </c>
      <c r="E564" s="19" t="inlineStr">
        <is>
          <t>22893665351</t>
        </is>
      </c>
      <c r="F564" s="19" t="inlineStr">
        <is>
          <t>0</t>
        </is>
      </c>
      <c r="G564" s="19" t="inlineStr">
        <is>
          <t>NORMAL</t>
        </is>
      </c>
      <c r="H564" s="20" t="n">
        <v>390.9</v>
      </c>
      <c r="I564" s="20" t="n">
        <v>184.9</v>
      </c>
      <c r="J564" s="21" t="inlineStr">
        <is>
          <t>SIM</t>
        </is>
      </c>
      <c r="K564" s="20" t="n">
        <v>184.9</v>
      </c>
      <c r="L564" s="35">
        <f>IF(K564&lt;&gt;"",K564,I564)</f>
        <v/>
      </c>
      <c r="M564" s="81" t="n">
        <v>3</v>
      </c>
      <c r="N564" s="82" t="n">
        <v>28.64</v>
      </c>
      <c r="O564" s="83">
        <f>ROUND(M564*N564,2)</f>
        <v/>
      </c>
      <c r="P564" s="80">
        <f>IF($O564="","",L564-O564-(L564*IF(L564&lt;=79.99,20%,14%)+IF(L564&lt;=79.99,4,IF(L564&lt;=99.99,16,IF(L564&lt;=199.99,20,IF(L564&lt;=499.99,26,28)))))-L564*1.3%-L564*6%-(L564-O564)*9.25%-L564*3%-L564*3%-1)</f>
        <v/>
      </c>
      <c r="Q564" s="22">
        <f>IF(AND(K564&lt;&gt;"",H564&gt;0),(H564-K564)/H564,"")</f>
        <v/>
      </c>
      <c r="R564" s="19" t="inlineStr">
        <is>
          <t>909480791819264</t>
        </is>
      </c>
      <c r="S564" s="23" t="n">
        <v>46144.38611111111</v>
      </c>
      <c r="T564" s="23" t="n">
        <v>46295.4375</v>
      </c>
      <c r="U564" s="19" t="inlineStr">
        <is>
          <t>100926</t>
        </is>
      </c>
      <c r="V564" t="inlineStr">
        <is>
          <t>213173</t>
        </is>
      </c>
      <c r="W564" t="inlineStr">
        <is>
          <t>venda casada (4 pedidos) · custo do KIT 213819 (3× 213173)</t>
        </is>
      </c>
      <c r="X564" t="n">
        <v>4</v>
      </c>
      <c r="Y564" t="inlineStr">
        <is>
          <t>ok</t>
        </is>
      </c>
    </row>
    <row r="565" ht="15" customFormat="1" customHeight="1" s="19">
      <c r="A565" s="14" t="inlineStr">
        <is>
          <t>Espaço De Bicho</t>
        </is>
      </c>
      <c r="B565" s="14" t="inlineStr">
        <is>
          <t>Areia Higiênica Biodegradável Espaço de Bicho Grãos Finos 4kg – Milho e Mandioca (100% Natural)</t>
        </is>
      </c>
      <c r="C565" s="14" t="inlineStr">
        <is>
          <t>16KG</t>
        </is>
      </c>
      <c r="D565" s="14" t="inlineStr">
        <is>
          <t>AREIA-EDB-16KG-GF</t>
        </is>
      </c>
      <c r="E565" s="14" t="inlineStr">
        <is>
          <t>23294747653</t>
        </is>
      </c>
      <c r="F565" s="14" t="inlineStr">
        <is>
          <t>179723359891</t>
        </is>
      </c>
      <c r="G565" s="14" t="inlineStr">
        <is>
          <t>NORMAL</t>
        </is>
      </c>
      <c r="H565" s="15" t="n">
        <v>299.9</v>
      </c>
      <c r="I565" s="15" t="n">
        <v>179.6</v>
      </c>
      <c r="J565" s="16" t="inlineStr">
        <is>
          <t>SIM</t>
        </is>
      </c>
      <c r="K565" s="15" t="n">
        <v>179.6</v>
      </c>
      <c r="L565" s="35">
        <f>IF(K565&lt;&gt;"",K565,I565)</f>
        <v/>
      </c>
      <c r="M565" s="33" t="n">
        <v>4</v>
      </c>
      <c r="N565" s="30" t="n">
        <v>22.36</v>
      </c>
      <c r="O565" s="31">
        <f>N565*M565</f>
        <v/>
      </c>
      <c r="P565" s="80">
        <f>IF($O565="","",L565-O565-(L565*IF(L565&lt;=79.99,20%,14%)+IF(L565&lt;=79.99,4,IF(L565&lt;=99.99,16,IF(L565&lt;=199.99,20,IF(L565&lt;=499.99,26,28)))))-L565*1.3%-L565*6%-(L565-O565)*9.25%-L565*3%-L565*3%-1)</f>
        <v/>
      </c>
      <c r="Q565" s="17">
        <f>IF(AND(K565&lt;&gt;"",H565&gt;0),(H565-K565)/H565,"")</f>
        <v/>
      </c>
      <c r="R565" s="14" t="inlineStr">
        <is>
          <t>488116129583228</t>
        </is>
      </c>
      <c r="S565" s="18" t="n">
        <v>46236.5</v>
      </c>
      <c r="T565" s="18" t="n">
        <v>46360.99930555555</v>
      </c>
      <c r="U565" s="14" t="inlineStr">
        <is>
          <t>100923</t>
        </is>
      </c>
      <c r="V565" t="inlineStr">
        <is>
          <t>215511</t>
        </is>
      </c>
      <c r="W565" t="inlineStr">
        <is>
          <t>venda casada (258 pedidos) · QTD/custo manuais mantidos · ATENÇÃO: Olist hoje diz 28.27</t>
        </is>
      </c>
      <c r="X565" t="n">
        <v>258</v>
      </c>
      <c r="Y565" t="inlineStr">
        <is>
          <t>ok</t>
        </is>
      </c>
    </row>
    <row r="566" ht="15" customFormat="1" customHeight="1" s="14">
      <c r="A566" s="14" t="inlineStr">
        <is>
          <t>Jacartta</t>
        </is>
      </c>
      <c r="B566" s="14" t="inlineStr">
        <is>
          <t>Areia Higiênica Biodegradável Espaço do Bicho Grãos Finos 4kg – Milho e Mandioca (100% Natural)</t>
        </is>
      </c>
      <c r="C566" s="14" t="inlineStr">
        <is>
          <t>16KG,Grãos Finos</t>
        </is>
      </c>
      <c r="D566" s="14" t="inlineStr">
        <is>
          <t>AREIA-EDB-16KG-GF</t>
        </is>
      </c>
      <c r="E566" s="14" t="inlineStr">
        <is>
          <t>58202029766</t>
        </is>
      </c>
      <c r="F566" s="14" t="inlineStr">
        <is>
          <t>219186161452</t>
        </is>
      </c>
      <c r="G566" s="14" t="inlineStr">
        <is>
          <t>NORMAL</t>
        </is>
      </c>
      <c r="H566" s="15" t="n">
        <v>250.9</v>
      </c>
      <c r="I566" s="15" t="n">
        <v>179.6</v>
      </c>
      <c r="J566" s="16" t="inlineStr">
        <is>
          <t>SIM</t>
        </is>
      </c>
      <c r="K566" s="15" t="n">
        <v>179.6</v>
      </c>
      <c r="L566" s="35">
        <f>IF(K566&lt;&gt;"",K566,I566)</f>
        <v/>
      </c>
      <c r="M566" s="33" t="n">
        <v>4</v>
      </c>
      <c r="N566" s="30" t="n">
        <v>22.36</v>
      </c>
      <c r="O566" s="31">
        <f>N566*M566</f>
        <v/>
      </c>
      <c r="P566" s="80">
        <f>IF($O566="","",L566-O566-(L566*IF(L566&lt;=79.99,20%,14%)+IF(L566&lt;=79.99,4,IF(L566&lt;=99.99,16,IF(L566&lt;=199.99,20,IF(L566&lt;=499.99,26,28)))))-L566*1.3%-L566*6%-(L566-O566)*9.25%-L566*3%-L566*3%-1)</f>
        <v/>
      </c>
      <c r="Q566" s="17">
        <f>IF(AND(K566&lt;&gt;"",H566&gt;0),(H566-K566)/H566,"")</f>
        <v/>
      </c>
      <c r="R566" s="14" t="inlineStr">
        <is>
          <t>488117194936589</t>
        </is>
      </c>
      <c r="S566" s="18" t="n">
        <v>46236.5</v>
      </c>
      <c r="T566" s="18" t="n">
        <v>46361.54166666666</v>
      </c>
      <c r="U566" s="14" t="inlineStr">
        <is>
          <t>100923</t>
        </is>
      </c>
      <c r="V566" t="inlineStr">
        <is>
          <t>215511</t>
        </is>
      </c>
      <c r="W566" t="inlineStr">
        <is>
          <t>venda casada (277 pedidos) · QTD/custo manuais mantidos · ATENÇÃO: Olist hoje diz 28.27</t>
        </is>
      </c>
      <c r="X566" t="n">
        <v>277</v>
      </c>
      <c r="Y566" t="inlineStr">
        <is>
          <t>ok</t>
        </is>
      </c>
    </row>
    <row r="567" ht="15" customFormat="1" customHeight="1" s="19">
      <c r="A567" s="14" t="inlineStr">
        <is>
          <t>Espaço De Bicho</t>
        </is>
      </c>
      <c r="B567" s="14" t="inlineStr">
        <is>
          <t>Areia Higiênica Biodegradável Espaço de Bicho Grãos Finos 8kg – Milho e Mandioca (100% Natural)</t>
        </is>
      </c>
      <c r="C567" s="14" t="inlineStr">
        <is>
          <t>16KG,Grãos Finos</t>
        </is>
      </c>
      <c r="D567" s="14" t="inlineStr">
        <is>
          <t>AREIA-EDB-16KG-GF</t>
        </is>
      </c>
      <c r="E567" s="14" t="inlineStr">
        <is>
          <t>58252025446</t>
        </is>
      </c>
      <c r="F567" s="14" t="inlineStr">
        <is>
          <t>119727697281</t>
        </is>
      </c>
      <c r="G567" s="14" t="inlineStr">
        <is>
          <t>NORMAL</t>
        </is>
      </c>
      <c r="H567" s="15" t="n">
        <v>250.9</v>
      </c>
      <c r="I567" s="15" t="n">
        <v>179.9</v>
      </c>
      <c r="J567" s="16" t="inlineStr">
        <is>
          <t>SIM</t>
        </is>
      </c>
      <c r="K567" s="15" t="n">
        <v>179.9</v>
      </c>
      <c r="L567" s="35">
        <f>IF(K567&lt;&gt;"",K567,I567)</f>
        <v/>
      </c>
      <c r="M567" s="33" t="n">
        <v>4</v>
      </c>
      <c r="N567" s="30" t="n">
        <v>22.36</v>
      </c>
      <c r="O567" s="31">
        <f>N567*M567</f>
        <v/>
      </c>
      <c r="P567" s="80">
        <f>IF($O567="","",L567-O567-(L567*IF(L567&lt;=79.99,20%,14%)+IF(L567&lt;=79.99,4,IF(L567&lt;=99.99,16,IF(L567&lt;=199.99,20,IF(L567&lt;=499.99,26,28)))))-L567*1.3%-L567*6%-(L567-O567)*9.25%-L567*3%-L567*3%-1)</f>
        <v/>
      </c>
      <c r="Q567" s="17">
        <f>IF(AND(K567&lt;&gt;"",H567&gt;0),(H567-K567)/H567,"")</f>
        <v/>
      </c>
      <c r="R567" s="14" t="inlineStr">
        <is>
          <t>488116129583228</t>
        </is>
      </c>
      <c r="S567" s="18" t="n">
        <v>46236.5</v>
      </c>
      <c r="T567" s="18" t="n">
        <v>46360.99930555555</v>
      </c>
      <c r="U567" s="14" t="inlineStr">
        <is>
          <t>100923</t>
        </is>
      </c>
      <c r="V567" t="inlineStr">
        <is>
          <t>215511</t>
        </is>
      </c>
      <c r="W567" t="inlineStr">
        <is>
          <t>venda casada (64 pedidos) · QTD/custo manuais mantidos · ATENÇÃO: Olist hoje diz 28.27</t>
        </is>
      </c>
      <c r="X567" t="n">
        <v>64</v>
      </c>
      <c r="Y567" t="inlineStr">
        <is>
          <t>ok</t>
        </is>
      </c>
    </row>
    <row r="568" ht="15" customFormat="1" customHeight="1" s="14">
      <c r="A568" s="14" t="inlineStr">
        <is>
          <t>Espaço De Bicho</t>
        </is>
      </c>
      <c r="B568" s="14" t="inlineStr">
        <is>
          <t>Areia Higiênica Biodegradável Espaço do Bicho Grãos Mistos 8kg – Milho e Mandioca (100% Natural)</t>
        </is>
      </c>
      <c r="C568" s="14" t="inlineStr">
        <is>
          <t>16KG</t>
        </is>
      </c>
      <c r="D568" s="14" t="inlineStr">
        <is>
          <t>AREIA-EDB-16KG-GM</t>
        </is>
      </c>
      <c r="E568" s="14" t="inlineStr">
        <is>
          <t>53015155131</t>
        </is>
      </c>
      <c r="F568" s="14" t="inlineStr">
        <is>
          <t>186418444464</t>
        </is>
      </c>
      <c r="G568" s="14" t="inlineStr">
        <is>
          <t>NORMAL</t>
        </is>
      </c>
      <c r="H568" s="15" t="n">
        <v>250.9</v>
      </c>
      <c r="I568" s="15" t="n">
        <v>199.9</v>
      </c>
      <c r="J568" s="16" t="inlineStr">
        <is>
          <t>SIM</t>
        </is>
      </c>
      <c r="K568" s="15" t="n">
        <v>199.9</v>
      </c>
      <c r="L568" s="35">
        <f>IF(K568&lt;&gt;"",K568,I568)</f>
        <v/>
      </c>
      <c r="M568" s="33" t="n">
        <v>4</v>
      </c>
      <c r="N568" s="30" t="n">
        <v>22.36</v>
      </c>
      <c r="O568" s="31">
        <f>N568*M568</f>
        <v/>
      </c>
      <c r="P568" s="80">
        <f>IF($O568="","",L568-O568-(L568*IF(L568&lt;=79.99,20%,14%)+IF(L568&lt;=79.99,4,IF(L568&lt;=99.99,16,IF(L568&lt;=199.99,20,IF(L568&lt;=499.99,26,28)))))-L568*1.3%-L568*6%-(L568-O568)*9.25%-L568*3%-L568*3%-1)</f>
        <v/>
      </c>
      <c r="Q568" s="17">
        <f>IF(AND(K568&lt;&gt;"",H568&gt;0),(H568-K568)/H568,"")</f>
        <v/>
      </c>
      <c r="R568" s="14" t="inlineStr">
        <is>
          <t>488116129583228</t>
        </is>
      </c>
      <c r="S568" s="18" t="n">
        <v>46236.5</v>
      </c>
      <c r="T568" s="18" t="n">
        <v>46360.99930555555</v>
      </c>
      <c r="U568" s="14" t="inlineStr">
        <is>
          <t>100923</t>
        </is>
      </c>
      <c r="V568" t="inlineStr">
        <is>
          <t>216211</t>
        </is>
      </c>
      <c r="W568" t="inlineStr">
        <is>
          <t>venda casada (1 pedido) · QTD/custo manuais mantidos</t>
        </is>
      </c>
      <c r="X568" t="n">
        <v>1</v>
      </c>
      <c r="Y568" t="inlineStr">
        <is>
          <t>⚠ evidência fraca (1 pedido)</t>
        </is>
      </c>
    </row>
    <row r="569" ht="15" customFormat="1" customHeight="1" s="19">
      <c r="A569" s="14" t="inlineStr">
        <is>
          <t>Jacartta</t>
        </is>
      </c>
      <c r="B569" s="14" t="inlineStr">
        <is>
          <t>Kit Potes de Vidro 640ml Hermético Marmita Fit com Tampa 4 Travas</t>
        </is>
      </c>
      <c r="C569" s="14" t="inlineStr">
        <is>
          <t>10 Potes,Azul</t>
        </is>
      </c>
      <c r="D569" s="14" t="inlineStr">
        <is>
          <t>KIT10-640ML-AZ</t>
        </is>
      </c>
      <c r="E569" s="14" t="inlineStr">
        <is>
          <t>50663641783</t>
        </is>
      </c>
      <c r="F569" s="14" t="inlineStr">
        <is>
          <t>431179743959</t>
        </is>
      </c>
      <c r="G569" s="14" t="inlineStr">
        <is>
          <t>NORMAL</t>
        </is>
      </c>
      <c r="H569" s="15" t="n">
        <v>199.9</v>
      </c>
      <c r="I569" s="15" t="n">
        <v>199.9</v>
      </c>
      <c r="J569" s="16" t="inlineStr">
        <is>
          <t>NÃO</t>
        </is>
      </c>
      <c r="K569" s="15" t="n"/>
      <c r="L569" s="35">
        <f>IF(K569&lt;&gt;"",K569,I569)</f>
        <v/>
      </c>
      <c r="M569" s="84" t="n">
        <v>10</v>
      </c>
      <c r="N569" s="85" t="n">
        <v>6.55</v>
      </c>
      <c r="O569" s="80">
        <f>ROUND(M569*N569,2)</f>
        <v/>
      </c>
      <c r="P569" s="80">
        <f>IF($O569="","",L569-O569-(L569*IF(L569&lt;=79.99,20%,14%)+IF(L569&lt;=79.99,4,IF(L569&lt;=99.99,16,IF(L569&lt;=199.99,20,IF(L569&lt;=499.99,26,28)))))-L569*1.3%-L569*6%-(L569-O569)*9.25%-L569*3%-L569*3%-1)</f>
        <v/>
      </c>
      <c r="Q569" s="17">
        <f>IF(AND(K569&lt;&gt;"",H569&gt;0),(H569-K569)/H569,"")</f>
        <v/>
      </c>
      <c r="R569" s="14" t="inlineStr"/>
      <c r="S569" s="18" t="n"/>
      <c r="T569" s="18" t="n"/>
      <c r="U569" s="14" t="inlineStr">
        <is>
          <t>101220</t>
        </is>
      </c>
      <c r="V569" t="inlineStr">
        <is>
          <t>213877</t>
        </is>
      </c>
      <c r="W569" t="inlineStr">
        <is>
          <t>herdado do anúncio (escalado 10→10 un) · custo do KIT 215993 (10× 213877)</t>
        </is>
      </c>
      <c r="Y569" t="inlineStr">
        <is>
          <t>ok</t>
        </is>
      </c>
    </row>
    <row r="570" ht="15" customFormat="1" customHeight="1" s="14">
      <c r="A570" s="19" t="inlineStr">
        <is>
          <t>Jacartta</t>
        </is>
      </c>
      <c r="B570" s="19" t="inlineStr">
        <is>
          <t>Kit Potes de Vidro 640ml Hermético Marmita Fit com Tampa 4 Travas</t>
        </is>
      </c>
      <c r="C570" s="19" t="inlineStr">
        <is>
          <t>10 Potes,Branco</t>
        </is>
      </c>
      <c r="D570" s="19" t="inlineStr">
        <is>
          <t>KIT10-640ML-BR</t>
        </is>
      </c>
      <c r="E570" s="19" t="inlineStr">
        <is>
          <t>50663641783</t>
        </is>
      </c>
      <c r="F570" s="19" t="inlineStr">
        <is>
          <t>431179743958</t>
        </is>
      </c>
      <c r="G570" s="19" t="inlineStr">
        <is>
          <t>NORMAL</t>
        </is>
      </c>
      <c r="H570" s="20" t="n">
        <v>199.9</v>
      </c>
      <c r="I570" s="20" t="n">
        <v>199.9</v>
      </c>
      <c r="J570" s="21" t="inlineStr">
        <is>
          <t>NÃO</t>
        </is>
      </c>
      <c r="K570" s="20" t="n"/>
      <c r="L570" s="35">
        <f>IF(K570&lt;&gt;"",K570,I570)</f>
        <v/>
      </c>
      <c r="M570" s="81" t="n">
        <v>10</v>
      </c>
      <c r="N570" s="82" t="n">
        <v>6.55</v>
      </c>
      <c r="O570" s="83">
        <f>ROUND(M570*N570,2)</f>
        <v/>
      </c>
      <c r="P570" s="80">
        <f>IF($O570="","",L570-O570-(L570*IF(L570&lt;=79.99,20%,14%)+IF(L570&lt;=79.99,4,IF(L570&lt;=99.99,16,IF(L570&lt;=199.99,20,IF(L570&lt;=499.99,26,28)))))-L570*1.3%-L570*6%-(L570-O570)*9.25%-L570*3%-L570*3%-1)</f>
        <v/>
      </c>
      <c r="Q570" s="22">
        <f>IF(AND(K570&lt;&gt;"",H570&gt;0),(H570-K570)/H570,"")</f>
        <v/>
      </c>
      <c r="R570" s="19" t="inlineStr"/>
      <c r="S570" s="23" t="n"/>
      <c r="T570" s="23" t="n"/>
      <c r="U570" s="19" t="inlineStr">
        <is>
          <t>101220</t>
        </is>
      </c>
      <c r="V570" t="inlineStr">
        <is>
          <t>213877</t>
        </is>
      </c>
      <c r="W570" t="inlineStr">
        <is>
          <t>herdado do anúncio (escalado 10→10 un) · custo do KIT 215993 (10× 213877)</t>
        </is>
      </c>
      <c r="Y570" t="inlineStr">
        <is>
          <t>ok</t>
        </is>
      </c>
    </row>
    <row r="571" ht="15" customFormat="1" customHeight="1" s="19">
      <c r="A571" s="14" t="inlineStr">
        <is>
          <t>Jacartta</t>
        </is>
      </c>
      <c r="B571" s="14" t="inlineStr">
        <is>
          <t>Kit Potes de Vidro 640ml Hermético Marmita Fit com Tampa 4 Travas</t>
        </is>
      </c>
      <c r="C571" s="14" t="inlineStr">
        <is>
          <t>10 Potes,Sortido</t>
        </is>
      </c>
      <c r="D571" s="14" t="inlineStr">
        <is>
          <t>KIT10-640ML-SORTIDO</t>
        </is>
      </c>
      <c r="E571" s="14" t="inlineStr">
        <is>
          <t>50663641783</t>
        </is>
      </c>
      <c r="F571" s="14" t="inlineStr">
        <is>
          <t>431179743961</t>
        </is>
      </c>
      <c r="G571" s="14" t="inlineStr">
        <is>
          <t>NORMAL</t>
        </is>
      </c>
      <c r="H571" s="15" t="n">
        <v>199.9</v>
      </c>
      <c r="I571" s="15" t="n">
        <v>199.9</v>
      </c>
      <c r="J571" s="16" t="inlineStr">
        <is>
          <t>NÃO</t>
        </is>
      </c>
      <c r="K571" s="15" t="n"/>
      <c r="L571" s="35">
        <f>IF(K571&lt;&gt;"",K571,I571)</f>
        <v/>
      </c>
      <c r="M571" s="84" t="n">
        <v>10</v>
      </c>
      <c r="N571" s="85" t="n">
        <v>6.55</v>
      </c>
      <c r="O571" s="80">
        <f>ROUND(M571*N571,2)</f>
        <v/>
      </c>
      <c r="P571" s="80">
        <f>IF($O571="","",L571-O571-(L571*IF(L571&lt;=79.99,20%,14%)+IF(L571&lt;=79.99,4,IF(L571&lt;=99.99,16,IF(L571&lt;=199.99,20,IF(L571&lt;=499.99,26,28)))))-L571*1.3%-L571*6%-(L571-O571)*9.25%-L571*3%-L571*3%-1)</f>
        <v/>
      </c>
      <c r="Q571" s="17">
        <f>IF(AND(K571&lt;&gt;"",H571&gt;0),(H571-K571)/H571,"")</f>
        <v/>
      </c>
      <c r="R571" s="14" t="inlineStr"/>
      <c r="S571" s="18" t="n"/>
      <c r="T571" s="18" t="n"/>
      <c r="U571" s="14" t="inlineStr">
        <is>
          <t>101220</t>
        </is>
      </c>
      <c r="V571" t="inlineStr">
        <is>
          <t>213877</t>
        </is>
      </c>
      <c r="W571" t="inlineStr">
        <is>
          <t>SKU do de-para · custo do KIT 215993 (10× 213877)</t>
        </is>
      </c>
      <c r="X571" t="n">
        <v>47</v>
      </c>
      <c r="Y571" t="inlineStr">
        <is>
          <t>ok</t>
        </is>
      </c>
    </row>
    <row r="572" ht="15" customFormat="1" customHeight="1" s="14">
      <c r="A572" s="19" t="inlineStr">
        <is>
          <t>Jacartta</t>
        </is>
      </c>
      <c r="B572" s="19" t="inlineStr">
        <is>
          <t>Kit Potes de Vidro 640ml Hermético Marmita Fit com Tampa 4 Travas</t>
        </is>
      </c>
      <c r="C572" s="19" t="inlineStr">
        <is>
          <t>10 Potes,Vermelho</t>
        </is>
      </c>
      <c r="D572" s="19" t="inlineStr">
        <is>
          <t>KIT10-640ML-VM</t>
        </is>
      </c>
      <c r="E572" s="19" t="inlineStr">
        <is>
          <t>50663641783</t>
        </is>
      </c>
      <c r="F572" s="19" t="inlineStr">
        <is>
          <t>431179743960</t>
        </is>
      </c>
      <c r="G572" s="19" t="inlineStr">
        <is>
          <t>NORMAL</t>
        </is>
      </c>
      <c r="H572" s="20" t="n">
        <v>199.9</v>
      </c>
      <c r="I572" s="20" t="n">
        <v>199.9</v>
      </c>
      <c r="J572" s="21" t="inlineStr">
        <is>
          <t>NÃO</t>
        </is>
      </c>
      <c r="K572" s="20" t="n"/>
      <c r="L572" s="35">
        <f>IF(K572&lt;&gt;"",K572,I572)</f>
        <v/>
      </c>
      <c r="M572" s="81" t="n">
        <v>10</v>
      </c>
      <c r="N572" s="82" t="n">
        <v>6.55</v>
      </c>
      <c r="O572" s="83">
        <f>ROUND(M572*N572,2)</f>
        <v/>
      </c>
      <c r="P572" s="80">
        <f>IF($O572="","",L572-O572-(L572*IF(L572&lt;=79.99,20%,14%)+IF(L572&lt;=79.99,4,IF(L572&lt;=99.99,16,IF(L572&lt;=199.99,20,IF(L572&lt;=499.99,26,28)))))-L572*1.3%-L572*6%-(L572-O572)*9.25%-L572*3%-L572*3%-1)</f>
        <v/>
      </c>
      <c r="Q572" s="22">
        <f>IF(AND(K572&lt;&gt;"",H572&gt;0),(H572-K572)/H572,"")</f>
        <v/>
      </c>
      <c r="R572" s="19" t="inlineStr"/>
      <c r="S572" s="23" t="n"/>
      <c r="T572" s="23" t="n"/>
      <c r="U572" s="19" t="inlineStr">
        <is>
          <t>101220</t>
        </is>
      </c>
      <c r="V572" t="inlineStr">
        <is>
          <t>213877</t>
        </is>
      </c>
      <c r="W572" t="inlineStr">
        <is>
          <t>herdado do anúncio (escalado 10→10 un) · custo do KIT 215993 (10× 213877)</t>
        </is>
      </c>
      <c r="Y572" t="inlineStr">
        <is>
          <t>ok</t>
        </is>
      </c>
    </row>
    <row r="573" ht="15" customFormat="1" customHeight="1" s="19">
      <c r="A573" s="14" t="inlineStr">
        <is>
          <t>Jacartta</t>
        </is>
      </c>
      <c r="B573" s="14" t="inlineStr">
        <is>
          <t>Kit Potes de Vidro 640ml Hermético Marmita Fit com Tampa 4 Travas</t>
        </is>
      </c>
      <c r="C573" s="14" t="inlineStr">
        <is>
          <t>3 Potes,Azul</t>
        </is>
      </c>
      <c r="D573" s="14" t="inlineStr">
        <is>
          <t>KIT3-640ML-AZUL</t>
        </is>
      </c>
      <c r="E573" s="14" t="inlineStr">
        <is>
          <t>50663641783</t>
        </is>
      </c>
      <c r="F573" s="14" t="inlineStr">
        <is>
          <t>431179743951</t>
        </is>
      </c>
      <c r="G573" s="14" t="inlineStr">
        <is>
          <t>NORMAL</t>
        </is>
      </c>
      <c r="H573" s="15" t="n">
        <v>69.90000000000001</v>
      </c>
      <c r="I573" s="15" t="n">
        <v>69.90000000000001</v>
      </c>
      <c r="J573" s="16" t="inlineStr">
        <is>
          <t>NÃO</t>
        </is>
      </c>
      <c r="K573" s="15" t="n"/>
      <c r="L573" s="35">
        <f>IF(K573&lt;&gt;"",K573,I573)</f>
        <v/>
      </c>
      <c r="M573" s="84" t="n">
        <v>3</v>
      </c>
      <c r="N573" s="85" t="n">
        <v>6.55</v>
      </c>
      <c r="O573" s="80">
        <f>ROUND(M573*N573,2)</f>
        <v/>
      </c>
      <c r="P573" s="80">
        <f>IF($O573="","",L573-O573-(L573*IF(L573&lt;=79.99,20%,14%)+IF(L573&lt;=79.99,4,IF(L573&lt;=99.99,16,IF(L573&lt;=199.99,20,IF(L573&lt;=499.99,26,28)))))-L573*1.3%-L573*6%-(L573-O573)*9.25%-L573*3%-L573*3%-1)</f>
        <v/>
      </c>
      <c r="Q573" s="17">
        <f>IF(AND(K573&lt;&gt;"",H573&gt;0),(H573-K573)/H573,"")</f>
        <v/>
      </c>
      <c r="R573" s="14" t="inlineStr"/>
      <c r="S573" s="18" t="n"/>
      <c r="T573" s="18" t="n"/>
      <c r="U573" s="14" t="inlineStr">
        <is>
          <t>101220</t>
        </is>
      </c>
      <c r="V573" t="inlineStr">
        <is>
          <t>213877</t>
        </is>
      </c>
      <c r="W573" t="inlineStr">
        <is>
          <t>herdado do anúncio (escalado 10→3 un) · custo do KIT 215989 (3× 213877)</t>
        </is>
      </c>
      <c r="Y573" t="inlineStr">
        <is>
          <t>ok</t>
        </is>
      </c>
    </row>
    <row r="574" ht="15" customFormat="1" customHeight="1" s="14">
      <c r="A574" s="19" t="inlineStr">
        <is>
          <t>Jacartta</t>
        </is>
      </c>
      <c r="B574" s="19" t="inlineStr">
        <is>
          <t>Kit Potes de Vidro 640ml Hermético Marmita Fit com Tampa 4 Travas</t>
        </is>
      </c>
      <c r="C574" s="19" t="inlineStr">
        <is>
          <t>3 Potes,Branco</t>
        </is>
      </c>
      <c r="D574" s="19" t="inlineStr">
        <is>
          <t>KIT3-640ML-BR</t>
        </is>
      </c>
      <c r="E574" s="19" t="inlineStr">
        <is>
          <t>50663641783</t>
        </is>
      </c>
      <c r="F574" s="19" t="inlineStr">
        <is>
          <t>431179743950</t>
        </is>
      </c>
      <c r="G574" s="19" t="inlineStr">
        <is>
          <t>NORMAL</t>
        </is>
      </c>
      <c r="H574" s="20" t="n">
        <v>69.90000000000001</v>
      </c>
      <c r="I574" s="20" t="n">
        <v>69.90000000000001</v>
      </c>
      <c r="J574" s="21" t="inlineStr">
        <is>
          <t>NÃO</t>
        </is>
      </c>
      <c r="K574" s="20" t="n"/>
      <c r="L574" s="35">
        <f>IF(K574&lt;&gt;"",K574,I574)</f>
        <v/>
      </c>
      <c r="M574" s="81" t="n">
        <v>3</v>
      </c>
      <c r="N574" s="82" t="n">
        <v>6.55</v>
      </c>
      <c r="O574" s="83">
        <f>ROUND(M574*N574,2)</f>
        <v/>
      </c>
      <c r="P574" s="80">
        <f>IF($O574="","",L574-O574-(L574*IF(L574&lt;=79.99,20%,14%)+IF(L574&lt;=79.99,4,IF(L574&lt;=99.99,16,IF(L574&lt;=199.99,20,IF(L574&lt;=499.99,26,28)))))-L574*1.3%-L574*6%-(L574-O574)*9.25%-L574*3%-L574*3%-1)</f>
        <v/>
      </c>
      <c r="Q574" s="22">
        <f>IF(AND(K574&lt;&gt;"",H574&gt;0),(H574-K574)/H574,"")</f>
        <v/>
      </c>
      <c r="R574" s="19" t="inlineStr"/>
      <c r="S574" s="23" t="n"/>
      <c r="T574" s="23" t="n"/>
      <c r="U574" s="19" t="inlineStr">
        <is>
          <t>101220</t>
        </is>
      </c>
      <c r="V574" t="inlineStr">
        <is>
          <t>213877</t>
        </is>
      </c>
      <c r="W574" t="inlineStr">
        <is>
          <t>herdado do anúncio (escalado 10→3 un) · custo do KIT 215989 (3× 213877)</t>
        </is>
      </c>
      <c r="Y574" t="inlineStr">
        <is>
          <t>ok</t>
        </is>
      </c>
    </row>
    <row r="575" ht="15" customFormat="1" customHeight="1" s="19">
      <c r="A575" s="14" t="inlineStr">
        <is>
          <t>Jacartta</t>
        </is>
      </c>
      <c r="B575" s="14" t="inlineStr">
        <is>
          <t>Kit Potes de Vidro 640ml Hermético Marmita Fit com Tampa 4 Travas</t>
        </is>
      </c>
      <c r="C575" s="14" t="inlineStr">
        <is>
          <t>3 Potes,Sortido</t>
        </is>
      </c>
      <c r="D575" s="14" t="inlineStr">
        <is>
          <t>KIT3-640ML-SORTIDO</t>
        </is>
      </c>
      <c r="E575" s="14" t="inlineStr">
        <is>
          <t>50663641783</t>
        </is>
      </c>
      <c r="F575" s="14" t="inlineStr">
        <is>
          <t>431179743953</t>
        </is>
      </c>
      <c r="G575" s="14" t="inlineStr">
        <is>
          <t>NORMAL</t>
        </is>
      </c>
      <c r="H575" s="15" t="n">
        <v>69.90000000000001</v>
      </c>
      <c r="I575" s="15" t="n">
        <v>69.90000000000001</v>
      </c>
      <c r="J575" s="16" t="inlineStr">
        <is>
          <t>NÃO</t>
        </is>
      </c>
      <c r="K575" s="15" t="n"/>
      <c r="L575" s="35">
        <f>IF(K575&lt;&gt;"",K575,I575)</f>
        <v/>
      </c>
      <c r="M575" s="84" t="n">
        <v>3</v>
      </c>
      <c r="N575" s="85" t="n">
        <v>6.55</v>
      </c>
      <c r="O575" s="80">
        <f>ROUND(M575*N575,2)</f>
        <v/>
      </c>
      <c r="P575" s="80">
        <f>IF($O575="","",L575-O575-(L575*IF(L575&lt;=79.99,20%,14%)+IF(L575&lt;=79.99,4,IF(L575&lt;=99.99,16,IF(L575&lt;=199.99,20,IF(L575&lt;=499.99,26,28)))))-L575*1.3%-L575*6%-(L575-O575)*9.25%-L575*3%-L575*3%-1)</f>
        <v/>
      </c>
      <c r="Q575" s="17">
        <f>IF(AND(K575&lt;&gt;"",H575&gt;0),(H575-K575)/H575,"")</f>
        <v/>
      </c>
      <c r="R575" s="14" t="inlineStr"/>
      <c r="S575" s="18" t="n"/>
      <c r="T575" s="18" t="n"/>
      <c r="U575" s="14" t="inlineStr">
        <is>
          <t>101220</t>
        </is>
      </c>
      <c r="V575" t="inlineStr">
        <is>
          <t>213877</t>
        </is>
      </c>
      <c r="W575" t="inlineStr">
        <is>
          <t>herdado do anúncio (escalado 10→3 un) · custo do KIT 215989 (3× 213877)</t>
        </is>
      </c>
      <c r="Y575" t="inlineStr">
        <is>
          <t>ok</t>
        </is>
      </c>
    </row>
    <row r="576" ht="15" customFormat="1" customHeight="1" s="14">
      <c r="A576" s="19" t="inlineStr">
        <is>
          <t>Jacartta</t>
        </is>
      </c>
      <c r="B576" s="19" t="inlineStr">
        <is>
          <t>Kit Potes de Vidro 640ml Hermético Marmita Fit com Tampa 4 Travas</t>
        </is>
      </c>
      <c r="C576" s="19" t="inlineStr">
        <is>
          <t>3 Potes,Vermelho</t>
        </is>
      </c>
      <c r="D576" s="19" t="inlineStr">
        <is>
          <t>KIT3-640ML-VM</t>
        </is>
      </c>
      <c r="E576" s="19" t="inlineStr">
        <is>
          <t>50663641783</t>
        </is>
      </c>
      <c r="F576" s="19" t="inlineStr">
        <is>
          <t>431179743952</t>
        </is>
      </c>
      <c r="G576" s="19" t="inlineStr">
        <is>
          <t>NORMAL</t>
        </is>
      </c>
      <c r="H576" s="20" t="n">
        <v>69.90000000000001</v>
      </c>
      <c r="I576" s="20" t="n">
        <v>69.90000000000001</v>
      </c>
      <c r="J576" s="21" t="inlineStr">
        <is>
          <t>NÃO</t>
        </is>
      </c>
      <c r="K576" s="20" t="n"/>
      <c r="L576" s="35">
        <f>IF(K576&lt;&gt;"",K576,I576)</f>
        <v/>
      </c>
      <c r="M576" s="81" t="n">
        <v>3</v>
      </c>
      <c r="N576" s="82" t="n">
        <v>6.55</v>
      </c>
      <c r="O576" s="83">
        <f>ROUND(M576*N576,2)</f>
        <v/>
      </c>
      <c r="P576" s="80">
        <f>IF($O576="","",L576-O576-(L576*IF(L576&lt;=79.99,20%,14%)+IF(L576&lt;=79.99,4,IF(L576&lt;=99.99,16,IF(L576&lt;=199.99,20,IF(L576&lt;=499.99,26,28)))))-L576*1.3%-L576*6%-(L576-O576)*9.25%-L576*3%-L576*3%-1)</f>
        <v/>
      </c>
      <c r="Q576" s="22">
        <f>IF(AND(K576&lt;&gt;"",H576&gt;0),(H576-K576)/H576,"")</f>
        <v/>
      </c>
      <c r="R576" s="19" t="inlineStr"/>
      <c r="S576" s="23" t="n"/>
      <c r="T576" s="23" t="n"/>
      <c r="U576" s="19" t="inlineStr">
        <is>
          <t>101220</t>
        </is>
      </c>
      <c r="V576" t="inlineStr">
        <is>
          <t>213877</t>
        </is>
      </c>
      <c r="W576" t="inlineStr">
        <is>
          <t>herdado do anúncio (escalado 10→3 un) · custo do KIT 215989 (3× 213877)</t>
        </is>
      </c>
      <c r="Y576" t="inlineStr">
        <is>
          <t>ok</t>
        </is>
      </c>
    </row>
    <row r="577" ht="15" customFormat="1" customHeight="1" s="19">
      <c r="A577" s="14" t="inlineStr">
        <is>
          <t>Jacartta</t>
        </is>
      </c>
      <c r="B577" s="14" t="inlineStr">
        <is>
          <t>Kit Potes de Vidro 640ml Hermético Marmita Fit com Tampa 4 Travas</t>
        </is>
      </c>
      <c r="C577" s="14" t="inlineStr">
        <is>
          <t>5 Potes,Azul</t>
        </is>
      </c>
      <c r="D577" s="14" t="inlineStr">
        <is>
          <t>KIT5-640ML-AZ</t>
        </is>
      </c>
      <c r="E577" s="14" t="inlineStr">
        <is>
          <t>50663641783</t>
        </is>
      </c>
      <c r="F577" s="14" t="inlineStr">
        <is>
          <t>431179743955</t>
        </is>
      </c>
      <c r="G577" s="14" t="inlineStr">
        <is>
          <t>NORMAL</t>
        </is>
      </c>
      <c r="H577" s="15" t="n">
        <v>99.90000000000001</v>
      </c>
      <c r="I577" s="15" t="n">
        <v>99.90000000000001</v>
      </c>
      <c r="J577" s="16" t="inlineStr">
        <is>
          <t>NÃO</t>
        </is>
      </c>
      <c r="K577" s="15" t="n"/>
      <c r="L577" s="35">
        <f>IF(K577&lt;&gt;"",K577,I577)</f>
        <v/>
      </c>
      <c r="M577" s="84" t="n">
        <v>5</v>
      </c>
      <c r="N577" s="85" t="n">
        <v>6.55</v>
      </c>
      <c r="O577" s="80">
        <f>ROUND(M577*N577,2)</f>
        <v/>
      </c>
      <c r="P577" s="80">
        <f>IF($O577="","",L577-O577-(L577*IF(L577&lt;=79.99,20%,14%)+IF(L577&lt;=79.99,4,IF(L577&lt;=99.99,16,IF(L577&lt;=199.99,20,IF(L577&lt;=499.99,26,28)))))-L577*1.3%-L577*6%-(L577-O577)*9.25%-L577*3%-L577*3%-1)</f>
        <v/>
      </c>
      <c r="Q577" s="17">
        <f>IF(AND(K577&lt;&gt;"",H577&gt;0),(H577-K577)/H577,"")</f>
        <v/>
      </c>
      <c r="R577" s="14" t="inlineStr"/>
      <c r="S577" s="18" t="n"/>
      <c r="T577" s="18" t="n"/>
      <c r="U577" s="14" t="inlineStr">
        <is>
          <t>101220</t>
        </is>
      </c>
      <c r="V577" t="inlineStr">
        <is>
          <t>213877</t>
        </is>
      </c>
      <c r="W577" t="inlineStr">
        <is>
          <t>herdado do anúncio (escalado 10→5 un) · custo do KIT 215990 (5× 213877)</t>
        </is>
      </c>
      <c r="Y577" t="inlineStr">
        <is>
          <t>ok</t>
        </is>
      </c>
    </row>
    <row r="578" ht="15" customFormat="1" customHeight="1" s="14">
      <c r="A578" s="19" t="inlineStr">
        <is>
          <t>Jacartta</t>
        </is>
      </c>
      <c r="B578" s="19" t="inlineStr">
        <is>
          <t>Kit Potes de Vidro 640ml Hermético Marmita Fit com Tampa 4 Travas</t>
        </is>
      </c>
      <c r="C578" s="19" t="inlineStr">
        <is>
          <t>5 Potes,Branco</t>
        </is>
      </c>
      <c r="D578" s="19" t="inlineStr">
        <is>
          <t>KIT5-640ML-BR</t>
        </is>
      </c>
      <c r="E578" s="19" t="inlineStr">
        <is>
          <t>50663641783</t>
        </is>
      </c>
      <c r="F578" s="19" t="inlineStr">
        <is>
          <t>431179743954</t>
        </is>
      </c>
      <c r="G578" s="19" t="inlineStr">
        <is>
          <t>NORMAL</t>
        </is>
      </c>
      <c r="H578" s="20" t="n">
        <v>99.90000000000001</v>
      </c>
      <c r="I578" s="20" t="n">
        <v>99.90000000000001</v>
      </c>
      <c r="J578" s="21" t="inlineStr">
        <is>
          <t>NÃO</t>
        </is>
      </c>
      <c r="K578" s="20" t="n"/>
      <c r="L578" s="35">
        <f>IF(K578&lt;&gt;"",K578,I578)</f>
        <v/>
      </c>
      <c r="M578" s="81" t="n">
        <v>5</v>
      </c>
      <c r="N578" s="82" t="n">
        <v>6.55</v>
      </c>
      <c r="O578" s="83">
        <f>ROUND(M578*N578,2)</f>
        <v/>
      </c>
      <c r="P578" s="80">
        <f>IF($O578="","",L578-O578-(L578*IF(L578&lt;=79.99,20%,14%)+IF(L578&lt;=79.99,4,IF(L578&lt;=99.99,16,IF(L578&lt;=199.99,20,IF(L578&lt;=499.99,26,28)))))-L578*1.3%-L578*6%-(L578-O578)*9.25%-L578*3%-L578*3%-1)</f>
        <v/>
      </c>
      <c r="Q578" s="22">
        <f>IF(AND(K578&lt;&gt;"",H578&gt;0),(H578-K578)/H578,"")</f>
        <v/>
      </c>
      <c r="R578" s="19" t="inlineStr"/>
      <c r="S578" s="23" t="n"/>
      <c r="T578" s="23" t="n"/>
      <c r="U578" s="19" t="inlineStr">
        <is>
          <t>101220</t>
        </is>
      </c>
      <c r="V578" t="inlineStr">
        <is>
          <t>213877</t>
        </is>
      </c>
      <c r="W578" t="inlineStr">
        <is>
          <t>herdado do anúncio (escalado 10→5 un) · custo do KIT 215990 (5× 213877)</t>
        </is>
      </c>
      <c r="Y578" t="inlineStr">
        <is>
          <t>ok</t>
        </is>
      </c>
    </row>
    <row r="579" ht="15" customFormat="1" customHeight="1" s="19">
      <c r="A579" s="14" t="inlineStr">
        <is>
          <t>Jacartta</t>
        </is>
      </c>
      <c r="B579" s="14" t="inlineStr">
        <is>
          <t>Kit Potes de Vidro 640ml Hermético Marmita Fit com Tampa 4 Travas</t>
        </is>
      </c>
      <c r="C579" s="14" t="inlineStr">
        <is>
          <t>5 Potes,Sortido</t>
        </is>
      </c>
      <c r="D579" s="14" t="inlineStr">
        <is>
          <t>KIT5-640ML-SORTIDO</t>
        </is>
      </c>
      <c r="E579" s="14" t="inlineStr">
        <is>
          <t>50663641783</t>
        </is>
      </c>
      <c r="F579" s="14" t="inlineStr">
        <is>
          <t>431179743957</t>
        </is>
      </c>
      <c r="G579" s="14" t="inlineStr">
        <is>
          <t>NORMAL</t>
        </is>
      </c>
      <c r="H579" s="15" t="n">
        <v>99.90000000000001</v>
      </c>
      <c r="I579" s="15" t="n">
        <v>99.90000000000001</v>
      </c>
      <c r="J579" s="16" t="inlineStr">
        <is>
          <t>NÃO</t>
        </is>
      </c>
      <c r="K579" s="15" t="n"/>
      <c r="L579" s="35">
        <f>IF(K579&lt;&gt;"",K579,I579)</f>
        <v/>
      </c>
      <c r="M579" s="84" t="n">
        <v>5</v>
      </c>
      <c r="N579" s="85" t="n">
        <v>6.55</v>
      </c>
      <c r="O579" s="80">
        <f>ROUND(M579*N579,2)</f>
        <v/>
      </c>
      <c r="P579" s="80">
        <f>IF($O579="","",L579-O579-(L579*IF(L579&lt;=79.99,20%,14%)+IF(L579&lt;=79.99,4,IF(L579&lt;=99.99,16,IF(L579&lt;=199.99,20,IF(L579&lt;=499.99,26,28)))))-L579*1.3%-L579*6%-(L579-O579)*9.25%-L579*3%-L579*3%-1)</f>
        <v/>
      </c>
      <c r="Q579" s="17">
        <f>IF(AND(K579&lt;&gt;"",H579&gt;0),(H579-K579)/H579,"")</f>
        <v/>
      </c>
      <c r="R579" s="14" t="inlineStr"/>
      <c r="S579" s="18" t="n"/>
      <c r="T579" s="18" t="n"/>
      <c r="U579" s="14" t="inlineStr">
        <is>
          <t>101220</t>
        </is>
      </c>
      <c r="V579" t="inlineStr">
        <is>
          <t>213877</t>
        </is>
      </c>
      <c r="W579" t="inlineStr">
        <is>
          <t>SKU do de-para · custo do KIT 215990 (5× 213877)</t>
        </is>
      </c>
      <c r="X579" t="n">
        <v>74</v>
      </c>
      <c r="Y579" t="inlineStr">
        <is>
          <t>ok</t>
        </is>
      </c>
    </row>
    <row r="580" ht="15" customFormat="1" customHeight="1" s="14">
      <c r="A580" s="19" t="inlineStr">
        <is>
          <t>Jacartta</t>
        </is>
      </c>
      <c r="B580" s="19" t="inlineStr">
        <is>
          <t>Kit Potes de Vidro 640ml Hermético Marmita Fit com Tampa 4 Travas</t>
        </is>
      </c>
      <c r="C580" s="19" t="inlineStr">
        <is>
          <t>5 Potes,Vermelho</t>
        </is>
      </c>
      <c r="D580" s="19" t="inlineStr">
        <is>
          <t>KIT5-640ML-VM</t>
        </is>
      </c>
      <c r="E580" s="19" t="inlineStr">
        <is>
          <t>50663641783</t>
        </is>
      </c>
      <c r="F580" s="19" t="inlineStr">
        <is>
          <t>431179743956</t>
        </is>
      </c>
      <c r="G580" s="19" t="inlineStr">
        <is>
          <t>NORMAL</t>
        </is>
      </c>
      <c r="H580" s="20" t="n">
        <v>99.90000000000001</v>
      </c>
      <c r="I580" s="20" t="n">
        <v>99.90000000000001</v>
      </c>
      <c r="J580" s="21" t="inlineStr">
        <is>
          <t>NÃO</t>
        </is>
      </c>
      <c r="K580" s="20" t="n"/>
      <c r="L580" s="35">
        <f>IF(K580&lt;&gt;"",K580,I580)</f>
        <v/>
      </c>
      <c r="M580" s="81" t="n">
        <v>5</v>
      </c>
      <c r="N580" s="82" t="n">
        <v>6.55</v>
      </c>
      <c r="O580" s="83">
        <f>ROUND(M580*N580,2)</f>
        <v/>
      </c>
      <c r="P580" s="80">
        <f>IF($O580="","",L580-O580-(L580*IF(L580&lt;=79.99,20%,14%)+IF(L580&lt;=79.99,4,IF(L580&lt;=99.99,16,IF(L580&lt;=199.99,20,IF(L580&lt;=499.99,26,28)))))-L580*1.3%-L580*6%-(L580-O580)*9.25%-L580*3%-L580*3%-1)</f>
        <v/>
      </c>
      <c r="Q580" s="22">
        <f>IF(AND(K580&lt;&gt;"",H580&gt;0),(H580-K580)/H580,"")</f>
        <v/>
      </c>
      <c r="R580" s="19" t="inlineStr"/>
      <c r="S580" s="23" t="n"/>
      <c r="T580" s="23" t="n"/>
      <c r="U580" s="19" t="inlineStr">
        <is>
          <t>101220</t>
        </is>
      </c>
      <c r="V580" t="inlineStr">
        <is>
          <t>213877</t>
        </is>
      </c>
      <c r="W580" t="inlineStr">
        <is>
          <t>herdado do anúncio (escalado 10→5 un) · custo do KIT 215990 (5× 213877)</t>
        </is>
      </c>
      <c r="Y580" t="inlineStr">
        <is>
          <t>ok</t>
        </is>
      </c>
    </row>
    <row r="581" ht="15" customFormat="1" customHeight="1" s="19">
      <c r="A581" s="14" t="inlineStr">
        <is>
          <t>Jacartta</t>
        </is>
      </c>
      <c r="B581" s="14" t="inlineStr">
        <is>
          <t>Areia Higiênica Biodegradável Espaço do Bicho Grãos Finos 8kg – Milho e Mandioca (100% Natural)</t>
        </is>
      </c>
      <c r="C581" s="14" t="inlineStr">
        <is>
          <t>16KG,Grãos Finos</t>
        </is>
      </c>
      <c r="D581" s="14" t="inlineStr">
        <is>
          <t>AREIA-EDB-16KG-GF</t>
        </is>
      </c>
      <c r="E581" s="14" t="inlineStr">
        <is>
          <t>58202029368</t>
        </is>
      </c>
      <c r="F581" s="14" t="inlineStr">
        <is>
          <t>219618605529</t>
        </is>
      </c>
      <c r="G581" s="14" t="inlineStr">
        <is>
          <t>NORMAL</t>
        </is>
      </c>
      <c r="H581" s="15" t="n">
        <v>250.9</v>
      </c>
      <c r="I581" s="15" t="n">
        <v>199.9</v>
      </c>
      <c r="J581" s="16" t="inlineStr">
        <is>
          <t>SIM</t>
        </is>
      </c>
      <c r="K581" s="15" t="n">
        <v>199.9</v>
      </c>
      <c r="L581" s="35">
        <f>IF(K581&lt;&gt;"",K581,I581)</f>
        <v/>
      </c>
      <c r="M581" s="33" t="n">
        <v>4</v>
      </c>
      <c r="N581" s="30" t="n">
        <v>22.36</v>
      </c>
      <c r="O581" s="31">
        <f>N581*M581</f>
        <v/>
      </c>
      <c r="P581" s="80">
        <f>IF($O581="","",L581-O581-(L581*IF(L581&lt;=79.99,20%,14%)+IF(L581&lt;=79.99,4,IF(L581&lt;=99.99,16,IF(L581&lt;=199.99,20,IF(L581&lt;=499.99,26,28)))))-L581*1.3%-L581*6%-(L581-O581)*9.25%-L581*3%-L581*3%-1)</f>
        <v/>
      </c>
      <c r="Q581" s="17">
        <f>IF(AND(K581&lt;&gt;"",H581&gt;0),(H581-K581)/H581,"")</f>
        <v/>
      </c>
      <c r="R581" s="14" t="inlineStr">
        <is>
          <t>488117194936589</t>
        </is>
      </c>
      <c r="S581" s="18" t="n">
        <v>46236.5</v>
      </c>
      <c r="T581" s="18" t="n">
        <v>46361.54166666666</v>
      </c>
      <c r="U581" s="14" t="inlineStr">
        <is>
          <t>100923</t>
        </is>
      </c>
      <c r="V581" t="inlineStr">
        <is>
          <t>215511</t>
        </is>
      </c>
      <c r="W581" t="inlineStr">
        <is>
          <t>venda casada (64 pedidos) · QTD/custo manuais mantidos · ATENÇÃO: Olist hoje diz 28.27</t>
        </is>
      </c>
      <c r="X581" t="n">
        <v>64</v>
      </c>
      <c r="Y581" t="inlineStr">
        <is>
          <t>ok</t>
        </is>
      </c>
    </row>
    <row r="582" ht="15" customFormat="1" customHeight="1" s="14">
      <c r="A582" s="19" t="inlineStr">
        <is>
          <t>Espaço De Bicho</t>
        </is>
      </c>
      <c r="B582" s="19" t="inlineStr">
        <is>
          <t>Areia Higiênica Biodegradável Espaço de Bicho Grãos Finos 8kg – Milho e Mandioca (100% Natural)</t>
        </is>
      </c>
      <c r="C582" s="19" t="inlineStr">
        <is>
          <t>20KG,Grãos Finos</t>
        </is>
      </c>
      <c r="D582" s="19" t="inlineStr">
        <is>
          <t>AREIA-EDB-20KG-GF</t>
        </is>
      </c>
      <c r="E582" s="19" t="inlineStr">
        <is>
          <t>58252025446</t>
        </is>
      </c>
      <c r="F582" s="19" t="inlineStr">
        <is>
          <t>119727697282</t>
        </is>
      </c>
      <c r="G582" s="19" t="inlineStr">
        <is>
          <t>NORMAL</t>
        </is>
      </c>
      <c r="H582" s="20" t="n">
        <v>299.9</v>
      </c>
      <c r="I582" s="20" t="n">
        <v>229.9</v>
      </c>
      <c r="J582" s="21" t="inlineStr">
        <is>
          <t>SIM</t>
        </is>
      </c>
      <c r="K582" s="20" t="n">
        <v>229.9</v>
      </c>
      <c r="L582" s="35">
        <f>IF(K582&lt;&gt;"",K582,I582)</f>
        <v/>
      </c>
      <c r="M582" s="32" t="n">
        <v>5</v>
      </c>
      <c r="N582" s="30" t="n">
        <v>22.36</v>
      </c>
      <c r="O582" s="31">
        <f>N582*M582</f>
        <v/>
      </c>
      <c r="P582" s="80">
        <f>IF($O582="","",L582-O582-(L582*IF(L582&lt;=79.99,20%,14%)+IF(L582&lt;=79.99,4,IF(L582&lt;=99.99,16,IF(L582&lt;=199.99,20,IF(L582&lt;=499.99,26,28)))))-L582*1.3%-L582*6%-(L582-O582)*9.25%-L582*3%-L582*3%-1)</f>
        <v/>
      </c>
      <c r="Q582" s="22">
        <f>IF(AND(K582&lt;&gt;"",H582&gt;0),(H582-K582)/H582,"")</f>
        <v/>
      </c>
      <c r="R582" s="19" t="inlineStr">
        <is>
          <t>488116129583228</t>
        </is>
      </c>
      <c r="S582" s="23" t="n">
        <v>46236.5</v>
      </c>
      <c r="T582" s="23" t="n">
        <v>46360.99930555555</v>
      </c>
      <c r="U582" s="19" t="inlineStr">
        <is>
          <t>100923</t>
        </is>
      </c>
      <c r="V582" t="inlineStr">
        <is>
          <t>215511</t>
        </is>
      </c>
      <c r="W582" t="inlineStr">
        <is>
          <t>venda casada (112 pedidos) · QTD/custo manuais mantidos · ATENÇÃO: Olist hoje diz 28.27</t>
        </is>
      </c>
      <c r="X582" t="n">
        <v>112</v>
      </c>
      <c r="Y582" t="inlineStr">
        <is>
          <t>ok</t>
        </is>
      </c>
    </row>
    <row r="583" ht="15" customFormat="1" customHeight="1" s="19">
      <c r="A583" s="19" t="inlineStr">
        <is>
          <t>Espaço De Bicho</t>
        </is>
      </c>
      <c r="B583" s="19" t="inlineStr">
        <is>
          <t>Areia Higiênica Biodegradável Espaço do Bicho Grãos Mistos 8kg – Milho e Mandioca (100% Natural)</t>
        </is>
      </c>
      <c r="C583" s="19" t="inlineStr">
        <is>
          <t>20KG</t>
        </is>
      </c>
      <c r="D583" s="19" t="inlineStr">
        <is>
          <t>AREIA-EDB-20KG-GM</t>
        </is>
      </c>
      <c r="E583" s="19" t="inlineStr">
        <is>
          <t>53015155131</t>
        </is>
      </c>
      <c r="F583" s="19" t="inlineStr">
        <is>
          <t>186418444465</t>
        </is>
      </c>
      <c r="G583" s="19" t="inlineStr">
        <is>
          <t>NORMAL</t>
        </is>
      </c>
      <c r="H583" s="20" t="n">
        <v>299.9</v>
      </c>
      <c r="I583" s="20" t="n">
        <v>249.9</v>
      </c>
      <c r="J583" s="21" t="inlineStr">
        <is>
          <t>SIM</t>
        </is>
      </c>
      <c r="K583" s="20" t="n">
        <v>249.9</v>
      </c>
      <c r="L583" s="35">
        <f>IF(K583&lt;&gt;"",K583,I583)</f>
        <v/>
      </c>
      <c r="M583" s="32" t="n">
        <v>5</v>
      </c>
      <c r="N583" s="30" t="n">
        <v>22.36</v>
      </c>
      <c r="O583" s="31">
        <f>N583*M583</f>
        <v/>
      </c>
      <c r="P583" s="80">
        <f>IF($O583="","",L583-O583-(L583*IF(L583&lt;=79.99,20%,14%)+IF(L583&lt;=79.99,4,IF(L583&lt;=99.99,16,IF(L583&lt;=199.99,20,IF(L583&lt;=499.99,26,28)))))-L583*1.3%-L583*6%-(L583-O583)*9.25%-L583*3%-L583*3%-1)</f>
        <v/>
      </c>
      <c r="Q583" s="22">
        <f>IF(AND(K583&lt;&gt;"",H583&gt;0),(H583-K583)/H583,"")</f>
        <v/>
      </c>
      <c r="R583" s="19" t="inlineStr">
        <is>
          <t>488116129583228</t>
        </is>
      </c>
      <c r="S583" s="23" t="n">
        <v>46236.5</v>
      </c>
      <c r="T583" s="23" t="n">
        <v>46360.99930555555</v>
      </c>
      <c r="U583" s="19" t="inlineStr">
        <is>
          <t>100923</t>
        </is>
      </c>
      <c r="V583" t="inlineStr">
        <is>
          <t>216211</t>
        </is>
      </c>
      <c r="W583" t="inlineStr">
        <is>
          <t>venda casada (3 pedidos) · QTD/custo manuais mantidos</t>
        </is>
      </c>
      <c r="X583" t="n">
        <v>3</v>
      </c>
      <c r="Y583" t="inlineStr">
        <is>
          <t>ok</t>
        </is>
      </c>
    </row>
    <row r="584" ht="15" customFormat="1" customHeight="1" s="14">
      <c r="A584" s="14" t="inlineStr">
        <is>
          <t>Espaço De Bicho</t>
        </is>
      </c>
      <c r="B584" s="14" t="inlineStr">
        <is>
          <t>Kit 5 Areia Higiênica Biodegradável Grãos Finos Milho e Mandioca (100% Natural) - Espaço De Bicho</t>
        </is>
      </c>
      <c r="C584" s="14" t="inlineStr">
        <is>
          <t>Grãos Finos</t>
        </is>
      </c>
      <c r="D584" s="14" t="inlineStr">
        <is>
          <t>KIT5-AREIA-EDB-4KG-GF</t>
        </is>
      </c>
      <c r="E584" s="14" t="inlineStr">
        <is>
          <t>58204486942</t>
        </is>
      </c>
      <c r="F584" s="14" t="inlineStr">
        <is>
          <t>189185324469</t>
        </is>
      </c>
      <c r="G584" s="14" t="inlineStr">
        <is>
          <t>NORMAL</t>
        </is>
      </c>
      <c r="H584" s="15" t="n">
        <v>299.9</v>
      </c>
      <c r="I584" s="15" t="n">
        <v>249.9</v>
      </c>
      <c r="J584" s="16" t="inlineStr">
        <is>
          <t>SIM</t>
        </is>
      </c>
      <c r="K584" s="15" t="n">
        <v>249.9</v>
      </c>
      <c r="L584" s="35">
        <f>IF(K584&lt;&gt;"",K584,I584)</f>
        <v/>
      </c>
      <c r="M584" s="33" t="n">
        <v>5</v>
      </c>
      <c r="N584" s="30" t="n">
        <v>22.36</v>
      </c>
      <c r="O584" s="31">
        <f>N584*M584</f>
        <v/>
      </c>
      <c r="P584" s="80">
        <f>IF($O584="","",L584-O584-(L584*IF(L584&lt;=79.99,20%,14%)+IF(L584&lt;=79.99,4,IF(L584&lt;=99.99,16,IF(L584&lt;=199.99,20,IF(L584&lt;=499.99,26,28)))))-L584*1.3%-L584*6%-(L584-O584)*9.25%-L584*3%-L584*3%-1)</f>
        <v/>
      </c>
      <c r="Q584" s="17">
        <f>IF(AND(K584&lt;&gt;"",H584&gt;0),(H584-K584)/H584,"")</f>
        <v/>
      </c>
      <c r="R584" s="14" t="inlineStr">
        <is>
          <t>488116129583228</t>
        </is>
      </c>
      <c r="S584" s="18" t="n">
        <v>46236.5</v>
      </c>
      <c r="T584" s="18" t="n">
        <v>46360.99930555555</v>
      </c>
      <c r="U584" s="14" t="inlineStr">
        <is>
          <t>100923</t>
        </is>
      </c>
      <c r="V584" t="inlineStr">
        <is>
          <t>215511</t>
        </is>
      </c>
      <c r="W584" t="inlineStr">
        <is>
          <t>venda casada (28 pedidos) · QTD/custo manuais mantidos · ATENÇÃO: Olist hoje diz 28.27</t>
        </is>
      </c>
      <c r="X584" t="n">
        <v>28</v>
      </c>
      <c r="Y584" t="inlineStr">
        <is>
          <t>ok</t>
        </is>
      </c>
    </row>
    <row r="585" ht="15" customFormat="1" customHeight="1" s="19">
      <c r="A585" s="14" t="inlineStr">
        <is>
          <t>Jacartta</t>
        </is>
      </c>
      <c r="B585" s="14" t="inlineStr">
        <is>
          <t>Kit Protetor De Colchão  Lençol Oliver Home G Descartável Cadeira de Rodas Pós Operatório</t>
        </is>
      </c>
      <c r="C585" s="14" t="inlineStr">
        <is>
          <t>KIT 2 - 10 UNIDADES</t>
        </is>
      </c>
      <c r="D585" s="14" t="inlineStr">
        <is>
          <t>2PCT-PROTETOR-COLCHÃO</t>
        </is>
      </c>
      <c r="E585" s="14" t="inlineStr">
        <is>
          <t>23798075008</t>
        </is>
      </c>
      <c r="F585" s="14" t="inlineStr">
        <is>
          <t>229413614021</t>
        </is>
      </c>
      <c r="G585" s="14" t="inlineStr">
        <is>
          <t>NORMAL</t>
        </is>
      </c>
      <c r="H585" s="15" t="n">
        <v>59.9</v>
      </c>
      <c r="I585" s="15" t="n">
        <v>48.9</v>
      </c>
      <c r="J585" s="16" t="inlineStr">
        <is>
          <t>SIM</t>
        </is>
      </c>
      <c r="K585" s="15" t="n">
        <v>48.9</v>
      </c>
      <c r="L585" s="35">
        <f>IF(K585&lt;&gt;"",K585,I585)</f>
        <v/>
      </c>
      <c r="M585" s="84" t="n">
        <v>2</v>
      </c>
      <c r="N585" s="85" t="n">
        <v>7.31</v>
      </c>
      <c r="O585" s="80">
        <f>ROUND(M585*N585,2)</f>
        <v/>
      </c>
      <c r="P585" s="80">
        <f>IF($O585="","",L585-O585-(L585*IF(L585&lt;=79.99,20%,14%)+IF(L585&lt;=79.99,4,IF(L585&lt;=99.99,16,IF(L585&lt;=199.99,20,IF(L585&lt;=499.99,26,28)))))-L585*1.3%-L585*6%-(L585-O585)*9.25%-L585*3%-L585*3%-1)</f>
        <v/>
      </c>
      <c r="Q585" s="17">
        <f>IF(AND(K585&lt;&gt;"",H585&gt;0),(H585-K585)/H585,"")</f>
        <v/>
      </c>
      <c r="R585" s="14" t="inlineStr">
        <is>
          <t>909481504866304</t>
        </is>
      </c>
      <c r="S585" s="18" t="n">
        <v>46144.3875</v>
      </c>
      <c r="T585" s="18" t="n">
        <v>46295.4375</v>
      </c>
      <c r="U585" s="14" t="inlineStr">
        <is>
          <t>101145</t>
        </is>
      </c>
      <c r="V585" t="inlineStr">
        <is>
          <t>213170</t>
        </is>
      </c>
      <c r="W585" t="inlineStr">
        <is>
          <t>herdado do anúncio (escalado 15→10 un) · custo do KIT 213680 (2× 213170)</t>
        </is>
      </c>
      <c r="Y585" t="inlineStr">
        <is>
          <t>ok</t>
        </is>
      </c>
    </row>
    <row r="586" ht="15" customFormat="1" customHeight="1" s="14">
      <c r="A586" s="14" t="inlineStr">
        <is>
          <t>Jacartta</t>
        </is>
      </c>
      <c r="B586" s="14" t="inlineStr">
        <is>
          <t>Kit Protetor De Colchão  Lençol Oliver Home G Descartável Cadeira de Rodas Pós Operatório</t>
        </is>
      </c>
      <c r="C586" s="14" t="inlineStr">
        <is>
          <t>KIT 4 - 20 UNIDADES</t>
        </is>
      </c>
      <c r="D586" s="14" t="inlineStr">
        <is>
          <t>4PCT-PROTETOR-COLCHÃO</t>
        </is>
      </c>
      <c r="E586" s="14" t="inlineStr">
        <is>
          <t>23798075008</t>
        </is>
      </c>
      <c r="F586" s="14" t="inlineStr">
        <is>
          <t>229413614019</t>
        </is>
      </c>
      <c r="G586" s="14" t="inlineStr">
        <is>
          <t>NORMAL</t>
        </is>
      </c>
      <c r="H586" s="15" t="n">
        <v>99.90000000000001</v>
      </c>
      <c r="I586" s="15" t="n">
        <v>97.90000000000001</v>
      </c>
      <c r="J586" s="16" t="inlineStr">
        <is>
          <t>SIM</t>
        </is>
      </c>
      <c r="K586" s="15" t="n">
        <v>97.90000000000001</v>
      </c>
      <c r="L586" s="35">
        <f>IF(K586&lt;&gt;"",K586,I586)</f>
        <v/>
      </c>
      <c r="M586" s="84" t="n">
        <v>4</v>
      </c>
      <c r="N586" s="85" t="n">
        <v>7.31</v>
      </c>
      <c r="O586" s="80">
        <f>ROUND(M586*N586,2)</f>
        <v/>
      </c>
      <c r="P586" s="80">
        <f>IF($O586="","",L586-O586-(L586*IF(L586&lt;=79.99,20%,14%)+IF(L586&lt;=79.99,4,IF(L586&lt;=99.99,16,IF(L586&lt;=199.99,20,IF(L586&lt;=499.99,26,28)))))-L586*1.3%-L586*6%-(L586-O586)*9.25%-L586*3%-L586*3%-1)</f>
        <v/>
      </c>
      <c r="Q586" s="17">
        <f>IF(AND(K586&lt;&gt;"",H586&gt;0),(H586-K586)/H586,"")</f>
        <v/>
      </c>
      <c r="R586" s="14" t="inlineStr">
        <is>
          <t>909481504866304</t>
        </is>
      </c>
      <c r="S586" s="18" t="n">
        <v>46144.3875</v>
      </c>
      <c r="T586" s="18" t="n">
        <v>46295.4375</v>
      </c>
      <c r="U586" s="14" t="inlineStr">
        <is>
          <t>101145</t>
        </is>
      </c>
      <c r="V586" t="inlineStr">
        <is>
          <t>213170</t>
        </is>
      </c>
      <c r="W586" t="inlineStr">
        <is>
          <t>venda casada (1 pedido) · custo do KIT 213682 (4× 213170)</t>
        </is>
      </c>
      <c r="X586" t="n">
        <v>1</v>
      </c>
      <c r="Y586" t="inlineStr">
        <is>
          <t>⚠ evidência fraca (1 pedido)</t>
        </is>
      </c>
    </row>
    <row r="587" ht="15" customFormat="1" customHeight="1" s="19">
      <c r="A587" s="14" t="inlineStr">
        <is>
          <t>Jacartta</t>
        </is>
      </c>
      <c r="B587" s="14" t="inlineStr">
        <is>
          <t>Kit Senspert Para Detecção Leishmania - Dechra</t>
        </is>
      </c>
      <c r="C587" s="14" t="inlineStr">
        <is>
          <t>Sem variação</t>
        </is>
      </c>
      <c r="D587" s="14" t="inlineStr">
        <is>
          <t>0201</t>
        </is>
      </c>
      <c r="E587" s="14" t="inlineStr">
        <is>
          <t>14748429250</t>
        </is>
      </c>
      <c r="F587" s="14" t="inlineStr">
        <is>
          <t>0</t>
        </is>
      </c>
      <c r="G587" s="14" t="inlineStr">
        <is>
          <t>NORMAL</t>
        </is>
      </c>
      <c r="H587" s="15" t="n">
        <v>145.8</v>
      </c>
      <c r="I587" s="15" t="n">
        <v>64.90000000000001</v>
      </c>
      <c r="J587" s="16" t="inlineStr">
        <is>
          <t>SIM</t>
        </is>
      </c>
      <c r="K587" s="15" t="n">
        <v>64.90000000000001</v>
      </c>
      <c r="L587" s="35">
        <f>IF(K587&lt;&gt;"",K587,I587)</f>
        <v/>
      </c>
      <c r="M587" s="28" t="n"/>
      <c r="N587" s="28" t="n"/>
      <c r="O587" s="29" t="n"/>
      <c r="P587" s="80">
        <f>IF($O587="","",L587-O587-(L587*IF(L587&lt;=79.99,20%,14%)+IF(L587&lt;=79.99,4,IF(L587&lt;=99.99,16,IF(L587&lt;=199.99,20,IF(L587&lt;=499.99,26,28)))))-L587*1.3%-L587*6%-(L587-O587)*9.25%-L587*3%-L587*3%-1)</f>
        <v/>
      </c>
      <c r="Q587" s="17">
        <f>IF(AND(K587&lt;&gt;"",H587&gt;0),(H587-K587)/H587,"")</f>
        <v/>
      </c>
      <c r="R587" s="14" t="inlineStr">
        <is>
          <t>909481504866304</t>
        </is>
      </c>
      <c r="S587" s="18" t="n">
        <v>46144.3875</v>
      </c>
      <c r="T587" s="18" t="n">
        <v>46295.4375</v>
      </c>
      <c r="U587" s="14" t="inlineStr">
        <is>
          <t>100942</t>
        </is>
      </c>
      <c r="W587" t="inlineStr">
        <is>
          <t>sem correspondência</t>
        </is>
      </c>
      <c r="Y587" t="inlineStr"/>
    </row>
    <row r="588" ht="15" customFormat="1" customHeight="1" s="14">
      <c r="A588" s="14" t="inlineStr">
        <is>
          <t>Jacartta</t>
        </is>
      </c>
      <c r="B588" s="14" t="inlineStr">
        <is>
          <t>Kit Tapete Higiênico Mozão Aroma Lavanda 80x60cm 120 Unidades</t>
        </is>
      </c>
      <c r="C588" s="14" t="inlineStr">
        <is>
          <t>Sem variação</t>
        </is>
      </c>
      <c r="D588" s="14" t="inlineStr">
        <is>
          <t>TAPETE-MOZAO-LAVANDA-120</t>
        </is>
      </c>
      <c r="E588" s="14" t="inlineStr">
        <is>
          <t>57565207351</t>
        </is>
      </c>
      <c r="F588" s="14" t="inlineStr">
        <is>
          <t>0</t>
        </is>
      </c>
      <c r="G588" s="14" t="inlineStr">
        <is>
          <t>NORMAL</t>
        </is>
      </c>
      <c r="H588" s="15" t="n">
        <v>279.6</v>
      </c>
      <c r="I588" s="15" t="n">
        <v>279.6</v>
      </c>
      <c r="J588" s="16" t="inlineStr">
        <is>
          <t>NÃO</t>
        </is>
      </c>
      <c r="K588" s="15" t="n"/>
      <c r="L588" s="35">
        <f>IF(K588&lt;&gt;"",K588,I588)</f>
        <v/>
      </c>
      <c r="M588" s="28" t="n"/>
      <c r="N588" s="28" t="n"/>
      <c r="O588" s="29" t="n"/>
      <c r="P588" s="80">
        <f>IF($O588="","",L588-O588-(L588*IF(L588&lt;=79.99,20%,14%)+IF(L588&lt;=79.99,4,IF(L588&lt;=99.99,16,IF(L588&lt;=199.99,20,IF(L588&lt;=499.99,26,28)))))-L588*1.3%-L588*6%-(L588-O588)*9.25%-L588*3%-L588*3%-1)</f>
        <v/>
      </c>
      <c r="Q588" s="17">
        <f>IF(AND(K588&lt;&gt;"",H588&gt;0),(H588-K588)/H588,"")</f>
        <v/>
      </c>
      <c r="R588" s="14" t="inlineStr"/>
      <c r="S588" s="18" t="n"/>
      <c r="T588" s="18" t="n"/>
      <c r="U588" s="14" t="inlineStr">
        <is>
          <t>100926</t>
        </is>
      </c>
      <c r="W588" t="inlineStr">
        <is>
          <t>sem correspondência</t>
        </is>
      </c>
      <c r="Y588" t="inlineStr"/>
    </row>
    <row r="589" ht="15" customFormat="1" customHeight="1" s="19">
      <c r="A589" s="19" t="inlineStr">
        <is>
          <t>Jacartta</t>
        </is>
      </c>
      <c r="B589" s="19" t="inlineStr">
        <is>
          <t>Kit Tapete Higiênico Mozão Aroma Lavanda 80x60cm 30unidades</t>
        </is>
      </c>
      <c r="C589" s="19" t="inlineStr">
        <is>
          <t>120 Unidades</t>
        </is>
      </c>
      <c r="D589" s="19" t="inlineStr">
        <is>
          <t>TAPETE-MOZAO-LAVANDA-120</t>
        </is>
      </c>
      <c r="E589" s="19" t="inlineStr">
        <is>
          <t>44383176062</t>
        </is>
      </c>
      <c r="F589" s="19" t="inlineStr">
        <is>
          <t>331303883823</t>
        </is>
      </c>
      <c r="G589" s="19" t="inlineStr">
        <is>
          <t>NORMAL</t>
        </is>
      </c>
      <c r="H589" s="20" t="n">
        <v>279.6</v>
      </c>
      <c r="I589" s="20" t="n">
        <v>279.6</v>
      </c>
      <c r="J589" s="21" t="inlineStr">
        <is>
          <t>NÃO</t>
        </is>
      </c>
      <c r="K589" s="20" t="n"/>
      <c r="L589" s="35">
        <f>IF(K589&lt;&gt;"",K589,I589)</f>
        <v/>
      </c>
      <c r="M589" s="81" t="n">
        <v>4</v>
      </c>
      <c r="N589" s="82" t="n">
        <v>33.98</v>
      </c>
      <c r="O589" s="83">
        <f>ROUND(M589*N589,2)</f>
        <v/>
      </c>
      <c r="P589" s="80">
        <f>IF($O589="","",L589-O589-(L589*IF(L589&lt;=79.99,20%,14%)+IF(L589&lt;=79.99,4,IF(L589&lt;=99.99,16,IF(L589&lt;=199.99,20,IF(L589&lt;=499.99,26,28)))))-L589*1.3%-L589*6%-(L589-O589)*9.25%-L589*3%-L589*3%-1)</f>
        <v/>
      </c>
      <c r="Q589" s="22">
        <f>IF(AND(K589&lt;&gt;"",H589&gt;0),(H589-K589)/H589,"")</f>
        <v/>
      </c>
      <c r="R589" s="19" t="inlineStr"/>
      <c r="S589" s="23" t="n"/>
      <c r="T589" s="23" t="n"/>
      <c r="U589" s="19" t="inlineStr">
        <is>
          <t>100926</t>
        </is>
      </c>
      <c r="V589" t="inlineStr">
        <is>
          <t>216182</t>
        </is>
      </c>
      <c r="W589" t="inlineStr">
        <is>
          <t>herdado do anúncio (escalado 30→120 un) · custo do KIT 216205 (4× 216182)</t>
        </is>
      </c>
      <c r="Y589" t="inlineStr">
        <is>
          <t>ok</t>
        </is>
      </c>
    </row>
    <row r="590" ht="15" customFormat="1" customHeight="1" s="14">
      <c r="A590" s="14" t="inlineStr">
        <is>
          <t>Jacartta</t>
        </is>
      </c>
      <c r="B590" s="14" t="inlineStr">
        <is>
          <t>Kit Tapete Higiênico Mozão Aroma Lavanda 80x60cm 30unidades</t>
        </is>
      </c>
      <c r="C590" s="14" t="inlineStr">
        <is>
          <t>30 Unidades</t>
        </is>
      </c>
      <c r="D590" s="14" t="inlineStr">
        <is>
          <t>TAPETE-MOZAO-LAVANDA-30</t>
        </is>
      </c>
      <c r="E590" s="14" t="inlineStr">
        <is>
          <t>44383176062</t>
        </is>
      </c>
      <c r="F590" s="14" t="inlineStr">
        <is>
          <t>331303883820</t>
        </is>
      </c>
      <c r="G590" s="14" t="inlineStr">
        <is>
          <t>NORMAL</t>
        </is>
      </c>
      <c r="H590" s="15" t="n">
        <v>69.90000000000001</v>
      </c>
      <c r="I590" s="15" t="n">
        <v>69.90000000000001</v>
      </c>
      <c r="J590" s="16" t="inlineStr">
        <is>
          <t>NÃO</t>
        </is>
      </c>
      <c r="K590" s="15" t="n"/>
      <c r="L590" s="35">
        <f>IF(K590&lt;&gt;"",K590,I590)</f>
        <v/>
      </c>
      <c r="M590" s="84" t="n">
        <v>1</v>
      </c>
      <c r="N590" s="85" t="n">
        <v>33.98</v>
      </c>
      <c r="O590" s="80">
        <f>ROUND(M590*N590,2)</f>
        <v/>
      </c>
      <c r="P590" s="80">
        <f>IF($O590="","",L590-O590-(L590*IF(L590&lt;=79.99,20%,14%)+IF(L590&lt;=79.99,4,IF(L590&lt;=99.99,16,IF(L590&lt;=199.99,20,IF(L590&lt;=499.99,26,28)))))-L590*1.3%-L590*6%-(L590-O590)*9.25%-L590*3%-L590*3%-1)</f>
        <v/>
      </c>
      <c r="Q590" s="17">
        <f>IF(AND(K590&lt;&gt;"",H590&gt;0),(H590-K590)/H590,"")</f>
        <v/>
      </c>
      <c r="R590" s="14" t="inlineStr"/>
      <c r="S590" s="18" t="n"/>
      <c r="T590" s="18" t="n"/>
      <c r="U590" s="14" t="inlineStr">
        <is>
          <t>100926</t>
        </is>
      </c>
      <c r="V590" t="inlineStr">
        <is>
          <t>216182</t>
        </is>
      </c>
      <c r="W590" t="inlineStr">
        <is>
          <t>SKU do de-para · custo do KIT 216202 (1× 216182)</t>
        </is>
      </c>
      <c r="X590" t="n">
        <v>2</v>
      </c>
      <c r="Y590" t="inlineStr">
        <is>
          <t>ok</t>
        </is>
      </c>
    </row>
    <row r="591" ht="15" customFormat="1" customHeight="1" s="19">
      <c r="A591" s="19" t="inlineStr">
        <is>
          <t>Jacartta</t>
        </is>
      </c>
      <c r="B591" s="19" t="inlineStr">
        <is>
          <t>Kit Tapete Higiênico Mozão Aroma Lavanda 80x60cm 30unidades</t>
        </is>
      </c>
      <c r="C591" s="19" t="inlineStr">
        <is>
          <t>60 Unidades</t>
        </is>
      </c>
      <c r="D591" s="19" t="inlineStr">
        <is>
          <t>TAPETE-MOZAO-LAVANDA-60</t>
        </is>
      </c>
      <c r="E591" s="19" t="inlineStr">
        <is>
          <t>44383176062</t>
        </is>
      </c>
      <c r="F591" s="19" t="inlineStr">
        <is>
          <t>331303883821</t>
        </is>
      </c>
      <c r="G591" s="19" t="inlineStr">
        <is>
          <t>NORMAL</t>
        </is>
      </c>
      <c r="H591" s="20" t="n">
        <v>139.8</v>
      </c>
      <c r="I591" s="20" t="n">
        <v>139.8</v>
      </c>
      <c r="J591" s="21" t="inlineStr">
        <is>
          <t>NÃO</t>
        </is>
      </c>
      <c r="K591" s="20" t="n"/>
      <c r="L591" s="35">
        <f>IF(K591&lt;&gt;"",K591,I591)</f>
        <v/>
      </c>
      <c r="M591" s="81" t="n">
        <v>2</v>
      </c>
      <c r="N591" s="82" t="n">
        <v>33.98</v>
      </c>
      <c r="O591" s="83">
        <f>ROUND(M591*N591,2)</f>
        <v/>
      </c>
      <c r="P591" s="80">
        <f>IF($O591="","",L591-O591-(L591*IF(L591&lt;=79.99,20%,14%)+IF(L591&lt;=79.99,4,IF(L591&lt;=99.99,16,IF(L591&lt;=199.99,20,IF(L591&lt;=499.99,26,28)))))-L591*1.3%-L591*6%-(L591-O591)*9.25%-L591*3%-L591*3%-1)</f>
        <v/>
      </c>
      <c r="Q591" s="22">
        <f>IF(AND(K591&lt;&gt;"",H591&gt;0),(H591-K591)/H591,"")</f>
        <v/>
      </c>
      <c r="R591" s="19" t="inlineStr"/>
      <c r="S591" s="23" t="n"/>
      <c r="T591" s="23" t="n"/>
      <c r="U591" s="19" t="inlineStr">
        <is>
          <t>100926</t>
        </is>
      </c>
      <c r="V591" t="inlineStr">
        <is>
          <t>216182</t>
        </is>
      </c>
      <c r="W591" t="inlineStr">
        <is>
          <t>herdado do anúncio (escalado 30→60 un) · custo do KIT 216203 (2× 216182)</t>
        </is>
      </c>
      <c r="Y591" t="inlineStr">
        <is>
          <t>ok</t>
        </is>
      </c>
    </row>
    <row r="592" ht="15" customFormat="1" customHeight="1" s="14">
      <c r="A592" s="14" t="inlineStr">
        <is>
          <t>Jacartta</t>
        </is>
      </c>
      <c r="B592" s="14" t="inlineStr">
        <is>
          <t>Kit Tapete Higiênico Mozão Aroma Lavanda 80x60cm 30unidades</t>
        </is>
      </c>
      <c r="C592" s="14" t="inlineStr">
        <is>
          <t>90 Unidades</t>
        </is>
      </c>
      <c r="D592" s="14" t="inlineStr">
        <is>
          <t>TAPETE-MOZAO-LAVANDA-90</t>
        </is>
      </c>
      <c r="E592" s="14" t="inlineStr">
        <is>
          <t>44383176062</t>
        </is>
      </c>
      <c r="F592" s="14" t="inlineStr">
        <is>
          <t>331303883822</t>
        </is>
      </c>
      <c r="G592" s="14" t="inlineStr">
        <is>
          <t>NORMAL</t>
        </is>
      </c>
      <c r="H592" s="15" t="n">
        <v>209.7</v>
      </c>
      <c r="I592" s="15" t="n">
        <v>209.7</v>
      </c>
      <c r="J592" s="16" t="inlineStr">
        <is>
          <t>NÃO</t>
        </is>
      </c>
      <c r="K592" s="15" t="n"/>
      <c r="L592" s="35">
        <f>IF(K592&lt;&gt;"",K592,I592)</f>
        <v/>
      </c>
      <c r="M592" s="84" t="n">
        <v>3</v>
      </c>
      <c r="N592" s="85" t="n">
        <v>33.98</v>
      </c>
      <c r="O592" s="80">
        <f>ROUND(M592*N592,2)</f>
        <v/>
      </c>
      <c r="P592" s="80">
        <f>IF($O592="","",L592-O592-(L592*IF(L592&lt;=79.99,20%,14%)+IF(L592&lt;=79.99,4,IF(L592&lt;=99.99,16,IF(L592&lt;=199.99,20,IF(L592&lt;=499.99,26,28)))))-L592*1.3%-L592*6%-(L592-O592)*9.25%-L592*3%-L592*3%-1)</f>
        <v/>
      </c>
      <c r="Q592" s="17">
        <f>IF(AND(K592&lt;&gt;"",H592&gt;0),(H592-K592)/H592,"")</f>
        <v/>
      </c>
      <c r="R592" s="14" t="inlineStr"/>
      <c r="S592" s="18" t="n"/>
      <c r="T592" s="18" t="n"/>
      <c r="U592" s="14" t="inlineStr">
        <is>
          <t>100926</t>
        </is>
      </c>
      <c r="V592" t="inlineStr">
        <is>
          <t>216182</t>
        </is>
      </c>
      <c r="W592" t="inlineStr">
        <is>
          <t>herdado do anúncio (escalado 30→90 un) · custo do KIT 216204 (3× 216182)</t>
        </is>
      </c>
      <c r="Y592" t="inlineStr">
        <is>
          <t>ok</t>
        </is>
      </c>
    </row>
    <row r="593" ht="15" customFormat="1" customHeight="1" s="19">
      <c r="A593" s="19" t="inlineStr">
        <is>
          <t>Jacartta</t>
        </is>
      </c>
      <c r="B593" s="19" t="inlineStr">
        <is>
          <t>Kit Tapete Higiênico Mozão Aroma Lavanda 80x60cm 60 unidades</t>
        </is>
      </c>
      <c r="C593" s="19" t="inlineStr">
        <is>
          <t>Sem variação</t>
        </is>
      </c>
      <c r="D593" s="19" t="inlineStr">
        <is>
          <t>TAPETE-MOZAO-LAVANDA-60</t>
        </is>
      </c>
      <c r="E593" s="19" t="inlineStr">
        <is>
          <t>49415231900</t>
        </is>
      </c>
      <c r="F593" s="19" t="inlineStr">
        <is>
          <t>0</t>
        </is>
      </c>
      <c r="G593" s="19" t="inlineStr">
        <is>
          <t>NORMAL</t>
        </is>
      </c>
      <c r="H593" s="20" t="n">
        <v>139.8</v>
      </c>
      <c r="I593" s="20" t="n">
        <v>139.8</v>
      </c>
      <c r="J593" s="21" t="inlineStr">
        <is>
          <t>NÃO</t>
        </is>
      </c>
      <c r="K593" s="20" t="n"/>
      <c r="L593" s="35">
        <f>IF(K593&lt;&gt;"",K593,I593)</f>
        <v/>
      </c>
      <c r="M593" s="30" t="n"/>
      <c r="N593" s="30" t="n"/>
      <c r="O593" s="31" t="n"/>
      <c r="P593" s="80">
        <f>IF($O593="","",L593-O593-(L593*IF(L593&lt;=79.99,20%,14%)+IF(L593&lt;=79.99,4,IF(L593&lt;=99.99,16,IF(L593&lt;=199.99,20,IF(L593&lt;=499.99,26,28)))))-L593*1.3%-L593*6%-(L593-O593)*9.25%-L593*3%-L593*3%-1)</f>
        <v/>
      </c>
      <c r="Q593" s="22">
        <f>IF(AND(K593&lt;&gt;"",H593&gt;0),(H593-K593)/H593,"")</f>
        <v/>
      </c>
      <c r="R593" s="19" t="inlineStr"/>
      <c r="S593" s="23" t="n"/>
      <c r="T593" s="23" t="n"/>
      <c r="U593" s="19" t="inlineStr">
        <is>
          <t>100926</t>
        </is>
      </c>
      <c r="W593" t="inlineStr">
        <is>
          <t>sem correspondência</t>
        </is>
      </c>
      <c r="Y593" t="inlineStr"/>
    </row>
    <row r="594" ht="15" customFormat="1" customHeight="1" s="14">
      <c r="A594" s="14" t="inlineStr">
        <is>
          <t>Jacartta</t>
        </is>
      </c>
      <c r="B594" s="14" t="inlineStr">
        <is>
          <t>Kit Tapete Higiênico Mozão Aroma Lavanda 80x60cm 90 Unidades</t>
        </is>
      </c>
      <c r="C594" s="14" t="inlineStr">
        <is>
          <t>Sem variação</t>
        </is>
      </c>
      <c r="D594" s="14" t="inlineStr">
        <is>
          <t>TAPETE-MOZAO-LAVANDA-90</t>
        </is>
      </c>
      <c r="E594" s="14" t="inlineStr">
        <is>
          <t>53065216795</t>
        </is>
      </c>
      <c r="F594" s="14" t="inlineStr">
        <is>
          <t>0</t>
        </is>
      </c>
      <c r="G594" s="14" t="inlineStr">
        <is>
          <t>NORMAL</t>
        </is>
      </c>
      <c r="H594" s="15" t="n">
        <v>209.7</v>
      </c>
      <c r="I594" s="15" t="n">
        <v>209.7</v>
      </c>
      <c r="J594" s="16" t="inlineStr">
        <is>
          <t>NÃO</t>
        </is>
      </c>
      <c r="K594" s="15" t="n"/>
      <c r="L594" s="35">
        <f>IF(K594&lt;&gt;"",K594,I594)</f>
        <v/>
      </c>
      <c r="M594" s="28" t="n"/>
      <c r="N594" s="28" t="n"/>
      <c r="O594" s="29" t="n"/>
      <c r="P594" s="80">
        <f>IF($O594="","",L594-O594-(L594*IF(L594&lt;=79.99,20%,14%)+IF(L594&lt;=79.99,4,IF(L594&lt;=99.99,16,IF(L594&lt;=199.99,20,IF(L594&lt;=499.99,26,28)))))-L594*1.3%-L594*6%-(L594-O594)*9.25%-L594*3%-L594*3%-1)</f>
        <v/>
      </c>
      <c r="Q594" s="17">
        <f>IF(AND(K594&lt;&gt;"",H594&gt;0),(H594-K594)/H594,"")</f>
        <v/>
      </c>
      <c r="R594" s="14" t="inlineStr"/>
      <c r="S594" s="18" t="n"/>
      <c r="T594" s="18" t="n"/>
      <c r="U594" s="14" t="inlineStr">
        <is>
          <t>100926</t>
        </is>
      </c>
      <c r="W594" t="inlineStr">
        <is>
          <t>sem correspondência</t>
        </is>
      </c>
      <c r="Y594" t="inlineStr"/>
    </row>
    <row r="595" ht="15" customFormat="1" customHeight="1" s="19">
      <c r="A595" s="19" t="inlineStr">
        <is>
          <t>Jacartta</t>
        </is>
      </c>
      <c r="B595" s="19" t="inlineStr">
        <is>
          <t>Kit Tapete Higiênico Mozão Aroma Neutro 50x60cm 120 Unidades</t>
        </is>
      </c>
      <c r="C595" s="19" t="inlineStr">
        <is>
          <t>Sem variação</t>
        </is>
      </c>
      <c r="D595" s="19" t="inlineStr">
        <is>
          <t>TAPETE-MOZAO-NEUTRO-120</t>
        </is>
      </c>
      <c r="E595" s="19" t="inlineStr">
        <is>
          <t>27095447710</t>
        </is>
      </c>
      <c r="F595" s="19" t="inlineStr">
        <is>
          <t>0</t>
        </is>
      </c>
      <c r="G595" s="19" t="inlineStr">
        <is>
          <t>NORMAL</t>
        </is>
      </c>
      <c r="H595" s="20" t="n">
        <v>159.6</v>
      </c>
      <c r="I595" s="20" t="n">
        <v>159.6</v>
      </c>
      <c r="J595" s="21" t="inlineStr">
        <is>
          <t>NÃO</t>
        </is>
      </c>
      <c r="K595" s="20" t="n"/>
      <c r="L595" s="35">
        <f>IF(K595&lt;&gt;"",K595,I595)</f>
        <v/>
      </c>
      <c r="M595" s="30" t="n"/>
      <c r="N595" s="30" t="n"/>
      <c r="O595" s="31" t="n"/>
      <c r="P595" s="80">
        <f>IF($O595="","",L595-O595-(L595*IF(L595&lt;=79.99,20%,14%)+IF(L595&lt;=79.99,4,IF(L595&lt;=99.99,16,IF(L595&lt;=199.99,20,IF(L595&lt;=499.99,26,28)))))-L595*1.3%-L595*6%-(L595-O595)*9.25%-L595*3%-L595*3%-1)</f>
        <v/>
      </c>
      <c r="Q595" s="22">
        <f>IF(AND(K595&lt;&gt;"",H595&gt;0),(H595-K595)/H595,"")</f>
        <v/>
      </c>
      <c r="R595" s="19" t="inlineStr"/>
      <c r="S595" s="23" t="n"/>
      <c r="T595" s="23" t="n"/>
      <c r="U595" s="19" t="inlineStr">
        <is>
          <t>100926</t>
        </is>
      </c>
      <c r="W595" t="inlineStr">
        <is>
          <t>sem correspondência</t>
        </is>
      </c>
      <c r="Y595" t="inlineStr"/>
    </row>
    <row r="596" ht="15" customFormat="1" customHeight="1" s="14">
      <c r="A596" s="14" t="inlineStr">
        <is>
          <t>Jacartta</t>
        </is>
      </c>
      <c r="B596" s="14" t="inlineStr">
        <is>
          <t>Kit Tapete Higiênico Mozão Aroma Neutro 50x60cm 30 Unidades</t>
        </is>
      </c>
      <c r="C596" s="14" t="inlineStr">
        <is>
          <t>120 Unidades</t>
        </is>
      </c>
      <c r="D596" s="14" t="inlineStr">
        <is>
          <t>TAPETE-MOZAO-NEUTRO-120</t>
        </is>
      </c>
      <c r="E596" s="14" t="inlineStr">
        <is>
          <t>55915156722</t>
        </is>
      </c>
      <c r="F596" s="14" t="inlineStr">
        <is>
          <t>381299512309</t>
        </is>
      </c>
      <c r="G596" s="14" t="inlineStr">
        <is>
          <t>NORMAL</t>
        </is>
      </c>
      <c r="H596" s="15" t="n">
        <v>159.6</v>
      </c>
      <c r="I596" s="15" t="n">
        <v>159.6</v>
      </c>
      <c r="J596" s="16" t="inlineStr">
        <is>
          <t>NÃO</t>
        </is>
      </c>
      <c r="K596" s="15" t="n"/>
      <c r="L596" s="35">
        <f>IF(K596&lt;&gt;"",K596,I596)</f>
        <v/>
      </c>
      <c r="M596" s="28" t="n"/>
      <c r="N596" s="28" t="n"/>
      <c r="O596" s="29" t="n"/>
      <c r="P596" s="80">
        <f>IF($O596="","",L596-O596-(L596*IF(L596&lt;=79.99,20%,14%)+IF(L596&lt;=79.99,4,IF(L596&lt;=99.99,16,IF(L596&lt;=199.99,20,IF(L596&lt;=499.99,26,28)))))-L596*1.3%-L596*6%-(L596-O596)*9.25%-L596*3%-L596*3%-1)</f>
        <v/>
      </c>
      <c r="Q596" s="17">
        <f>IF(AND(K596&lt;&gt;"",H596&gt;0),(H596-K596)/H596,"")</f>
        <v/>
      </c>
      <c r="R596" s="14" t="inlineStr"/>
      <c r="S596" s="18" t="n"/>
      <c r="T596" s="18" t="n"/>
      <c r="U596" s="14" t="inlineStr">
        <is>
          <t>100924</t>
        </is>
      </c>
      <c r="W596" t="inlineStr">
        <is>
          <t>sem correspondência</t>
        </is>
      </c>
      <c r="Y596" t="inlineStr"/>
    </row>
    <row r="597" ht="15" customFormat="1" customHeight="1" s="19">
      <c r="A597" s="19" t="inlineStr">
        <is>
          <t>Jacartta</t>
        </is>
      </c>
      <c r="B597" s="19" t="inlineStr">
        <is>
          <t>Kit Tapete Higiênico Mozão Aroma Neutro 50x60cm 30 Unidades</t>
        </is>
      </c>
      <c r="C597" s="19" t="inlineStr">
        <is>
          <t>30 Unidades</t>
        </is>
      </c>
      <c r="D597" s="19" t="inlineStr">
        <is>
          <t>TAPETE-MOZAO-NEUTRO-30</t>
        </is>
      </c>
      <c r="E597" s="19" t="inlineStr">
        <is>
          <t>55915156722</t>
        </is>
      </c>
      <c r="F597" s="19" t="inlineStr">
        <is>
          <t>381299512306</t>
        </is>
      </c>
      <c r="G597" s="19" t="inlineStr">
        <is>
          <t>NORMAL</t>
        </is>
      </c>
      <c r="H597" s="20" t="n">
        <v>39.9</v>
      </c>
      <c r="I597" s="20" t="n">
        <v>39.9</v>
      </c>
      <c r="J597" s="21" t="inlineStr">
        <is>
          <t>NÃO</t>
        </is>
      </c>
      <c r="K597" s="20" t="n"/>
      <c r="L597" s="35">
        <f>IF(K597&lt;&gt;"",K597,I597)</f>
        <v/>
      </c>
      <c r="M597" s="30" t="n"/>
      <c r="N597" s="30" t="n"/>
      <c r="O597" s="31" t="n"/>
      <c r="P597" s="80">
        <f>IF($O597="","",L597-O597-(L597*IF(L597&lt;=79.99,20%,14%)+IF(L597&lt;=79.99,4,IF(L597&lt;=99.99,16,IF(L597&lt;=199.99,20,IF(L597&lt;=499.99,26,28)))))-L597*1.3%-L597*6%-(L597-O597)*9.25%-L597*3%-L597*3%-1)</f>
        <v/>
      </c>
      <c r="Q597" s="22">
        <f>IF(AND(K597&lt;&gt;"",H597&gt;0),(H597-K597)/H597,"")</f>
        <v/>
      </c>
      <c r="R597" s="19" t="inlineStr"/>
      <c r="S597" s="23" t="n"/>
      <c r="T597" s="23" t="n"/>
      <c r="U597" s="19" t="inlineStr">
        <is>
          <t>100924</t>
        </is>
      </c>
      <c r="W597" t="inlineStr">
        <is>
          <t>sem correspondência</t>
        </is>
      </c>
      <c r="Y597" t="inlineStr"/>
    </row>
    <row r="598" ht="15" customFormat="1" customHeight="1" s="14">
      <c r="A598" s="14" t="inlineStr">
        <is>
          <t>Jacartta</t>
        </is>
      </c>
      <c r="B598" s="14" t="inlineStr">
        <is>
          <t>Kit Tapete Higiênico Mozão Aroma Neutro 50x60cm 30 Unidades</t>
        </is>
      </c>
      <c r="C598" s="14" t="inlineStr">
        <is>
          <t>60 Unidades</t>
        </is>
      </c>
      <c r="D598" s="14" t="inlineStr">
        <is>
          <t>TAPETE-MOZAO-NEUTRO-60</t>
        </is>
      </c>
      <c r="E598" s="14" t="inlineStr">
        <is>
          <t>55915156722</t>
        </is>
      </c>
      <c r="F598" s="14" t="inlineStr">
        <is>
          <t>381299512307</t>
        </is>
      </c>
      <c r="G598" s="14" t="inlineStr">
        <is>
          <t>NORMAL</t>
        </is>
      </c>
      <c r="H598" s="15" t="n">
        <v>79.8</v>
      </c>
      <c r="I598" s="15" t="n">
        <v>79.8</v>
      </c>
      <c r="J598" s="16" t="inlineStr">
        <is>
          <t>NÃO</t>
        </is>
      </c>
      <c r="K598" s="15" t="n"/>
      <c r="L598" s="35">
        <f>IF(K598&lt;&gt;"",K598,I598)</f>
        <v/>
      </c>
      <c r="M598" s="28" t="n"/>
      <c r="N598" s="28" t="n"/>
      <c r="O598" s="29" t="n"/>
      <c r="P598" s="80">
        <f>IF($O598="","",L598-O598-(L598*IF(L598&lt;=79.99,20%,14%)+IF(L598&lt;=79.99,4,IF(L598&lt;=99.99,16,IF(L598&lt;=199.99,20,IF(L598&lt;=499.99,26,28)))))-L598*1.3%-L598*6%-(L598-O598)*9.25%-L598*3%-L598*3%-1)</f>
        <v/>
      </c>
      <c r="Q598" s="17">
        <f>IF(AND(K598&lt;&gt;"",H598&gt;0),(H598-K598)/H598,"")</f>
        <v/>
      </c>
      <c r="R598" s="14" t="inlineStr"/>
      <c r="S598" s="18" t="n"/>
      <c r="T598" s="18" t="n"/>
      <c r="U598" s="14" t="inlineStr">
        <is>
          <t>100924</t>
        </is>
      </c>
      <c r="W598" t="inlineStr">
        <is>
          <t>sem correspondência</t>
        </is>
      </c>
      <c r="Y598" t="inlineStr"/>
    </row>
    <row r="599" ht="15" customFormat="1" customHeight="1" s="19">
      <c r="A599" s="19" t="inlineStr">
        <is>
          <t>Jacartta</t>
        </is>
      </c>
      <c r="B599" s="19" t="inlineStr">
        <is>
          <t>Kit Tapete Higiênico Mozão Aroma Neutro 50x60cm 30 Unidades</t>
        </is>
      </c>
      <c r="C599" s="19" t="inlineStr">
        <is>
          <t>90 Unidades</t>
        </is>
      </c>
      <c r="D599" s="19" t="inlineStr">
        <is>
          <t>TAPETE-MOZAO-NEUTRO-90</t>
        </is>
      </c>
      <c r="E599" s="19" t="inlineStr">
        <is>
          <t>55915156722</t>
        </is>
      </c>
      <c r="F599" s="19" t="inlineStr">
        <is>
          <t>381299512308</t>
        </is>
      </c>
      <c r="G599" s="19" t="inlineStr">
        <is>
          <t>NORMAL</t>
        </is>
      </c>
      <c r="H599" s="20" t="n">
        <v>119.7</v>
      </c>
      <c r="I599" s="20" t="n">
        <v>119.7</v>
      </c>
      <c r="J599" s="21" t="inlineStr">
        <is>
          <t>NÃO</t>
        </is>
      </c>
      <c r="K599" s="20" t="n"/>
      <c r="L599" s="35">
        <f>IF(K599&lt;&gt;"",K599,I599)</f>
        <v/>
      </c>
      <c r="M599" s="30" t="n"/>
      <c r="N599" s="30" t="n"/>
      <c r="O599" s="31" t="n"/>
      <c r="P599" s="80">
        <f>IF($O599="","",L599-O599-(L599*IF(L599&lt;=79.99,20%,14%)+IF(L599&lt;=79.99,4,IF(L599&lt;=99.99,16,IF(L599&lt;=199.99,20,IF(L599&lt;=499.99,26,28)))))-L599*1.3%-L599*6%-(L599-O599)*9.25%-L599*3%-L599*3%-1)</f>
        <v/>
      </c>
      <c r="Q599" s="22">
        <f>IF(AND(K599&lt;&gt;"",H599&gt;0),(H599-K599)/H599,"")</f>
        <v/>
      </c>
      <c r="R599" s="19" t="inlineStr"/>
      <c r="S599" s="23" t="n"/>
      <c r="T599" s="23" t="n"/>
      <c r="U599" s="19" t="inlineStr">
        <is>
          <t>100924</t>
        </is>
      </c>
      <c r="W599" t="inlineStr">
        <is>
          <t>sem correspondência</t>
        </is>
      </c>
      <c r="Y599" t="inlineStr"/>
    </row>
    <row r="600" ht="15" customFormat="1" customHeight="1" s="14">
      <c r="A600" s="14" t="inlineStr">
        <is>
          <t>Jacartta</t>
        </is>
      </c>
      <c r="B600" s="14" t="inlineStr">
        <is>
          <t>Kit Tapete Higiênico Mozão Aroma Neutro 50x60cm 60 Unidades</t>
        </is>
      </c>
      <c r="C600" s="14" t="inlineStr">
        <is>
          <t>Sem variação</t>
        </is>
      </c>
      <c r="D600" s="14" t="inlineStr">
        <is>
          <t>TAPETE-MOZAO-NEUTRO-60</t>
        </is>
      </c>
      <c r="E600" s="14" t="inlineStr">
        <is>
          <t>55265147438</t>
        </is>
      </c>
      <c r="F600" s="14" t="inlineStr">
        <is>
          <t>0</t>
        </is>
      </c>
      <c r="G600" s="14" t="inlineStr">
        <is>
          <t>NORMAL</t>
        </is>
      </c>
      <c r="H600" s="15" t="n">
        <v>79.8</v>
      </c>
      <c r="I600" s="15" t="n">
        <v>79.8</v>
      </c>
      <c r="J600" s="16" t="inlineStr">
        <is>
          <t>NÃO</t>
        </is>
      </c>
      <c r="K600" s="15" t="n"/>
      <c r="L600" s="35">
        <f>IF(K600&lt;&gt;"",K600,I600)</f>
        <v/>
      </c>
      <c r="M600" s="28" t="n"/>
      <c r="N600" s="28" t="n"/>
      <c r="O600" s="29" t="n"/>
      <c r="P600" s="80">
        <f>IF($O600="","",L600-O600-(L600*IF(L600&lt;=79.99,20%,14%)+IF(L600&lt;=79.99,4,IF(L600&lt;=99.99,16,IF(L600&lt;=199.99,20,IF(L600&lt;=499.99,26,28)))))-L600*1.3%-L600*6%-(L600-O600)*9.25%-L600*3%-L600*3%-1)</f>
        <v/>
      </c>
      <c r="Q600" s="17">
        <f>IF(AND(K600&lt;&gt;"",H600&gt;0),(H600-K600)/H600,"")</f>
        <v/>
      </c>
      <c r="R600" s="14" t="inlineStr"/>
      <c r="S600" s="18" t="n"/>
      <c r="T600" s="18" t="n"/>
      <c r="U600" s="14" t="inlineStr">
        <is>
          <t>100926</t>
        </is>
      </c>
      <c r="W600" t="inlineStr">
        <is>
          <t>sem correspondência</t>
        </is>
      </c>
      <c r="Y600" t="inlineStr"/>
    </row>
    <row r="601" ht="15" customFormat="1" customHeight="1" s="19">
      <c r="A601" s="19" t="inlineStr">
        <is>
          <t>Jacartta</t>
        </is>
      </c>
      <c r="B601" s="19" t="inlineStr">
        <is>
          <t>Kit Tapete Higiênico Mozão Aroma Neutro 50x60cm 90 Unidades</t>
        </is>
      </c>
      <c r="C601" s="19" t="inlineStr">
        <is>
          <t>Sem variação</t>
        </is>
      </c>
      <c r="D601" s="19" t="inlineStr">
        <is>
          <t>TAPETE-MOZAO-NEUTRO-90</t>
        </is>
      </c>
      <c r="E601" s="19" t="inlineStr">
        <is>
          <t>52715152053</t>
        </is>
      </c>
      <c r="F601" s="19" t="inlineStr">
        <is>
          <t>0</t>
        </is>
      </c>
      <c r="G601" s="19" t="inlineStr">
        <is>
          <t>NORMAL</t>
        </is>
      </c>
      <c r="H601" s="20" t="n">
        <v>119.7</v>
      </c>
      <c r="I601" s="20" t="n">
        <v>119.7</v>
      </c>
      <c r="J601" s="21" t="inlineStr">
        <is>
          <t>NÃO</t>
        </is>
      </c>
      <c r="K601" s="20" t="n"/>
      <c r="L601" s="35">
        <f>IF(K601&lt;&gt;"",K601,I601)</f>
        <v/>
      </c>
      <c r="M601" s="30" t="n"/>
      <c r="N601" s="30" t="n"/>
      <c r="O601" s="31" t="n"/>
      <c r="P601" s="80">
        <f>IF($O601="","",L601-O601-(L601*IF(L601&lt;=79.99,20%,14%)+IF(L601&lt;=79.99,4,IF(L601&lt;=99.99,16,IF(L601&lt;=199.99,20,IF(L601&lt;=499.99,26,28)))))-L601*1.3%-L601*6%-(L601-O601)*9.25%-L601*3%-L601*3%-1)</f>
        <v/>
      </c>
      <c r="Q601" s="22">
        <f>IF(AND(K601&lt;&gt;"",H601&gt;0),(H601-K601)/H601,"")</f>
        <v/>
      </c>
      <c r="R601" s="19" t="inlineStr"/>
      <c r="S601" s="23" t="n"/>
      <c r="T601" s="23" t="n"/>
      <c r="U601" s="19" t="inlineStr">
        <is>
          <t>100926</t>
        </is>
      </c>
      <c r="W601" t="inlineStr">
        <is>
          <t>sem correspondência</t>
        </is>
      </c>
      <c r="Y601" t="inlineStr"/>
    </row>
    <row r="602" ht="15" customFormat="1" customHeight="1" s="14">
      <c r="A602" s="14" t="inlineStr">
        <is>
          <t>Espaço De Bicho</t>
        </is>
      </c>
      <c r="B602" s="14" t="inlineStr">
        <is>
          <t>Kit 5 Areia Higiênica Biodegradável Grãos Finos Milho e Mandioca (100% Natural) - Espaço De Bicho</t>
        </is>
      </c>
      <c r="C602" s="14" t="inlineStr">
        <is>
          <t>Grãos Mistos</t>
        </is>
      </c>
      <c r="D602" s="14" t="inlineStr">
        <is>
          <t>KIT5-AREIA-EDB-4KG-GM</t>
        </is>
      </c>
      <c r="E602" s="14" t="inlineStr">
        <is>
          <t>58204486942</t>
        </is>
      </c>
      <c r="F602" s="14" t="inlineStr">
        <is>
          <t>351298989468</t>
        </is>
      </c>
      <c r="G602" s="14" t="inlineStr">
        <is>
          <t>NORMAL</t>
        </is>
      </c>
      <c r="H602" s="15" t="n">
        <v>299.9</v>
      </c>
      <c r="I602" s="15" t="n">
        <v>249.9</v>
      </c>
      <c r="J602" s="16" t="inlineStr">
        <is>
          <t>SIM</t>
        </is>
      </c>
      <c r="K602" s="15" t="n">
        <v>249.9</v>
      </c>
      <c r="L602" s="35">
        <f>IF(K602&lt;&gt;"",K602,I602)</f>
        <v/>
      </c>
      <c r="M602" s="33" t="n">
        <v>5</v>
      </c>
      <c r="N602" s="30" t="n">
        <v>22.36</v>
      </c>
      <c r="O602" s="31">
        <f>N602*M602</f>
        <v/>
      </c>
      <c r="P602" s="80">
        <f>IF($O602="","",L602-O602-(L602*IF(L602&lt;=79.99,20%,14%)+IF(L602&lt;=79.99,4,IF(L602&lt;=99.99,16,IF(L602&lt;=199.99,20,IF(L602&lt;=499.99,26,28)))))-L602*1.3%-L602*6%-(L602-O602)*9.25%-L602*3%-L602*3%-1)</f>
        <v/>
      </c>
      <c r="Q602" s="17">
        <f>IF(AND(K602&lt;&gt;"",H602&gt;0),(H602-K602)/H602,"")</f>
        <v/>
      </c>
      <c r="R602" s="14" t="inlineStr">
        <is>
          <t>488116129583228</t>
        </is>
      </c>
      <c r="S602" s="18" t="n">
        <v>46236.5</v>
      </c>
      <c r="T602" s="18" t="n">
        <v>46360.99930555555</v>
      </c>
      <c r="U602" s="14" t="inlineStr">
        <is>
          <t>100923</t>
        </is>
      </c>
      <c r="V602" t="inlineStr">
        <is>
          <t>216211</t>
        </is>
      </c>
      <c r="W602" t="inlineStr">
        <is>
          <t>venda casada (2 pedidos) · QTD/custo manuais mantidos</t>
        </is>
      </c>
      <c r="X602" t="n">
        <v>2</v>
      </c>
      <c r="Y602" t="inlineStr">
        <is>
          <t>ok</t>
        </is>
      </c>
    </row>
    <row r="603" ht="15" customFormat="1" customHeight="1" s="19">
      <c r="A603" s="19" t="inlineStr">
        <is>
          <t>Jacartta</t>
        </is>
      </c>
      <c r="B603" s="19" t="inlineStr">
        <is>
          <t>Areia Higiênica Biodegradável Espaço do Bicho Grãos Finos 8kg – Milho e Mandioca (100% Natural)</t>
        </is>
      </c>
      <c r="C603" s="19" t="inlineStr">
        <is>
          <t>20KG,Grãos Finos</t>
        </is>
      </c>
      <c r="D603" s="19" t="inlineStr">
        <is>
          <t>AREIA-EDB-20KG-GF</t>
        </is>
      </c>
      <c r="E603" s="19" t="inlineStr">
        <is>
          <t>58202029368</t>
        </is>
      </c>
      <c r="F603" s="19" t="inlineStr">
        <is>
          <t>219618605530</t>
        </is>
      </c>
      <c r="G603" s="19" t="inlineStr">
        <is>
          <t>NORMAL</t>
        </is>
      </c>
      <c r="H603" s="20" t="n">
        <v>299.9</v>
      </c>
      <c r="I603" s="20" t="n">
        <v>249.9</v>
      </c>
      <c r="J603" s="21" t="inlineStr">
        <is>
          <t>SIM</t>
        </is>
      </c>
      <c r="K603" s="20" t="n">
        <v>249.9</v>
      </c>
      <c r="L603" s="35">
        <f>IF(K603&lt;&gt;"",K603,I603)</f>
        <v/>
      </c>
      <c r="M603" s="32" t="n">
        <v>5</v>
      </c>
      <c r="N603" s="30" t="n">
        <v>22.36</v>
      </c>
      <c r="O603" s="31">
        <f>N603*M603</f>
        <v/>
      </c>
      <c r="P603" s="80">
        <f>IF($O603="","",L603-O603-(L603*IF(L603&lt;=79.99,20%,14%)+IF(L603&lt;=79.99,4,IF(L603&lt;=99.99,16,IF(L603&lt;=199.99,20,IF(L603&lt;=499.99,26,28)))))-L603*1.3%-L603*6%-(L603-O603)*9.25%-L603*3%-L603*3%-1)</f>
        <v/>
      </c>
      <c r="Q603" s="22">
        <f>IF(AND(K603&lt;&gt;"",H603&gt;0),(H603-K603)/H603,"")</f>
        <v/>
      </c>
      <c r="R603" s="19" t="inlineStr">
        <is>
          <t>488117194936589</t>
        </is>
      </c>
      <c r="S603" s="23" t="n">
        <v>46236.5</v>
      </c>
      <c r="T603" s="23" t="n">
        <v>46361.54166666666</v>
      </c>
      <c r="U603" s="19" t="inlineStr">
        <is>
          <t>100923</t>
        </is>
      </c>
      <c r="V603" t="inlineStr">
        <is>
          <t>215511</t>
        </is>
      </c>
      <c r="W603" t="inlineStr">
        <is>
          <t>venda casada (50 pedidos) · QTD/custo manuais mantidos · ATENÇÃO: Olist hoje diz 28.27</t>
        </is>
      </c>
      <c r="X603" t="n">
        <v>50</v>
      </c>
      <c r="Y603" t="inlineStr">
        <is>
          <t>ok</t>
        </is>
      </c>
    </row>
    <row r="604" ht="15" customFormat="1" customHeight="1" s="14">
      <c r="A604" s="19" t="inlineStr">
        <is>
          <t>Jacartta</t>
        </is>
      </c>
      <c r="B604" s="19" t="inlineStr">
        <is>
          <t>Kit Teste Senspert Giardiase - Dechra</t>
        </is>
      </c>
      <c r="C604" s="19" t="inlineStr">
        <is>
          <t>Sem variação</t>
        </is>
      </c>
      <c r="D604" s="19" t="inlineStr">
        <is>
          <t>042</t>
        </is>
      </c>
      <c r="E604" s="19" t="inlineStr">
        <is>
          <t>8260022156</t>
        </is>
      </c>
      <c r="F604" s="19" t="inlineStr">
        <is>
          <t>0</t>
        </is>
      </c>
      <c r="G604" s="19" t="inlineStr">
        <is>
          <t>NORMAL</t>
        </is>
      </c>
      <c r="H604" s="20" t="n">
        <v>169.8</v>
      </c>
      <c r="I604" s="20" t="n">
        <v>64.90000000000001</v>
      </c>
      <c r="J604" s="21" t="inlineStr">
        <is>
          <t>SIM</t>
        </is>
      </c>
      <c r="K604" s="20" t="n">
        <v>64.90000000000001</v>
      </c>
      <c r="L604" s="35">
        <f>IF(K604&lt;&gt;"",K604,I604)</f>
        <v/>
      </c>
      <c r="M604" s="30" t="n"/>
      <c r="N604" s="30" t="n"/>
      <c r="O604" s="29" t="n"/>
      <c r="P604" s="80">
        <f>IF($O604="","",L604-O604-(L604*IF(L604&lt;=79.99,20%,14%)+IF(L604&lt;=79.99,4,IF(L604&lt;=99.99,16,IF(L604&lt;=199.99,20,IF(L604&lt;=499.99,26,28)))))-L604*1.3%-L604*6%-(L604-O604)*9.25%-L604*3%-L604*3%-1)</f>
        <v/>
      </c>
      <c r="Q604" s="22">
        <f>IF(AND(K604&lt;&gt;"",H604&gt;0),(H604-K604)/H604,"")</f>
        <v/>
      </c>
      <c r="R604" s="19" t="inlineStr">
        <is>
          <t>909481504866304</t>
        </is>
      </c>
      <c r="S604" s="23" t="n">
        <v>46144.3875</v>
      </c>
      <c r="T604" s="23" t="n">
        <v>46295.4375</v>
      </c>
      <c r="U604" s="19" t="inlineStr">
        <is>
          <t>100942</t>
        </is>
      </c>
      <c r="W604" t="inlineStr">
        <is>
          <t>sem correspondência</t>
        </is>
      </c>
      <c r="Y604" t="inlineStr"/>
    </row>
    <row r="605" ht="15" customFormat="1" customHeight="1" s="19">
      <c r="A605" s="19" t="inlineStr">
        <is>
          <t>Jacartta</t>
        </is>
      </c>
      <c r="B605" s="19" t="inlineStr">
        <is>
          <t>Lexin 300 MG 12 Comprimidos Cães - Duprat 300mg Cães</t>
        </is>
      </c>
      <c r="C605" s="19" t="inlineStr">
        <is>
          <t>Sem variação</t>
        </is>
      </c>
      <c r="D605" s="19" t="inlineStr">
        <is>
          <t>LEXIN-300MG-12COMPS</t>
        </is>
      </c>
      <c r="E605" s="19" t="inlineStr">
        <is>
          <t>22099071443</t>
        </is>
      </c>
      <c r="F605" s="19" t="inlineStr">
        <is>
          <t>0</t>
        </is>
      </c>
      <c r="G605" s="19" t="inlineStr">
        <is>
          <t>NORMAL</t>
        </is>
      </c>
      <c r="H605" s="20" t="n">
        <v>89.90000000000001</v>
      </c>
      <c r="I605" s="20" t="n">
        <v>34.9</v>
      </c>
      <c r="J605" s="21" t="inlineStr">
        <is>
          <t>SIM</t>
        </is>
      </c>
      <c r="K605" s="20" t="n">
        <v>34.9</v>
      </c>
      <c r="L605" s="35">
        <f>IF(K605&lt;&gt;"",K605,I605)</f>
        <v/>
      </c>
      <c r="M605" s="81" t="n">
        <v>1</v>
      </c>
      <c r="N605" s="82" t="n">
        <v>17.2</v>
      </c>
      <c r="O605" s="80">
        <f>ROUND(M605*N605,2)</f>
        <v/>
      </c>
      <c r="P605" s="80">
        <f>IF($O605="","",L605-O605-(L605*IF(L605&lt;=79.99,20%,14%)+IF(L605&lt;=79.99,4,IF(L605&lt;=99.99,16,IF(L605&lt;=199.99,20,IF(L605&lt;=499.99,26,28)))))-L605*1.3%-L605*6%-(L605-O605)*9.25%-L605*3%-L605*3%-1)</f>
        <v/>
      </c>
      <c r="Q605" s="22">
        <f>IF(AND(K605&lt;&gt;"",H605&gt;0),(H605-K605)/H605,"")</f>
        <v/>
      </c>
      <c r="R605" s="19" t="inlineStr">
        <is>
          <t>909481504866304</t>
        </is>
      </c>
      <c r="S605" s="23" t="n">
        <v>46144.3875</v>
      </c>
      <c r="T605" s="23" t="n">
        <v>46295.4375</v>
      </c>
      <c r="U605" s="19" t="inlineStr">
        <is>
          <t>100942</t>
        </is>
      </c>
      <c r="V605" t="inlineStr">
        <is>
          <t>213414</t>
        </is>
      </c>
      <c r="W605" t="inlineStr">
        <is>
          <t>venda casada (1 pedido)</t>
        </is>
      </c>
      <c r="X605" t="n">
        <v>1</v>
      </c>
      <c r="Y605" t="inlineStr">
        <is>
          <t>⚠ evidência fraca (1 pedido)</t>
        </is>
      </c>
    </row>
    <row r="606" ht="15" customFormat="1" customHeight="1" s="14">
      <c r="A606" s="14" t="inlineStr">
        <is>
          <t>Jacartta</t>
        </is>
      </c>
      <c r="B606" s="14" t="inlineStr">
        <is>
          <t>Lexin 300 mg Duprat Antibiótico para Cães - Blíster 6 Comprimidos</t>
        </is>
      </c>
      <c r="C606" s="14" t="inlineStr">
        <is>
          <t>Sem variação</t>
        </is>
      </c>
      <c r="D606" s="14" t="inlineStr">
        <is>
          <t>LEXIN-30MG</t>
        </is>
      </c>
      <c r="E606" s="14" t="inlineStr">
        <is>
          <t>40530920684</t>
        </is>
      </c>
      <c r="F606" s="14" t="inlineStr">
        <is>
          <t>0</t>
        </is>
      </c>
      <c r="G606" s="14" t="inlineStr">
        <is>
          <t>NORMAL</t>
        </is>
      </c>
      <c r="H606" s="15" t="n">
        <v>59.9</v>
      </c>
      <c r="I606" s="15" t="n">
        <v>18.9</v>
      </c>
      <c r="J606" s="16" t="inlineStr">
        <is>
          <t>SIM</t>
        </is>
      </c>
      <c r="K606" s="15" t="n">
        <v>18.9</v>
      </c>
      <c r="L606" s="35">
        <f>IF(K606&lt;&gt;"",K606,I606)</f>
        <v/>
      </c>
      <c r="M606" s="28" t="n"/>
      <c r="N606" s="28" t="n"/>
      <c r="O606" s="29" t="n"/>
      <c r="P606" s="80">
        <f>IF($O606="","",L606-O606-(L606*IF(L606&lt;=79.99,20%,14%)+IF(L606&lt;=79.99,4,IF(L606&lt;=99.99,16,IF(L606&lt;=199.99,20,IF(L606&lt;=499.99,26,28)))))-L606*1.3%-L606*6%-(L606-O606)*9.25%-L606*3%-L606*3%-1)</f>
        <v/>
      </c>
      <c r="Q606" s="17">
        <f>IF(AND(K606&lt;&gt;"",H606&gt;0),(H606-K606)/H606,"")</f>
        <v/>
      </c>
      <c r="R606" s="14" t="inlineStr">
        <is>
          <t>909481504866304</t>
        </is>
      </c>
      <c r="S606" s="18" t="n">
        <v>46144.3875</v>
      </c>
      <c r="T606" s="18" t="n">
        <v>46295.4375</v>
      </c>
      <c r="U606" s="14" t="inlineStr">
        <is>
          <t>100942</t>
        </is>
      </c>
      <c r="W606" t="inlineStr">
        <is>
          <t>ambíguo: 213414 (50%) vs LEXIN-30MG</t>
        </is>
      </c>
      <c r="X606" t="n">
        <v>2</v>
      </c>
      <c r="Y606" t="inlineStr"/>
    </row>
    <row r="607" ht="15" customFormat="1" customHeight="1" s="19">
      <c r="A607" s="14" t="inlineStr">
        <is>
          <t>Jacartta</t>
        </is>
      </c>
      <c r="B607" s="14" t="inlineStr">
        <is>
          <t>Master soro 20ml</t>
        </is>
      </c>
      <c r="C607" s="14" t="inlineStr">
        <is>
          <t>Sem variação</t>
        </is>
      </c>
      <c r="D607" s="14" t="inlineStr">
        <is>
          <t>0058</t>
        </is>
      </c>
      <c r="E607" s="14" t="inlineStr">
        <is>
          <t>9559029665</t>
        </is>
      </c>
      <c r="F607" s="14" t="inlineStr">
        <is>
          <t>0</t>
        </is>
      </c>
      <c r="G607" s="14" t="inlineStr">
        <is>
          <t>NORMAL</t>
        </is>
      </c>
      <c r="H607" s="15" t="n">
        <v>179.8</v>
      </c>
      <c r="I607" s="15" t="n">
        <v>179.8</v>
      </c>
      <c r="J607" s="16" t="inlineStr">
        <is>
          <t>SIM</t>
        </is>
      </c>
      <c r="K607" s="15" t="n">
        <v>179.8</v>
      </c>
      <c r="L607" s="35">
        <f>IF(K607&lt;&gt;"",K607,I607)</f>
        <v/>
      </c>
      <c r="M607" s="28" t="n"/>
      <c r="N607" s="28" t="n"/>
      <c r="O607" s="29" t="n"/>
      <c r="P607" s="80">
        <f>IF($O607="","",L607-O607-(L607*IF(L607&lt;=79.99,20%,14%)+IF(L607&lt;=79.99,4,IF(L607&lt;=99.99,16,IF(L607&lt;=199.99,20,IF(L607&lt;=499.99,26,28)))))-L607*1.3%-L607*6%-(L607-O607)*9.25%-L607*3%-L607*3%-1)</f>
        <v/>
      </c>
      <c r="Q607" s="17">
        <f>IF(AND(K607&lt;&gt;"",H607&gt;0),(H607-K607)/H607,"")</f>
        <v/>
      </c>
      <c r="R607" s="14" t="inlineStr">
        <is>
          <t>1</t>
        </is>
      </c>
      <c r="S607" s="18" t="n"/>
      <c r="T607" s="18" t="n"/>
      <c r="U607" s="14" t="inlineStr">
        <is>
          <t>100942</t>
        </is>
      </c>
      <c r="W607" t="inlineStr">
        <is>
          <t>sem correspondência</t>
        </is>
      </c>
      <c r="Y607" t="inlineStr"/>
    </row>
    <row r="608" ht="15" customFormat="1" customHeight="1" s="14">
      <c r="A608" s="19" t="inlineStr">
        <is>
          <t>Jacartta</t>
        </is>
      </c>
      <c r="B608" s="19" t="inlineStr">
        <is>
          <t>Meloxivet 1mg Pequeno Porte Anti-Inflamatório para Cães e Gatos Blister 10 comprimidos DUPRAT</t>
        </is>
      </c>
      <c r="C608" s="19" t="inlineStr">
        <is>
          <t>6 MG</t>
        </is>
      </c>
      <c r="D608" s="19" t="inlineStr">
        <is>
          <t>MELOXIVET-6MG-10CPS</t>
        </is>
      </c>
      <c r="E608" s="19" t="inlineStr">
        <is>
          <t>23594548221</t>
        </is>
      </c>
      <c r="F608" s="19" t="inlineStr">
        <is>
          <t>139653049161</t>
        </is>
      </c>
      <c r="G608" s="19" t="inlineStr">
        <is>
          <t>NORMAL</t>
        </is>
      </c>
      <c r="H608" s="20" t="n">
        <v>99.90000000000001</v>
      </c>
      <c r="I608" s="20" t="n">
        <v>24.9</v>
      </c>
      <c r="J608" s="21" t="inlineStr">
        <is>
          <t>SIM</t>
        </is>
      </c>
      <c r="K608" s="20" t="n">
        <v>24.9</v>
      </c>
      <c r="L608" s="35">
        <f>IF(K608&lt;&gt;"",K608,I608)</f>
        <v/>
      </c>
      <c r="M608" s="81" t="n">
        <v>1</v>
      </c>
      <c r="N608" s="82" t="n">
        <v>13.15</v>
      </c>
      <c r="O608" s="80">
        <f>ROUND(M608*N608,2)</f>
        <v/>
      </c>
      <c r="P608" s="80">
        <f>IF($O608="","",L608-O608-(L608*IF(L608&lt;=79.99,20%,14%)+IF(L608&lt;=79.99,4,IF(L608&lt;=99.99,16,IF(L608&lt;=199.99,20,IF(L608&lt;=499.99,26,28)))))-L608*1.3%-L608*6%-(L608-O608)*9.25%-L608*3%-L608*3%-1)</f>
        <v/>
      </c>
      <c r="Q608" s="22">
        <f>IF(AND(K608&lt;&gt;"",H608&gt;0),(H608-K608)/H608,"")</f>
        <v/>
      </c>
      <c r="R608" s="19" t="inlineStr">
        <is>
          <t>909481504866304</t>
        </is>
      </c>
      <c r="S608" s="23" t="n">
        <v>46144.3875</v>
      </c>
      <c r="T608" s="23" t="n">
        <v>46295.4375</v>
      </c>
      <c r="U608" s="19" t="inlineStr">
        <is>
          <t>100942</t>
        </is>
      </c>
      <c r="V608" t="inlineStr">
        <is>
          <t>213537</t>
        </is>
      </c>
      <c r="W608" t="inlineStr">
        <is>
          <t>SKU do de-para</t>
        </is>
      </c>
      <c r="X608" t="n">
        <v>3</v>
      </c>
      <c r="Y608" t="inlineStr">
        <is>
          <t>ok</t>
        </is>
      </c>
    </row>
    <row r="609" ht="15" customFormat="1" customHeight="1" s="19">
      <c r="A609" s="14" t="inlineStr">
        <is>
          <t>Jacartta</t>
        </is>
      </c>
      <c r="B609" s="14" t="inlineStr">
        <is>
          <t>Mop C/ cabo de 140 cm + 2 Refis - Rodinhas e Cesto Em Inox - Balde Centrífuga</t>
        </is>
      </c>
      <c r="C609" s="14" t="inlineStr">
        <is>
          <t>PRETO+VERMELHO</t>
        </is>
      </c>
      <c r="D609" s="14" t="inlineStr">
        <is>
          <t>MOP14L-PRETO+VERMELHO</t>
        </is>
      </c>
      <c r="E609" s="14" t="inlineStr">
        <is>
          <t>22894523419</t>
        </is>
      </c>
      <c r="F609" s="14" t="inlineStr">
        <is>
          <t>316254217325</t>
        </is>
      </c>
      <c r="G609" s="14" t="inlineStr">
        <is>
          <t>NORMAL</t>
        </is>
      </c>
      <c r="H609" s="15" t="n">
        <v>54.9</v>
      </c>
      <c r="I609" s="15" t="n">
        <v>54.9</v>
      </c>
      <c r="J609" s="16" t="inlineStr">
        <is>
          <t>NÃO</t>
        </is>
      </c>
      <c r="K609" s="15" t="n"/>
      <c r="L609" s="35">
        <f>IF(K609&lt;&gt;"",K609,I609)</f>
        <v/>
      </c>
      <c r="M609" s="28" t="n"/>
      <c r="N609" s="28" t="n"/>
      <c r="O609" s="29" t="n"/>
      <c r="P609" s="80">
        <f>IF($O609="","",L609-O609-(L609*IF(L609&lt;=79.99,20%,14%)+IF(L609&lt;=79.99,4,IF(L609&lt;=99.99,16,IF(L609&lt;=199.99,20,IF(L609&lt;=499.99,26,28)))))-L609*1.3%-L609*6%-(L609-O609)*9.25%-L609*3%-L609*3%-1)</f>
        <v/>
      </c>
      <c r="Q609" s="17">
        <f>IF(AND(K609&lt;&gt;"",H609&gt;0),(H609-K609)/H609,"")</f>
        <v/>
      </c>
      <c r="R609" s="14" t="inlineStr"/>
      <c r="S609" s="18" t="n"/>
      <c r="T609" s="18" t="n"/>
      <c r="U609" s="14" t="inlineStr">
        <is>
          <t>101204</t>
        </is>
      </c>
      <c r="W609" t="inlineStr">
        <is>
          <t>sem correspondência</t>
        </is>
      </c>
      <c r="Y609" t="inlineStr"/>
    </row>
    <row r="610" ht="15" customFormat="1" customHeight="1" s="14">
      <c r="A610" s="19" t="inlineStr">
        <is>
          <t>Jacartta</t>
        </is>
      </c>
      <c r="B610" s="19" t="inlineStr">
        <is>
          <t>Mop C/ cabo de 140 cm + 2 Refis - Rodinhas e Cesto Em Inox - Balde Centrífuga</t>
        </is>
      </c>
      <c r="C610" s="19" t="inlineStr">
        <is>
          <t>VERDE+BRANCO</t>
        </is>
      </c>
      <c r="D610" s="19" t="inlineStr">
        <is>
          <t>MOP14L-VERDE+BRANCO</t>
        </is>
      </c>
      <c r="E610" s="19" t="inlineStr">
        <is>
          <t>22894523419</t>
        </is>
      </c>
      <c r="F610" s="19" t="inlineStr">
        <is>
          <t>316254217326</t>
        </is>
      </c>
      <c r="G610" s="19" t="inlineStr">
        <is>
          <t>NORMAL</t>
        </is>
      </c>
      <c r="H610" s="20" t="n">
        <v>54.9</v>
      </c>
      <c r="I610" s="20" t="n">
        <v>54.9</v>
      </c>
      <c r="J610" s="21" t="inlineStr">
        <is>
          <t>NÃO</t>
        </is>
      </c>
      <c r="K610" s="20" t="n"/>
      <c r="L610" s="35">
        <f>IF(K610&lt;&gt;"",K610,I610)</f>
        <v/>
      </c>
      <c r="M610" s="30" t="n"/>
      <c r="N610" s="30" t="n"/>
      <c r="O610" s="31" t="n"/>
      <c r="P610" s="80">
        <f>IF($O610="","",L610-O610-(L610*IF(L610&lt;=79.99,20%,14%)+IF(L610&lt;=79.99,4,IF(L610&lt;=99.99,16,IF(L610&lt;=199.99,20,IF(L610&lt;=499.99,26,28)))))-L610*1.3%-L610*6%-(L610-O610)*9.25%-L610*3%-L610*3%-1)</f>
        <v/>
      </c>
      <c r="Q610" s="22">
        <f>IF(AND(K610&lt;&gt;"",H610&gt;0),(H610-K610)/H610,"")</f>
        <v/>
      </c>
      <c r="R610" s="19" t="inlineStr"/>
      <c r="S610" s="23" t="n"/>
      <c r="T610" s="23" t="n"/>
      <c r="U610" s="19" t="inlineStr">
        <is>
          <t>101204</t>
        </is>
      </c>
      <c r="W610" t="inlineStr">
        <is>
          <t>sem correspondência</t>
        </is>
      </c>
      <c r="Y610" t="inlineStr"/>
    </row>
    <row r="611" ht="15" customFormat="1" customHeight="1" s="19">
      <c r="A611" s="14" t="inlineStr">
        <is>
          <t>Jacartta</t>
        </is>
      </c>
      <c r="B611" s="14" t="inlineStr">
        <is>
          <t>Mop Giratorio Cabo Inox limpeza Cesto Em Inox 14 Lt -Balde Esfregão 360 Universal Original</t>
        </is>
      </c>
      <c r="C611" s="14" t="inlineStr">
        <is>
          <t>14L (PRETO+VERMELHO)</t>
        </is>
      </c>
      <c r="D611" s="14" t="inlineStr">
        <is>
          <t>MOP-14L-PRETO+VERMELHO</t>
        </is>
      </c>
      <c r="E611" s="14" t="inlineStr">
        <is>
          <t>22194544924</t>
        </is>
      </c>
      <c r="F611" s="14" t="inlineStr">
        <is>
          <t>209613013727</t>
        </is>
      </c>
      <c r="G611" s="14" t="inlineStr">
        <is>
          <t>NORMAL</t>
        </is>
      </c>
      <c r="H611" s="15" t="n">
        <v>99.90000000000001</v>
      </c>
      <c r="I611" s="15" t="n">
        <v>54.9</v>
      </c>
      <c r="J611" s="16" t="inlineStr">
        <is>
          <t>SIM</t>
        </is>
      </c>
      <c r="K611" s="15" t="n">
        <v>54.9</v>
      </c>
      <c r="L611" s="35">
        <f>IF(K611&lt;&gt;"",K611,I611)</f>
        <v/>
      </c>
      <c r="M611" s="28" t="n"/>
      <c r="N611" s="28" t="n"/>
      <c r="O611" s="29" t="n"/>
      <c r="P611" s="80">
        <f>IF($O611="","",L611-O611-(L611*IF(L611&lt;=79.99,20%,14%)+IF(L611&lt;=79.99,4,IF(L611&lt;=99.99,16,IF(L611&lt;=199.99,20,IF(L611&lt;=499.99,26,28)))))-L611*1.3%-L611*6%-(L611-O611)*9.25%-L611*3%-L611*3%-1)</f>
        <v/>
      </c>
      <c r="Q611" s="17">
        <f>IF(AND(K611&lt;&gt;"",H611&gt;0),(H611-K611)/H611,"")</f>
        <v/>
      </c>
      <c r="R611" s="14" t="inlineStr">
        <is>
          <t>909481504866304</t>
        </is>
      </c>
      <c r="S611" s="18" t="n">
        <v>46144.3875</v>
      </c>
      <c r="T611" s="18" t="n">
        <v>46295.4375</v>
      </c>
      <c r="U611" s="14" t="inlineStr">
        <is>
          <t>101204</t>
        </is>
      </c>
      <c r="W611" t="inlineStr">
        <is>
          <t>sem correspondência</t>
        </is>
      </c>
      <c r="Y611" t="inlineStr"/>
    </row>
    <row r="612" ht="15" customFormat="1" customHeight="1" s="14">
      <c r="A612" s="19" t="inlineStr">
        <is>
          <t>Jacartta</t>
        </is>
      </c>
      <c r="B612" s="19" t="inlineStr">
        <is>
          <t>Mop Giratorio Cabo Inox limpeza Cesto Em Inox 14 Lt -Balde Esfregão 360 Universal Original</t>
        </is>
      </c>
      <c r="C612" s="19" t="inlineStr">
        <is>
          <t>14L (VERDE+BRANCO)</t>
        </is>
      </c>
      <c r="D612" s="19" t="inlineStr">
        <is>
          <t>MOP-14L-BRANCO+VERDE</t>
        </is>
      </c>
      <c r="E612" s="19" t="inlineStr">
        <is>
          <t>22194544924</t>
        </is>
      </c>
      <c r="F612" s="19" t="inlineStr">
        <is>
          <t>196415183375</t>
        </is>
      </c>
      <c r="G612" s="19" t="inlineStr">
        <is>
          <t>NORMAL</t>
        </is>
      </c>
      <c r="H612" s="20" t="n">
        <v>99.90000000000001</v>
      </c>
      <c r="I612" s="20" t="n">
        <v>99.90000000000001</v>
      </c>
      <c r="J612" s="21" t="inlineStr">
        <is>
          <t>NÃO</t>
        </is>
      </c>
      <c r="K612" s="20" t="n"/>
      <c r="L612" s="35">
        <f>IF(K612&lt;&gt;"",K612,I612)</f>
        <v/>
      </c>
      <c r="M612" s="30" t="n"/>
      <c r="N612" s="30" t="n"/>
      <c r="O612" s="31" t="n"/>
      <c r="P612" s="80">
        <f>IF($O612="","",L612-O612-(L612*IF(L612&lt;=79.99,20%,14%)+IF(L612&lt;=79.99,4,IF(L612&lt;=99.99,16,IF(L612&lt;=199.99,20,IF(L612&lt;=499.99,26,28)))))-L612*1.3%-L612*6%-(L612-O612)*9.25%-L612*3%-L612*3%-1)</f>
        <v/>
      </c>
      <c r="Q612" s="22">
        <f>IF(AND(K612&lt;&gt;"",H612&gt;0),(H612-K612)/H612,"")</f>
        <v/>
      </c>
      <c r="R612" s="19" t="inlineStr"/>
      <c r="S612" s="23" t="n"/>
      <c r="T612" s="23" t="n"/>
      <c r="U612" s="19" t="inlineStr">
        <is>
          <t>101204</t>
        </is>
      </c>
      <c r="W612" t="inlineStr">
        <is>
          <t>sem correspondência</t>
        </is>
      </c>
      <c r="Y612" t="inlineStr"/>
    </row>
    <row r="613" ht="15" customFormat="1" customHeight="1" s="19">
      <c r="A613" s="14" t="inlineStr">
        <is>
          <t>Jacartta</t>
        </is>
      </c>
      <c r="B613" s="14" t="inlineStr">
        <is>
          <t>Mop Giratorio Cabo Inox limpeza Cesto Em Inox 14 Lt -Balde Esfregão 360 Universal Original</t>
        </is>
      </c>
      <c r="C613" s="14" t="inlineStr">
        <is>
          <t>9L</t>
        </is>
      </c>
      <c r="D613" s="14" t="inlineStr">
        <is>
          <t>MOP-9L</t>
        </is>
      </c>
      <c r="E613" s="14" t="inlineStr">
        <is>
          <t>22194544924</t>
        </is>
      </c>
      <c r="F613" s="14" t="inlineStr">
        <is>
          <t>209613013728</t>
        </is>
      </c>
      <c r="G613" s="14" t="inlineStr">
        <is>
          <t>NORMAL</t>
        </is>
      </c>
      <c r="H613" s="15" t="n">
        <v>99.90000000000001</v>
      </c>
      <c r="I613" s="15" t="n">
        <v>99.90000000000001</v>
      </c>
      <c r="J613" s="16" t="inlineStr">
        <is>
          <t>NÃO</t>
        </is>
      </c>
      <c r="K613" s="15" t="n"/>
      <c r="L613" s="35">
        <f>IF(K613&lt;&gt;"",K613,I613)</f>
        <v/>
      </c>
      <c r="M613" s="28" t="n"/>
      <c r="N613" s="28" t="n"/>
      <c r="O613" s="29" t="n"/>
      <c r="P613" s="80">
        <f>IF($O613="","",L613-O613-(L613*IF(L613&lt;=79.99,20%,14%)+IF(L613&lt;=79.99,4,IF(L613&lt;=99.99,16,IF(L613&lt;=199.99,20,IF(L613&lt;=499.99,26,28)))))-L613*1.3%-L613*6%-(L613-O613)*9.25%-L613*3%-L613*3%-1)</f>
        <v/>
      </c>
      <c r="Q613" s="17">
        <f>IF(AND(K613&lt;&gt;"",H613&gt;0),(H613-K613)/H613,"")</f>
        <v/>
      </c>
      <c r="R613" s="14" t="inlineStr"/>
      <c r="S613" s="18" t="n"/>
      <c r="T613" s="18" t="n"/>
      <c r="U613" s="14" t="inlineStr">
        <is>
          <t>101204</t>
        </is>
      </c>
      <c r="W613" t="inlineStr">
        <is>
          <t>sem correspondência</t>
        </is>
      </c>
      <c r="Y613" t="inlineStr"/>
    </row>
    <row r="614" ht="15" customFormat="1" customHeight="1" s="14">
      <c r="A614" s="19" t="inlineStr">
        <is>
          <t>Jacartta</t>
        </is>
      </c>
      <c r="B614" s="19" t="inlineStr">
        <is>
          <t>Organew 100g Vetnil Suplemento Probiótico e prebiotico para cachorros e Gatos contra diarréia- intestino saudável</t>
        </is>
      </c>
      <c r="C614" s="19" t="inlineStr">
        <is>
          <t>Sem variação</t>
        </is>
      </c>
      <c r="D614" s="19" t="inlineStr">
        <is>
          <t>ORGANEW-100G-VETNIL</t>
        </is>
      </c>
      <c r="E614" s="19" t="inlineStr">
        <is>
          <t>45764946403</t>
        </is>
      </c>
      <c r="F614" s="19" t="inlineStr">
        <is>
          <t>0</t>
        </is>
      </c>
      <c r="G614" s="19" t="inlineStr">
        <is>
          <t>NORMAL</t>
        </is>
      </c>
      <c r="H614" s="20" t="n">
        <v>99.90000000000001</v>
      </c>
      <c r="I614" s="20" t="n">
        <v>32.9</v>
      </c>
      <c r="J614" s="21" t="inlineStr">
        <is>
          <t>SIM</t>
        </is>
      </c>
      <c r="K614" s="20" t="n">
        <v>32.9</v>
      </c>
      <c r="L614" s="35">
        <f>IF(K614&lt;&gt;"",K614,I614)</f>
        <v/>
      </c>
      <c r="M614" s="81" t="n">
        <v>1</v>
      </c>
      <c r="N614" s="82" t="n">
        <v>16.38</v>
      </c>
      <c r="O614" s="80">
        <f>ROUND(M614*N614,2)</f>
        <v/>
      </c>
      <c r="P614" s="80">
        <f>IF($O614="","",L614-O614-(L614*IF(L614&lt;=79.99,20%,14%)+IF(L614&lt;=79.99,4,IF(L614&lt;=99.99,16,IF(L614&lt;=199.99,20,IF(L614&lt;=499.99,26,28)))))-L614*1.3%-L614*6%-(L614-O614)*9.25%-L614*3%-L614*3%-1)</f>
        <v/>
      </c>
      <c r="Q614" s="22">
        <f>IF(AND(K614&lt;&gt;"",H614&gt;0),(H614-K614)/H614,"")</f>
        <v/>
      </c>
      <c r="R614" s="19" t="inlineStr">
        <is>
          <t>478386871025791</t>
        </is>
      </c>
      <c r="S614" s="23" t="n">
        <v>46209.64583333334</v>
      </c>
      <c r="T614" s="23" t="n">
        <v>46326.99930555555</v>
      </c>
      <c r="U614" s="19" t="inlineStr">
        <is>
          <t>100944</t>
        </is>
      </c>
      <c r="V614" t="inlineStr">
        <is>
          <t>213275</t>
        </is>
      </c>
      <c r="W614" t="inlineStr">
        <is>
          <t>venda casada (1 pedido)</t>
        </is>
      </c>
      <c r="X614" t="n">
        <v>1</v>
      </c>
      <c r="Y614" t="inlineStr">
        <is>
          <t>⚠ evidência fraca (1 pedido)</t>
        </is>
      </c>
    </row>
    <row r="615" ht="15" customFormat="1" customHeight="1" s="19">
      <c r="A615" s="14" t="inlineStr">
        <is>
          <t>Jacartta</t>
        </is>
      </c>
      <c r="B615" s="14" t="inlineStr">
        <is>
          <t>Otovet Solução Otológica para Cães e Gatos 20ml</t>
        </is>
      </c>
      <c r="C615" s="14" t="inlineStr">
        <is>
          <t>Sem variação</t>
        </is>
      </c>
      <c r="D615" s="14" t="inlineStr"/>
      <c r="E615" s="14" t="inlineStr">
        <is>
          <t>19198678965</t>
        </is>
      </c>
      <c r="F615" s="14" t="inlineStr">
        <is>
          <t>0</t>
        </is>
      </c>
      <c r="G615" s="14" t="inlineStr">
        <is>
          <t>NORMAL</t>
        </is>
      </c>
      <c r="H615" s="15" t="n">
        <v>103.8</v>
      </c>
      <c r="I615" s="15" t="n">
        <v>103.8</v>
      </c>
      <c r="J615" s="16" t="inlineStr">
        <is>
          <t>NÃO</t>
        </is>
      </c>
      <c r="K615" s="15" t="n"/>
      <c r="L615" s="35">
        <f>IF(K615&lt;&gt;"",K615,I615)</f>
        <v/>
      </c>
      <c r="M615" s="28" t="n"/>
      <c r="N615" s="28" t="n"/>
      <c r="O615" s="29" t="n"/>
      <c r="P615" s="80">
        <f>IF($O615="","",L615-O615-(L615*IF(L615&lt;=79.99,20%,14%)+IF(L615&lt;=79.99,4,IF(L615&lt;=99.99,16,IF(L615&lt;=199.99,20,IF(L615&lt;=499.99,26,28)))))-L615*1.3%-L615*6%-(L615-O615)*9.25%-L615*3%-L615*3%-1)</f>
        <v/>
      </c>
      <c r="Q615" s="17">
        <f>IF(AND(K615&lt;&gt;"",H615&gt;0),(H615-K615)/H615,"")</f>
        <v/>
      </c>
      <c r="R615" s="14" t="inlineStr"/>
      <c r="S615" s="18" t="n"/>
      <c r="T615" s="18" t="n"/>
      <c r="U615" s="14" t="inlineStr">
        <is>
          <t>100942</t>
        </is>
      </c>
      <c r="W615" t="inlineStr">
        <is>
          <t>sem correspondência</t>
        </is>
      </c>
      <c r="Y615" t="inlineStr"/>
    </row>
    <row r="616" ht="15" customFormat="1" customHeight="1" s="14">
      <c r="A616" s="19" t="inlineStr">
        <is>
          <t>Jacartta</t>
        </is>
      </c>
      <c r="B616" s="19" t="inlineStr">
        <is>
          <t>Pá Higiênica De Areia para Gatos Peneira Coletora Para Granulados E Areias</t>
        </is>
      </c>
      <c r="C616" s="19" t="inlineStr">
        <is>
          <t>Azul</t>
        </is>
      </c>
      <c r="D616" s="19" t="inlineStr">
        <is>
          <t>PAZINHA-COLECTOR-AZ</t>
        </is>
      </c>
      <c r="E616" s="19" t="inlineStr">
        <is>
          <t>22094925030</t>
        </is>
      </c>
      <c r="F616" s="19" t="inlineStr">
        <is>
          <t>228801393755</t>
        </is>
      </c>
      <c r="G616" s="19" t="inlineStr">
        <is>
          <t>NORMAL</t>
        </is>
      </c>
      <c r="H616" s="20" t="n">
        <v>39.9</v>
      </c>
      <c r="I616" s="20" t="n">
        <v>9.9</v>
      </c>
      <c r="J616" s="21" t="inlineStr">
        <is>
          <t>SIM</t>
        </is>
      </c>
      <c r="K616" s="20" t="n">
        <v>9.9</v>
      </c>
      <c r="L616" s="35">
        <f>IF(K616&lt;&gt;"",K616,I616)</f>
        <v/>
      </c>
      <c r="M616" s="81" t="n">
        <v>1</v>
      </c>
      <c r="N616" s="82" t="n">
        <v>1.93</v>
      </c>
      <c r="O616" s="80">
        <f>ROUND(M616*N616,2)</f>
        <v/>
      </c>
      <c r="P616" s="80">
        <f>IF($O616="","",L616-O616-(L616*IF(L616&lt;=79.99,20%,14%)+IF(L616&lt;=79.99,4,IF(L616&lt;=99.99,16,IF(L616&lt;=199.99,20,IF(L616&lt;=499.99,26,28)))))-L616*1.3%-L616*6%-(L616-O616)*9.25%-L616*3%-L616*3%-1)</f>
        <v/>
      </c>
      <c r="Q616" s="22">
        <f>IF(AND(K616&lt;&gt;"",H616&gt;0),(H616-K616)/H616,"")</f>
        <v/>
      </c>
      <c r="R616" s="19" t="inlineStr">
        <is>
          <t>909481504866304</t>
        </is>
      </c>
      <c r="S616" s="23" t="n">
        <v>46144.3875</v>
      </c>
      <c r="T616" s="23" t="n">
        <v>46295.4375</v>
      </c>
      <c r="U616" s="19" t="inlineStr">
        <is>
          <t>100927</t>
        </is>
      </c>
      <c r="V616" t="inlineStr">
        <is>
          <t>215322</t>
        </is>
      </c>
      <c r="W616" t="inlineStr">
        <is>
          <t>herdado do anúncio</t>
        </is>
      </c>
      <c r="Y616" t="inlineStr">
        <is>
          <t>ok</t>
        </is>
      </c>
    </row>
    <row r="617" ht="15" customFormat="1" customHeight="1" s="19">
      <c r="A617" s="14" t="inlineStr">
        <is>
          <t>Jacartta</t>
        </is>
      </c>
      <c r="B617" s="14" t="inlineStr">
        <is>
          <t>Pá Higiênica De Areia para Gatos Peneira Coletora Para Granulados E Areias</t>
        </is>
      </c>
      <c r="C617" s="14" t="inlineStr">
        <is>
          <t>Cinza</t>
        </is>
      </c>
      <c r="D617" s="14" t="inlineStr">
        <is>
          <t>PAZINHA-COLECTOR-CZ</t>
        </is>
      </c>
      <c r="E617" s="14" t="inlineStr">
        <is>
          <t>22094925030</t>
        </is>
      </c>
      <c r="F617" s="14" t="inlineStr">
        <is>
          <t>228801393758</t>
        </is>
      </c>
      <c r="G617" s="14" t="inlineStr">
        <is>
          <t>NORMAL</t>
        </is>
      </c>
      <c r="H617" s="15" t="n">
        <v>39.9</v>
      </c>
      <c r="I617" s="15" t="n">
        <v>9.9</v>
      </c>
      <c r="J617" s="16" t="inlineStr">
        <is>
          <t>SIM</t>
        </is>
      </c>
      <c r="K617" s="15" t="n">
        <v>9.9</v>
      </c>
      <c r="L617" s="35">
        <f>IF(K617&lt;&gt;"",K617,I617)</f>
        <v/>
      </c>
      <c r="M617" s="84" t="n">
        <v>1</v>
      </c>
      <c r="N617" s="85" t="n">
        <v>1.93</v>
      </c>
      <c r="O617" s="80">
        <f>ROUND(M617*N617,2)</f>
        <v/>
      </c>
      <c r="P617" s="80">
        <f>IF($O617="","",L617-O617-(L617*IF(L617&lt;=79.99,20%,14%)+IF(L617&lt;=79.99,4,IF(L617&lt;=99.99,16,IF(L617&lt;=199.99,20,IF(L617&lt;=499.99,26,28)))))-L617*1.3%-L617*6%-(L617-O617)*9.25%-L617*3%-L617*3%-1)</f>
        <v/>
      </c>
      <c r="Q617" s="17">
        <f>IF(AND(K617&lt;&gt;"",H617&gt;0),(H617-K617)/H617,"")</f>
        <v/>
      </c>
      <c r="R617" s="14" t="inlineStr">
        <is>
          <t>909481504866304</t>
        </is>
      </c>
      <c r="S617" s="18" t="n">
        <v>46144.3875</v>
      </c>
      <c r="T617" s="18" t="n">
        <v>46295.4375</v>
      </c>
      <c r="U617" s="14" t="inlineStr">
        <is>
          <t>100927</t>
        </is>
      </c>
      <c r="V617" t="inlineStr">
        <is>
          <t>215322</t>
        </is>
      </c>
      <c r="W617" t="inlineStr">
        <is>
          <t>venda casada (1 pedido)</t>
        </is>
      </c>
      <c r="X617" t="n">
        <v>1</v>
      </c>
      <c r="Y617" t="inlineStr">
        <is>
          <t>⚠ evidência fraca (1 pedido)</t>
        </is>
      </c>
    </row>
    <row r="618" ht="15" customFormat="1" customHeight="1" s="14">
      <c r="A618" s="19" t="inlineStr">
        <is>
          <t>Jacartta</t>
        </is>
      </c>
      <c r="B618" s="19" t="inlineStr">
        <is>
          <t>Pá Higiênica De Areia para Gatos Peneira Coletora Para Granulados E Areias</t>
        </is>
      </c>
      <c r="C618" s="19" t="inlineStr">
        <is>
          <t>Preto</t>
        </is>
      </c>
      <c r="D618" s="19" t="inlineStr">
        <is>
          <t>PAZINHA-COLECTOR-PT</t>
        </is>
      </c>
      <c r="E618" s="19" t="inlineStr">
        <is>
          <t>22094925030</t>
        </is>
      </c>
      <c r="F618" s="19" t="inlineStr">
        <is>
          <t>228801393757</t>
        </is>
      </c>
      <c r="G618" s="19" t="inlineStr">
        <is>
          <t>NORMAL</t>
        </is>
      </c>
      <c r="H618" s="20" t="n">
        <v>39.9</v>
      </c>
      <c r="I618" s="20" t="n">
        <v>9.9</v>
      </c>
      <c r="J618" s="21" t="inlineStr">
        <is>
          <t>SIM</t>
        </is>
      </c>
      <c r="K618" s="20" t="n">
        <v>9.9</v>
      </c>
      <c r="L618" s="35">
        <f>IF(K618&lt;&gt;"",K618,I618)</f>
        <v/>
      </c>
      <c r="M618" s="81" t="n">
        <v>1</v>
      </c>
      <c r="N618" s="82" t="n">
        <v>1.93</v>
      </c>
      <c r="O618" s="80">
        <f>ROUND(M618*N618,2)</f>
        <v/>
      </c>
      <c r="P618" s="80">
        <f>IF($O618="","",L618-O618-(L618*IF(L618&lt;=79.99,20%,14%)+IF(L618&lt;=79.99,4,IF(L618&lt;=99.99,16,IF(L618&lt;=199.99,20,IF(L618&lt;=499.99,26,28)))))-L618*1.3%-L618*6%-(L618-O618)*9.25%-L618*3%-L618*3%-1)</f>
        <v/>
      </c>
      <c r="Q618" s="22">
        <f>IF(AND(K618&lt;&gt;"",H618&gt;0),(H618-K618)/H618,"")</f>
        <v/>
      </c>
      <c r="R618" s="19" t="inlineStr">
        <is>
          <t>909481504866304</t>
        </is>
      </c>
      <c r="S618" s="23" t="n">
        <v>46144.3875</v>
      </c>
      <c r="T618" s="23" t="n">
        <v>46295.4375</v>
      </c>
      <c r="U618" s="19" t="inlineStr">
        <is>
          <t>100927</t>
        </is>
      </c>
      <c r="V618" t="inlineStr">
        <is>
          <t>215322</t>
        </is>
      </c>
      <c r="W618" t="inlineStr">
        <is>
          <t>herdado do anúncio</t>
        </is>
      </c>
      <c r="Y618" t="inlineStr">
        <is>
          <t>ok</t>
        </is>
      </c>
    </row>
    <row r="619" ht="15" customFormat="1" customHeight="1" s="19">
      <c r="A619" s="14" t="inlineStr">
        <is>
          <t>Jacartta</t>
        </is>
      </c>
      <c r="B619" s="14" t="inlineStr">
        <is>
          <t>Pá Higiênica De Areia para Gatos Peneira Coletora Para Granulados E Areias</t>
        </is>
      </c>
      <c r="C619" s="14" t="inlineStr">
        <is>
          <t>Tifanny</t>
        </is>
      </c>
      <c r="D619" s="14" t="inlineStr">
        <is>
          <t>PAZINHA-COLECTOR-TF</t>
        </is>
      </c>
      <c r="E619" s="14" t="inlineStr">
        <is>
          <t>22094925030</t>
        </is>
      </c>
      <c r="F619" s="14" t="inlineStr">
        <is>
          <t>228801393756</t>
        </is>
      </c>
      <c r="G619" s="14" t="inlineStr">
        <is>
          <t>NORMAL</t>
        </is>
      </c>
      <c r="H619" s="15" t="n">
        <v>39.9</v>
      </c>
      <c r="I619" s="15" t="n">
        <v>9.9</v>
      </c>
      <c r="J619" s="16" t="inlineStr">
        <is>
          <t>SIM</t>
        </is>
      </c>
      <c r="K619" s="15" t="n">
        <v>9.9</v>
      </c>
      <c r="L619" s="35">
        <f>IF(K619&lt;&gt;"",K619,I619)</f>
        <v/>
      </c>
      <c r="M619" s="84" t="n">
        <v>1</v>
      </c>
      <c r="N619" s="85" t="n">
        <v>1.93</v>
      </c>
      <c r="O619" s="80">
        <f>ROUND(M619*N619,2)</f>
        <v/>
      </c>
      <c r="P619" s="80">
        <f>IF($O619="","",L619-O619-(L619*IF(L619&lt;=79.99,20%,14%)+IF(L619&lt;=79.99,4,IF(L619&lt;=99.99,16,IF(L619&lt;=199.99,20,IF(L619&lt;=499.99,26,28)))))-L619*1.3%-L619*6%-(L619-O619)*9.25%-L619*3%-L619*3%-1)</f>
        <v/>
      </c>
      <c r="Q619" s="17">
        <f>IF(AND(K619&lt;&gt;"",H619&gt;0),(H619-K619)/H619,"")</f>
        <v/>
      </c>
      <c r="R619" s="14" t="inlineStr">
        <is>
          <t>909481504866304</t>
        </is>
      </c>
      <c r="S619" s="18" t="n">
        <v>46144.3875</v>
      </c>
      <c r="T619" s="18" t="n">
        <v>46295.4375</v>
      </c>
      <c r="U619" s="14" t="inlineStr">
        <is>
          <t>100927</t>
        </is>
      </c>
      <c r="V619" t="inlineStr">
        <is>
          <t>215322</t>
        </is>
      </c>
      <c r="W619" t="inlineStr">
        <is>
          <t>herdado do anúncio</t>
        </is>
      </c>
      <c r="Y619" t="inlineStr">
        <is>
          <t>ok</t>
        </is>
      </c>
    </row>
    <row r="620" ht="15" customFormat="1" customHeight="1" s="14">
      <c r="A620" s="19" t="inlineStr">
        <is>
          <t>Jacartta</t>
        </is>
      </c>
      <c r="B620" s="19" t="inlineStr">
        <is>
          <t>Pá Higiênica De Areia para Gatos Peneira Coletora Para Granulados E Areias</t>
        </is>
      </c>
      <c r="C620" s="19" t="inlineStr">
        <is>
          <t>Vermelho</t>
        </is>
      </c>
      <c r="D620" s="19" t="inlineStr">
        <is>
          <t>PAZINHA-COLECTOR-VM</t>
        </is>
      </c>
      <c r="E620" s="19" t="inlineStr">
        <is>
          <t>22094925030</t>
        </is>
      </c>
      <c r="F620" s="19" t="inlineStr">
        <is>
          <t>228801393754</t>
        </is>
      </c>
      <c r="G620" s="19" t="inlineStr">
        <is>
          <t>NORMAL</t>
        </is>
      </c>
      <c r="H620" s="20" t="n">
        <v>39.9</v>
      </c>
      <c r="I620" s="20" t="n">
        <v>9.9</v>
      </c>
      <c r="J620" s="21" t="inlineStr">
        <is>
          <t>SIM</t>
        </is>
      </c>
      <c r="K620" s="20" t="n">
        <v>9.9</v>
      </c>
      <c r="L620" s="35">
        <f>IF(K620&lt;&gt;"",K620,I620)</f>
        <v/>
      </c>
      <c r="M620" s="81" t="n">
        <v>1</v>
      </c>
      <c r="N620" s="82" t="n">
        <v>1.93</v>
      </c>
      <c r="O620" s="80">
        <f>ROUND(M620*N620,2)</f>
        <v/>
      </c>
      <c r="P620" s="80">
        <f>IF($O620="","",L620-O620-(L620*IF(L620&lt;=79.99,20%,14%)+IF(L620&lt;=79.99,4,IF(L620&lt;=99.99,16,IF(L620&lt;=199.99,20,IF(L620&lt;=499.99,26,28)))))-L620*1.3%-L620*6%-(L620-O620)*9.25%-L620*3%-L620*3%-1)</f>
        <v/>
      </c>
      <c r="Q620" s="22">
        <f>IF(AND(K620&lt;&gt;"",H620&gt;0),(H620-K620)/H620,"")</f>
        <v/>
      </c>
      <c r="R620" s="19" t="inlineStr">
        <is>
          <t>909481504866304</t>
        </is>
      </c>
      <c r="S620" s="23" t="n">
        <v>46144.3875</v>
      </c>
      <c r="T620" s="23" t="n">
        <v>46295.4375</v>
      </c>
      <c r="U620" s="19" t="inlineStr">
        <is>
          <t>100927</t>
        </is>
      </c>
      <c r="V620" t="inlineStr">
        <is>
          <t>215322</t>
        </is>
      </c>
      <c r="W620" t="inlineStr">
        <is>
          <t>herdado do anúncio</t>
        </is>
      </c>
      <c r="Y620" t="inlineStr">
        <is>
          <t>ok</t>
        </is>
      </c>
    </row>
    <row r="621" ht="15" customFormat="1" customHeight="1" s="19">
      <c r="A621" s="14" t="inlineStr">
        <is>
          <t>Jacartta</t>
        </is>
      </c>
      <c r="B621" s="14" t="inlineStr">
        <is>
          <t>Pelo E Derme 750 - 30 Capsulas Vetnil Omega 3 E 6 dermatite crescimento dos pelos cachorro e gato</t>
        </is>
      </c>
      <c r="C621" s="14" t="inlineStr">
        <is>
          <t>Sem variação</t>
        </is>
      </c>
      <c r="D621" s="14" t="inlineStr">
        <is>
          <t>PELO&amp;DERME-750-30COMP</t>
        </is>
      </c>
      <c r="E621" s="14" t="inlineStr">
        <is>
          <t>44864950105</t>
        </is>
      </c>
      <c r="F621" s="14" t="inlineStr">
        <is>
          <t>0</t>
        </is>
      </c>
      <c r="G621" s="14" t="inlineStr">
        <is>
          <t>NORMAL</t>
        </is>
      </c>
      <c r="H621" s="15" t="n">
        <v>150.9</v>
      </c>
      <c r="I621" s="15" t="n">
        <v>69.90000000000001</v>
      </c>
      <c r="J621" s="16" t="inlineStr">
        <is>
          <t>SIM</t>
        </is>
      </c>
      <c r="K621" s="15" t="n">
        <v>69.90000000000001</v>
      </c>
      <c r="L621" s="35">
        <f>IF(K621&lt;&gt;"",K621,I621)</f>
        <v/>
      </c>
      <c r="M621" s="84" t="n">
        <v>1</v>
      </c>
      <c r="N621" s="85" t="n">
        <v>38.92</v>
      </c>
      <c r="O621" s="80">
        <f>ROUND(M621*N621,2)</f>
        <v/>
      </c>
      <c r="P621" s="80">
        <f>IF($O621="","",L621-O621-(L621*IF(L621&lt;=79.99,20%,14%)+IF(L621&lt;=79.99,4,IF(L621&lt;=99.99,16,IF(L621&lt;=199.99,20,IF(L621&lt;=499.99,26,28)))))-L621*1.3%-L621*6%-(L621-O621)*9.25%-L621*3%-L621*3%-1)</f>
        <v/>
      </c>
      <c r="Q621" s="17">
        <f>IF(AND(K621&lt;&gt;"",H621&gt;0),(H621-K621)/H621,"")</f>
        <v/>
      </c>
      <c r="R621" s="14" t="inlineStr">
        <is>
          <t>478386871025791</t>
        </is>
      </c>
      <c r="S621" s="18" t="n">
        <v>46209.64583333334</v>
      </c>
      <c r="T621" s="18" t="n">
        <v>46326.99930555555</v>
      </c>
      <c r="U621" s="14" t="inlineStr">
        <is>
          <t>100944</t>
        </is>
      </c>
      <c r="V621" t="inlineStr">
        <is>
          <t>213274</t>
        </is>
      </c>
      <c r="W621" t="inlineStr">
        <is>
          <t>venda casada (3 pedidos)</t>
        </is>
      </c>
      <c r="X621" t="n">
        <v>3</v>
      </c>
      <c r="Y621" t="inlineStr">
        <is>
          <t>ok</t>
        </is>
      </c>
    </row>
    <row r="622" ht="15" customFormat="1" customHeight="1" s="14">
      <c r="A622" s="19" t="inlineStr">
        <is>
          <t>Jacartta</t>
        </is>
      </c>
      <c r="B622" s="19" t="inlineStr">
        <is>
          <t>Periovet Gel Higiene Bucal Menta Pasta de Dente Pet 25g Cachorros e Gatos</t>
        </is>
      </c>
      <c r="C622" s="19" t="inlineStr">
        <is>
          <t>Sem variação</t>
        </is>
      </c>
      <c r="D622" s="19" t="inlineStr">
        <is>
          <t>PERIOVET-25G</t>
        </is>
      </c>
      <c r="E622" s="19" t="inlineStr">
        <is>
          <t>43783036027</t>
        </is>
      </c>
      <c r="F622" s="19" t="inlineStr">
        <is>
          <t>0</t>
        </is>
      </c>
      <c r="G622" s="19" t="inlineStr">
        <is>
          <t>NORMAL</t>
        </is>
      </c>
      <c r="H622" s="20" t="n">
        <v>99.90000000000001</v>
      </c>
      <c r="I622" s="20" t="n">
        <v>59.89</v>
      </c>
      <c r="J622" s="21" t="inlineStr">
        <is>
          <t>SIM</t>
        </is>
      </c>
      <c r="K622" s="20" t="n">
        <v>59.89</v>
      </c>
      <c r="L622" s="35">
        <f>IF(K622&lt;&gt;"",K622,I622)</f>
        <v/>
      </c>
      <c r="M622" s="81" t="n">
        <v>1</v>
      </c>
      <c r="N622" s="82" t="n">
        <v>34.5</v>
      </c>
      <c r="O622" s="80">
        <f>ROUND(M622*N622,2)</f>
        <v/>
      </c>
      <c r="P622" s="80">
        <f>IF($O622="","",L622-O622-(L622*IF(L622&lt;=79.99,20%,14%)+IF(L622&lt;=79.99,4,IF(L622&lt;=99.99,16,IF(L622&lt;=199.99,20,IF(L622&lt;=499.99,26,28)))))-L622*1.3%-L622*6%-(L622-O622)*9.25%-L622*3%-L622*3%-1)</f>
        <v/>
      </c>
      <c r="Q622" s="22">
        <f>IF(AND(K622&lt;&gt;"",H622&gt;0),(H622-K622)/H622,"")</f>
        <v/>
      </c>
      <c r="R622" s="19" t="inlineStr">
        <is>
          <t>478386871025791</t>
        </is>
      </c>
      <c r="S622" s="23" t="n">
        <v>46209.64583333334</v>
      </c>
      <c r="T622" s="23" t="n">
        <v>46326.99930555555</v>
      </c>
      <c r="U622" s="19" t="inlineStr">
        <is>
          <t>100930</t>
        </is>
      </c>
      <c r="V622" t="inlineStr">
        <is>
          <t>213268</t>
        </is>
      </c>
      <c r="W622" t="inlineStr">
        <is>
          <t>venda casada (1 pedido)</t>
        </is>
      </c>
      <c r="X622" t="n">
        <v>1</v>
      </c>
      <c r="Y622" t="inlineStr">
        <is>
          <t>⚠ evidência fraca (1 pedido)</t>
        </is>
      </c>
    </row>
    <row r="623" ht="15" customFormat="1" customHeight="1" s="19">
      <c r="A623" s="14" t="inlineStr">
        <is>
          <t>Jacartta</t>
        </is>
      </c>
      <c r="B623" s="14" t="inlineStr">
        <is>
          <t>Petisco Natural Desidratado para Cachorros Orelha Suína 500g</t>
        </is>
      </c>
      <c r="C623" s="14" t="inlineStr">
        <is>
          <t>Sem variação</t>
        </is>
      </c>
      <c r="D623" s="14" t="inlineStr">
        <is>
          <t>ORELHA-SUÍNA-500G</t>
        </is>
      </c>
      <c r="E623" s="14" t="inlineStr">
        <is>
          <t>22593268042</t>
        </is>
      </c>
      <c r="F623" s="14" t="inlineStr">
        <is>
          <t>0</t>
        </is>
      </c>
      <c r="G623" s="14" t="inlineStr">
        <is>
          <t>NORMAL</t>
        </is>
      </c>
      <c r="H623" s="15" t="n">
        <v>150.9</v>
      </c>
      <c r="I623" s="15" t="n">
        <v>132.9</v>
      </c>
      <c r="J623" s="16" t="inlineStr">
        <is>
          <t>SIM</t>
        </is>
      </c>
      <c r="K623" s="15" t="n">
        <v>132.9</v>
      </c>
      <c r="L623" s="35">
        <f>IF(K623&lt;&gt;"",K623,I623)</f>
        <v/>
      </c>
      <c r="M623" s="28" t="n"/>
      <c r="N623" s="28" t="n"/>
      <c r="O623" s="29" t="n"/>
      <c r="P623" s="80">
        <f>IF($O623="","",L623-O623-(L623*IF(L623&lt;=79.99,20%,14%)+IF(L623&lt;=79.99,4,IF(L623&lt;=99.99,16,IF(L623&lt;=199.99,20,IF(L623&lt;=499.99,26,28)))))-L623*1.3%-L623*6%-(L623-O623)*9.25%-L623*3%-L623*3%-1)</f>
        <v/>
      </c>
      <c r="Q623" s="17">
        <f>IF(AND(K623&lt;&gt;"",H623&gt;0),(H623-K623)/H623,"")</f>
        <v/>
      </c>
      <c r="R623" s="14" t="inlineStr">
        <is>
          <t>909481504866304</t>
        </is>
      </c>
      <c r="S623" s="18" t="n">
        <v>46144.3875</v>
      </c>
      <c r="T623" s="18" t="n">
        <v>46295.4375</v>
      </c>
      <c r="U623" s="14" t="inlineStr">
        <is>
          <t>100907</t>
        </is>
      </c>
      <c r="W623" t="inlineStr">
        <is>
          <t>sem correspondência</t>
        </is>
      </c>
      <c r="Y623" t="inlineStr"/>
    </row>
    <row r="624" ht="15" customFormat="1" customHeight="1" s="14">
      <c r="A624" s="19" t="inlineStr">
        <is>
          <t>Jacartta</t>
        </is>
      </c>
      <c r="B624" s="19" t="inlineStr">
        <is>
          <t>Pomada Vetaglos 50g</t>
        </is>
      </c>
      <c r="C624" s="19" t="inlineStr">
        <is>
          <t>Sem variação</t>
        </is>
      </c>
      <c r="D624" s="19" t="inlineStr">
        <is>
          <t>0630</t>
        </is>
      </c>
      <c r="E624" s="19" t="inlineStr">
        <is>
          <t>16866207147</t>
        </is>
      </c>
      <c r="F624" s="19" t="inlineStr">
        <is>
          <t>0</t>
        </is>
      </c>
      <c r="G624" s="19" t="inlineStr">
        <is>
          <t>NORMAL</t>
        </is>
      </c>
      <c r="H624" s="20" t="n">
        <v>109.8</v>
      </c>
      <c r="I624" s="20" t="n">
        <v>109.8</v>
      </c>
      <c r="J624" s="21" t="inlineStr">
        <is>
          <t>NÃO</t>
        </is>
      </c>
      <c r="K624" s="20" t="n"/>
      <c r="L624" s="35">
        <f>IF(K624&lt;&gt;"",K624,I624)</f>
        <v/>
      </c>
      <c r="M624" s="30" t="n"/>
      <c r="N624" s="30" t="n"/>
      <c r="O624" s="31" t="n"/>
      <c r="P624" s="80">
        <f>IF($O624="","",L624-O624-(L624*IF(L624&lt;=79.99,20%,14%)+IF(L624&lt;=79.99,4,IF(L624&lt;=99.99,16,IF(L624&lt;=199.99,20,IF(L624&lt;=499.99,26,28)))))-L624*1.3%-L624*6%-(L624-O624)*9.25%-L624*3%-L624*3%-1)</f>
        <v/>
      </c>
      <c r="Q624" s="22">
        <f>IF(AND(K624&lt;&gt;"",H624&gt;0),(H624-K624)/H624,"")</f>
        <v/>
      </c>
      <c r="R624" s="19" t="inlineStr"/>
      <c r="S624" s="23" t="n"/>
      <c r="T624" s="23" t="n"/>
      <c r="U624" s="19" t="inlineStr">
        <is>
          <t>100942</t>
        </is>
      </c>
      <c r="W624" t="inlineStr">
        <is>
          <t>sem correspondência</t>
        </is>
      </c>
      <c r="Y624" t="inlineStr"/>
    </row>
    <row r="625" ht="15" customFormat="1" customHeight="1" s="19">
      <c r="A625" s="14" t="inlineStr">
        <is>
          <t>Jacartta</t>
        </is>
      </c>
      <c r="B625" s="14" t="inlineStr">
        <is>
          <t>Porta Pães com tampa Armazenamento de Pães Retrátil Padaria Casa OliverHome</t>
        </is>
      </c>
      <c r="C625" s="14" t="inlineStr">
        <is>
          <t>Sem variação</t>
        </is>
      </c>
      <c r="D625" s="14" t="inlineStr">
        <is>
          <t>PORTA-PÃES-BAMBU</t>
        </is>
      </c>
      <c r="E625" s="14" t="inlineStr">
        <is>
          <t>22299041693</t>
        </is>
      </c>
      <c r="F625" s="14" t="inlineStr">
        <is>
          <t>0</t>
        </is>
      </c>
      <c r="G625" s="14" t="inlineStr">
        <is>
          <t>NORMAL</t>
        </is>
      </c>
      <c r="H625" s="15" t="n">
        <v>179.9</v>
      </c>
      <c r="I625" s="15" t="n">
        <v>179.9</v>
      </c>
      <c r="J625" s="16" t="inlineStr">
        <is>
          <t>NÃO</t>
        </is>
      </c>
      <c r="K625" s="15" t="n"/>
      <c r="L625" s="35">
        <f>IF(K625&lt;&gt;"",K625,I625)</f>
        <v/>
      </c>
      <c r="M625" s="28" t="n"/>
      <c r="N625" s="28" t="n"/>
      <c r="O625" s="29" t="n"/>
      <c r="P625" s="80">
        <f>IF($O625="","",L625-O625-(L625*IF(L625&lt;=79.99,20%,14%)+IF(L625&lt;=79.99,4,IF(L625&lt;=99.99,16,IF(L625&lt;=199.99,20,IF(L625&lt;=499.99,26,28)))))-L625*1.3%-L625*6%-(L625-O625)*9.25%-L625*3%-L625*3%-1)</f>
        <v/>
      </c>
      <c r="Q625" s="17">
        <f>IF(AND(K625&lt;&gt;"",H625&gt;0),(H625-K625)/H625,"")</f>
        <v/>
      </c>
      <c r="R625" s="14" t="inlineStr"/>
      <c r="S625" s="18" t="n"/>
      <c r="T625" s="18" t="n"/>
      <c r="U625" s="14" t="inlineStr">
        <is>
          <t>101220</t>
        </is>
      </c>
      <c r="W625" t="inlineStr">
        <is>
          <t>sem correspondência</t>
        </is>
      </c>
      <c r="Y625" t="inlineStr"/>
    </row>
    <row r="626" ht="15" customFormat="1" customHeight="1" s="14">
      <c r="A626" s="19" t="inlineStr">
        <is>
          <t>Jacartta</t>
        </is>
      </c>
      <c r="B626" s="19" t="inlineStr">
        <is>
          <t>Pote de Vidro Tampa Bambu Hermético 2000ml Organizador Cozinha Mantimentos Temperos Grãos Cereais</t>
        </is>
      </c>
      <c r="C626" s="19" t="inlineStr">
        <is>
          <t>1 Unidade</t>
        </is>
      </c>
      <c r="D626" s="19" t="inlineStr">
        <is>
          <t>1 pote 2000ml</t>
        </is>
      </c>
      <c r="E626" s="19" t="inlineStr">
        <is>
          <t>47264489497</t>
        </is>
      </c>
      <c r="F626" s="19" t="inlineStr">
        <is>
          <t>188857465216</t>
        </is>
      </c>
      <c r="G626" s="19" t="inlineStr">
        <is>
          <t>NORMAL</t>
        </is>
      </c>
      <c r="H626" s="20" t="n">
        <v>159.9</v>
      </c>
      <c r="I626" s="20" t="n">
        <v>159.9</v>
      </c>
      <c r="J626" s="21" t="inlineStr">
        <is>
          <t>NÃO</t>
        </is>
      </c>
      <c r="K626" s="20" t="n"/>
      <c r="L626" s="35">
        <f>IF(K626&lt;&gt;"",K626,I626)</f>
        <v/>
      </c>
      <c r="M626" s="32" t="n"/>
      <c r="N626" s="30" t="n"/>
      <c r="O626" s="31" t="n"/>
      <c r="P626" s="80">
        <f>IF($O626="","",L626-O626-(L626*IF(L626&lt;=79.99,20%,14%)+IF(L626&lt;=79.99,4,IF(L626&lt;=99.99,16,IF(L626&lt;=199.99,20,IF(L626&lt;=499.99,26,28)))))-L626*1.3%-L626*6%-(L626-O626)*9.25%-L626*3%-L626*3%-1)</f>
        <v/>
      </c>
      <c r="Q626" s="22">
        <f>IF(AND(K626&lt;&gt;"",H626&gt;0),(H626-K626)/H626,"")</f>
        <v/>
      </c>
      <c r="R626" s="19" t="inlineStr"/>
      <c r="S626" s="23" t="n"/>
      <c r="T626" s="23" t="n"/>
      <c r="U626" s="19" t="inlineStr">
        <is>
          <t>101220</t>
        </is>
      </c>
      <c r="W626" t="inlineStr">
        <is>
          <t>sem correspondência</t>
        </is>
      </c>
      <c r="Y626" t="inlineStr"/>
    </row>
    <row r="627" ht="15" customFormat="1" customHeight="1" s="19">
      <c r="A627" s="14" t="inlineStr">
        <is>
          <t>Jacartta</t>
        </is>
      </c>
      <c r="B627" s="14" t="inlineStr">
        <is>
          <t>Pote de Vidro Tampa Bambu Hermético 2000ml Organizador Cozinha Mantimentos Temperos Grãos Cereais</t>
        </is>
      </c>
      <c r="C627" s="14" t="inlineStr">
        <is>
          <t>10 Unidades</t>
        </is>
      </c>
      <c r="D627" s="14" t="inlineStr">
        <is>
          <t>Kit 10 potes 2000ml</t>
        </is>
      </c>
      <c r="E627" s="14" t="inlineStr">
        <is>
          <t>47264489497</t>
        </is>
      </c>
      <c r="F627" s="14" t="inlineStr">
        <is>
          <t>188857465220</t>
        </is>
      </c>
      <c r="G627" s="14" t="inlineStr">
        <is>
          <t>NORMAL</t>
        </is>
      </c>
      <c r="H627" s="15" t="n">
        <v>599.9</v>
      </c>
      <c r="I627" s="15" t="n">
        <v>293.9</v>
      </c>
      <c r="J627" s="16" t="inlineStr">
        <is>
          <t>SIM</t>
        </is>
      </c>
      <c r="K627" s="15" t="n">
        <v>293.9</v>
      </c>
      <c r="L627" s="35">
        <f>IF(K627&lt;&gt;"",K627,I627)</f>
        <v/>
      </c>
      <c r="M627" s="33" t="n"/>
      <c r="N627" s="28" t="n"/>
      <c r="O627" s="29" t="n"/>
      <c r="P627" s="80">
        <f>IF($O627="","",L627-O627-(L627*IF(L627&lt;=79.99,20%,14%)+IF(L627&lt;=79.99,4,IF(L627&lt;=99.99,16,IF(L627&lt;=199.99,20,IF(L627&lt;=499.99,26,28)))))-L627*1.3%-L627*6%-(L627-O627)*9.25%-L627*3%-L627*3%-1)</f>
        <v/>
      </c>
      <c r="Q627" s="17">
        <f>IF(AND(K627&lt;&gt;"",H627&gt;0),(H627-K627)/H627,"")</f>
        <v/>
      </c>
      <c r="R627" s="14" t="inlineStr">
        <is>
          <t>478386871025791</t>
        </is>
      </c>
      <c r="S627" s="18" t="n">
        <v>46209.64583333334</v>
      </c>
      <c r="T627" s="18" t="n">
        <v>46326.99930555555</v>
      </c>
      <c r="U627" s="14" t="inlineStr">
        <is>
          <t>101220</t>
        </is>
      </c>
      <c r="W627" t="inlineStr">
        <is>
          <t>sem correspondência</t>
        </is>
      </c>
      <c r="Y627" t="inlineStr"/>
    </row>
    <row r="628" ht="15" customFormat="1" customHeight="1" s="14">
      <c r="A628" s="19" t="inlineStr">
        <is>
          <t>Jacartta</t>
        </is>
      </c>
      <c r="B628" s="19" t="inlineStr">
        <is>
          <t>Pote de Vidro Tampa Bambu Hermético 2000ml Organizador Cozinha Mantimentos Temperos Grãos Cereais</t>
        </is>
      </c>
      <c r="C628" s="19" t="inlineStr">
        <is>
          <t>4 Unidades</t>
        </is>
      </c>
      <c r="D628" s="19" t="inlineStr">
        <is>
          <t>Kit 4 potes 2000ml</t>
        </is>
      </c>
      <c r="E628" s="19" t="inlineStr">
        <is>
          <t>47264489497</t>
        </is>
      </c>
      <c r="F628" s="19" t="inlineStr">
        <is>
          <t>188857465217</t>
        </is>
      </c>
      <c r="G628" s="19" t="inlineStr">
        <is>
          <t>NORMAL</t>
        </is>
      </c>
      <c r="H628" s="20" t="n">
        <v>249.9</v>
      </c>
      <c r="I628" s="20" t="n">
        <v>124.9</v>
      </c>
      <c r="J628" s="21" t="inlineStr">
        <is>
          <t>SIM</t>
        </is>
      </c>
      <c r="K628" s="20" t="n">
        <v>124.9</v>
      </c>
      <c r="L628" s="35">
        <f>IF(K628&lt;&gt;"",K628,I628)</f>
        <v/>
      </c>
      <c r="M628" s="32" t="n"/>
      <c r="N628" s="30" t="n"/>
      <c r="O628" s="29" t="n"/>
      <c r="P628" s="80">
        <f>IF($O628="","",L628-O628-(L628*IF(L628&lt;=79.99,20%,14%)+IF(L628&lt;=79.99,4,IF(L628&lt;=99.99,16,IF(L628&lt;=199.99,20,IF(L628&lt;=499.99,26,28)))))-L628*1.3%-L628*6%-(L628-O628)*9.25%-L628*3%-L628*3%-1)</f>
        <v/>
      </c>
      <c r="Q628" s="22">
        <f>IF(AND(K628&lt;&gt;"",H628&gt;0),(H628-K628)/H628,"")</f>
        <v/>
      </c>
      <c r="R628" s="19" t="inlineStr">
        <is>
          <t>478386871025791</t>
        </is>
      </c>
      <c r="S628" s="23" t="n">
        <v>46209.64583333334</v>
      </c>
      <c r="T628" s="23" t="n">
        <v>46326.99930555555</v>
      </c>
      <c r="U628" s="19" t="inlineStr">
        <is>
          <t>101220</t>
        </is>
      </c>
      <c r="W628" t="inlineStr">
        <is>
          <t>sem correspondência</t>
        </is>
      </c>
      <c r="Y628" t="inlineStr"/>
    </row>
    <row r="629" ht="15" customFormat="1" customHeight="1" s="19">
      <c r="A629" s="14" t="inlineStr">
        <is>
          <t>Jacartta</t>
        </is>
      </c>
      <c r="B629" s="14" t="inlineStr">
        <is>
          <t>Pote de Vidro Tampa Bambu Hermético 2000ml Organizador Cozinha Mantimentos Temperos Grãos Cereais</t>
        </is>
      </c>
      <c r="C629" s="14" t="inlineStr">
        <is>
          <t>6 Unidades</t>
        </is>
      </c>
      <c r="D629" s="14" t="inlineStr">
        <is>
          <t>Kit 6 potes 2000ml</t>
        </is>
      </c>
      <c r="E629" s="14" t="inlineStr">
        <is>
          <t>47264489497</t>
        </is>
      </c>
      <c r="F629" s="14" t="inlineStr">
        <is>
          <t>188857465218</t>
        </is>
      </c>
      <c r="G629" s="14" t="inlineStr">
        <is>
          <t>NORMAL</t>
        </is>
      </c>
      <c r="H629" s="15" t="n">
        <v>369.9</v>
      </c>
      <c r="I629" s="15" t="n">
        <v>180.9</v>
      </c>
      <c r="J629" s="16" t="inlineStr">
        <is>
          <t>SIM</t>
        </is>
      </c>
      <c r="K629" s="15" t="n">
        <v>180.9</v>
      </c>
      <c r="L629" s="35">
        <f>IF(K629&lt;&gt;"",K629,I629)</f>
        <v/>
      </c>
      <c r="M629" s="33" t="n"/>
      <c r="N629" s="28" t="n"/>
      <c r="O629" s="29" t="n"/>
      <c r="P629" s="80">
        <f>IF($O629="","",L629-O629-(L629*IF(L629&lt;=79.99,20%,14%)+IF(L629&lt;=79.99,4,IF(L629&lt;=99.99,16,IF(L629&lt;=199.99,20,IF(L629&lt;=499.99,26,28)))))-L629*1.3%-L629*6%-(L629-O629)*9.25%-L629*3%-L629*3%-1)</f>
        <v/>
      </c>
      <c r="Q629" s="17">
        <f>IF(AND(K629&lt;&gt;"",H629&gt;0),(H629-K629)/H629,"")</f>
        <v/>
      </c>
      <c r="R629" s="14" t="inlineStr">
        <is>
          <t>478386871025791</t>
        </is>
      </c>
      <c r="S629" s="18" t="n">
        <v>46209.64583333334</v>
      </c>
      <c r="T629" s="18" t="n">
        <v>46326.99930555555</v>
      </c>
      <c r="U629" s="14" t="inlineStr">
        <is>
          <t>101220</t>
        </is>
      </c>
      <c r="W629" t="inlineStr">
        <is>
          <t>sem correspondência</t>
        </is>
      </c>
      <c r="Y629" t="inlineStr"/>
    </row>
    <row r="630" ht="15" customFormat="1" customHeight="1" s="14">
      <c r="A630" s="19" t="inlineStr">
        <is>
          <t>Jacartta</t>
        </is>
      </c>
      <c r="B630" s="19" t="inlineStr">
        <is>
          <t>Pote de Vidro Tampa Bambu Hermético 2000ml Organizador Cozinha Mantimentos Temperos Grãos Cereais</t>
        </is>
      </c>
      <c r="C630" s="19" t="inlineStr">
        <is>
          <t>8Unidades</t>
        </is>
      </c>
      <c r="D630" s="19" t="inlineStr">
        <is>
          <t>Kit 8 potes 2000ml</t>
        </is>
      </c>
      <c r="E630" s="19" t="inlineStr">
        <is>
          <t>47264489497</t>
        </is>
      </c>
      <c r="F630" s="19" t="inlineStr">
        <is>
          <t>188857465219</t>
        </is>
      </c>
      <c r="G630" s="19" t="inlineStr">
        <is>
          <t>NORMAL</t>
        </is>
      </c>
      <c r="H630" s="20" t="n">
        <v>459.9</v>
      </c>
      <c r="I630" s="20" t="n">
        <v>236.9</v>
      </c>
      <c r="J630" s="21" t="inlineStr">
        <is>
          <t>SIM</t>
        </is>
      </c>
      <c r="K630" s="20" t="n">
        <v>236.9</v>
      </c>
      <c r="L630" s="35">
        <f>IF(K630&lt;&gt;"",K630,I630)</f>
        <v/>
      </c>
      <c r="M630" s="32" t="n"/>
      <c r="N630" s="30" t="n"/>
      <c r="O630" s="29" t="n"/>
      <c r="P630" s="80">
        <f>IF($O630="","",L630-O630-(L630*IF(L630&lt;=79.99,20%,14%)+IF(L630&lt;=79.99,4,IF(L630&lt;=99.99,16,IF(L630&lt;=199.99,20,IF(L630&lt;=499.99,26,28)))))-L630*1.3%-L630*6%-(L630-O630)*9.25%-L630*3%-L630*3%-1)</f>
        <v/>
      </c>
      <c r="Q630" s="22">
        <f>IF(AND(K630&lt;&gt;"",H630&gt;0),(H630-K630)/H630,"")</f>
        <v/>
      </c>
      <c r="R630" s="19" t="inlineStr">
        <is>
          <t>478386871025791</t>
        </is>
      </c>
      <c r="S630" s="23" t="n">
        <v>46209.64583333334</v>
      </c>
      <c r="T630" s="23" t="n">
        <v>46326.99930555555</v>
      </c>
      <c r="U630" s="19" t="inlineStr">
        <is>
          <t>101220</t>
        </is>
      </c>
      <c r="W630" t="inlineStr">
        <is>
          <t>sem correspondência</t>
        </is>
      </c>
      <c r="Y630" t="inlineStr"/>
    </row>
    <row r="631" ht="15" customFormat="1" customHeight="1" s="19">
      <c r="A631" s="14" t="inlineStr">
        <is>
          <t>Jacartta</t>
        </is>
      </c>
      <c r="B631" s="14" t="inlineStr">
        <is>
          <t>Pote de Vidro Tampa Bambu Hermético 200ml Organizador Cozinha Mantimentos Temperos Grãos Cereais</t>
        </is>
      </c>
      <c r="C631" s="14" t="inlineStr">
        <is>
          <t>10 Unidades</t>
        </is>
      </c>
      <c r="D631" s="14" t="inlineStr">
        <is>
          <t>10 potes 200ml</t>
        </is>
      </c>
      <c r="E631" s="14" t="inlineStr">
        <is>
          <t>44382813345</t>
        </is>
      </c>
      <c r="F631" s="14" t="inlineStr">
        <is>
          <t>426245266944</t>
        </is>
      </c>
      <c r="G631" s="14" t="inlineStr">
        <is>
          <t>NORMAL</t>
        </is>
      </c>
      <c r="H631" s="15" t="n">
        <v>179.9</v>
      </c>
      <c r="I631" s="15" t="n">
        <v>84.90000000000001</v>
      </c>
      <c r="J631" s="16" t="inlineStr">
        <is>
          <t>SIM</t>
        </is>
      </c>
      <c r="K631" s="15" t="n">
        <v>84.90000000000001</v>
      </c>
      <c r="L631" s="35">
        <f>IF(K631&lt;&gt;"",K631,I631)</f>
        <v/>
      </c>
      <c r="M631" s="84" t="n">
        <v>10</v>
      </c>
      <c r="N631" s="85" t="n">
        <v>2.13</v>
      </c>
      <c r="O631" s="80">
        <f>ROUND(M631*N631,2)</f>
        <v/>
      </c>
      <c r="P631" s="80">
        <f>IF($O631="","",L631-O631-(L631*IF(L631&lt;=79.99,20%,14%)+IF(L631&lt;=79.99,4,IF(L631&lt;=99.99,16,IF(L631&lt;=199.99,20,IF(L631&lt;=499.99,26,28)))))-L631*1.3%-L631*6%-(L631-O631)*9.25%-L631*3%-L631*3%-1)</f>
        <v/>
      </c>
      <c r="Q631" s="17">
        <f>IF(AND(K631&lt;&gt;"",H631&gt;0),(H631-K631)/H631,"")</f>
        <v/>
      </c>
      <c r="R631" s="14" t="inlineStr">
        <is>
          <t>478386871025791</t>
        </is>
      </c>
      <c r="S631" s="18" t="n">
        <v>46209.64583333334</v>
      </c>
      <c r="T631" s="18" t="n">
        <v>46326.99930555555</v>
      </c>
      <c r="U631" s="14" t="inlineStr">
        <is>
          <t>101220</t>
        </is>
      </c>
      <c r="V631" t="inlineStr">
        <is>
          <t>214797</t>
        </is>
      </c>
      <c r="W631" t="inlineStr">
        <is>
          <t>venda casada (2 pedidos) · custo do KIT 214855 (10× 214797)</t>
        </is>
      </c>
      <c r="X631" t="n">
        <v>2</v>
      </c>
      <c r="Y631" t="inlineStr">
        <is>
          <t>ok</t>
        </is>
      </c>
    </row>
    <row r="632" ht="15" customFormat="1" customHeight="1" s="14">
      <c r="A632" s="19" t="inlineStr">
        <is>
          <t>Jacartta</t>
        </is>
      </c>
      <c r="B632" s="19" t="inlineStr">
        <is>
          <t>Pote de Vidro Tampa Bambu Hermético 200ml Organizador Cozinha Mantimentos Temperos Grãos Cereais</t>
        </is>
      </c>
      <c r="C632" s="19" t="inlineStr">
        <is>
          <t>4 Unidades</t>
        </is>
      </c>
      <c r="D632" s="19" t="inlineStr">
        <is>
          <t>4 potes 200ml</t>
        </is>
      </c>
      <c r="E632" s="19" t="inlineStr">
        <is>
          <t>44382813345</t>
        </is>
      </c>
      <c r="F632" s="19" t="inlineStr">
        <is>
          <t>426245266941</t>
        </is>
      </c>
      <c r="G632" s="19" t="inlineStr">
        <is>
          <t>NORMAL</t>
        </is>
      </c>
      <c r="H632" s="20" t="n">
        <v>79.90000000000001</v>
      </c>
      <c r="I632" s="20" t="n">
        <v>35.9</v>
      </c>
      <c r="J632" s="21" t="inlineStr">
        <is>
          <t>SIM</t>
        </is>
      </c>
      <c r="K632" s="20" t="n">
        <v>35.9</v>
      </c>
      <c r="L632" s="35">
        <f>IF(K632&lt;&gt;"",K632,I632)</f>
        <v/>
      </c>
      <c r="M632" s="81" t="n">
        <v>4</v>
      </c>
      <c r="N632" s="82" t="n">
        <v>2.13</v>
      </c>
      <c r="O632" s="80">
        <f>ROUND(M632*N632,2)</f>
        <v/>
      </c>
      <c r="P632" s="80">
        <f>IF($O632="","",L632-O632-(L632*IF(L632&lt;=79.99,20%,14%)+IF(L632&lt;=79.99,4,IF(L632&lt;=99.99,16,IF(L632&lt;=199.99,20,IF(L632&lt;=499.99,26,28)))))-L632*1.3%-L632*6%-(L632-O632)*9.25%-L632*3%-L632*3%-1)</f>
        <v/>
      </c>
      <c r="Q632" s="22">
        <f>IF(AND(K632&lt;&gt;"",H632&gt;0),(H632-K632)/H632,"")</f>
        <v/>
      </c>
      <c r="R632" s="19" t="inlineStr">
        <is>
          <t>478386871025791</t>
        </is>
      </c>
      <c r="S632" s="23" t="n">
        <v>46209.64583333334</v>
      </c>
      <c r="T632" s="23" t="n">
        <v>46326.99930555555</v>
      </c>
      <c r="U632" s="19" t="inlineStr">
        <is>
          <t>101220</t>
        </is>
      </c>
      <c r="V632" t="inlineStr">
        <is>
          <t>214797</t>
        </is>
      </c>
      <c r="W632" t="inlineStr">
        <is>
          <t>venda casada (1 pedido) · custo do KIT 214808 (4× 214797)</t>
        </is>
      </c>
      <c r="X632" t="n">
        <v>1</v>
      </c>
      <c r="Y632" t="inlineStr">
        <is>
          <t>⚠ evidência fraca (1 pedido)</t>
        </is>
      </c>
    </row>
    <row r="633" ht="15" customFormat="1" customHeight="1" s="19">
      <c r="A633" s="14" t="inlineStr">
        <is>
          <t>Jacartta</t>
        </is>
      </c>
      <c r="B633" s="14" t="inlineStr">
        <is>
          <t>Pote de Vidro Tampa Bambu Hermético 200ml Organizador Cozinha Mantimentos Temperos Grãos Cereais</t>
        </is>
      </c>
      <c r="C633" s="14" t="inlineStr">
        <is>
          <t>6 Unidades</t>
        </is>
      </c>
      <c r="D633" s="14" t="inlineStr">
        <is>
          <t>6 potes 200ml</t>
        </is>
      </c>
      <c r="E633" s="14" t="inlineStr">
        <is>
          <t>44382813345</t>
        </is>
      </c>
      <c r="F633" s="14" t="inlineStr">
        <is>
          <t>426245266942</t>
        </is>
      </c>
      <c r="G633" s="14" t="inlineStr">
        <is>
          <t>NORMAL</t>
        </is>
      </c>
      <c r="H633" s="15" t="n">
        <v>92.90000000000001</v>
      </c>
      <c r="I633" s="15" t="n">
        <v>47.9</v>
      </c>
      <c r="J633" s="16" t="inlineStr">
        <is>
          <t>SIM</t>
        </is>
      </c>
      <c r="K633" s="15" t="n">
        <v>47.9</v>
      </c>
      <c r="L633" s="35">
        <f>IF(K633&lt;&gt;"",K633,I633)</f>
        <v/>
      </c>
      <c r="M633" s="84" t="n">
        <v>6</v>
      </c>
      <c r="N633" s="85" t="n">
        <v>2.13</v>
      </c>
      <c r="O633" s="80">
        <f>ROUND(M633*N633,2)</f>
        <v/>
      </c>
      <c r="P633" s="80">
        <f>IF($O633="","",L633-O633-(L633*IF(L633&lt;=79.99,20%,14%)+IF(L633&lt;=79.99,4,IF(L633&lt;=99.99,16,IF(L633&lt;=199.99,20,IF(L633&lt;=499.99,26,28)))))-L633*1.3%-L633*6%-(L633-O633)*9.25%-L633*3%-L633*3%-1)</f>
        <v/>
      </c>
      <c r="Q633" s="17">
        <f>IF(AND(K633&lt;&gt;"",H633&gt;0),(H633-K633)/H633,"")</f>
        <v/>
      </c>
      <c r="R633" s="14" t="inlineStr">
        <is>
          <t>478386871025791</t>
        </is>
      </c>
      <c r="S633" s="18" t="n">
        <v>46209.64583333334</v>
      </c>
      <c r="T633" s="18" t="n">
        <v>46326.99930555555</v>
      </c>
      <c r="U633" s="14" t="inlineStr">
        <is>
          <t>101220</t>
        </is>
      </c>
      <c r="V633" t="inlineStr">
        <is>
          <t>214797</t>
        </is>
      </c>
      <c r="W633" t="inlineStr">
        <is>
          <t>venda casada (4 pedidos) · custo do KIT 214809 (6× 214797)</t>
        </is>
      </c>
      <c r="X633" t="n">
        <v>4</v>
      </c>
      <c r="Y633" t="inlineStr">
        <is>
          <t>ok</t>
        </is>
      </c>
    </row>
    <row r="634" ht="15" customFormat="1" customHeight="1" s="14">
      <c r="A634" s="19" t="inlineStr">
        <is>
          <t>Jacartta</t>
        </is>
      </c>
      <c r="B634" s="19" t="inlineStr">
        <is>
          <t>Pote de Vidro Tampa Bambu Hermético 200ml Organizador Cozinha Mantimentos Temperos Grãos Cereais</t>
        </is>
      </c>
      <c r="C634" s="19" t="inlineStr">
        <is>
          <t>8 Unidades</t>
        </is>
      </c>
      <c r="D634" s="19" t="inlineStr">
        <is>
          <t>8 potes 200ml</t>
        </is>
      </c>
      <c r="E634" s="19" t="inlineStr">
        <is>
          <t>44382813345</t>
        </is>
      </c>
      <c r="F634" s="19" t="inlineStr">
        <is>
          <t>426245266943</t>
        </is>
      </c>
      <c r="G634" s="19" t="inlineStr">
        <is>
          <t>NORMAL</t>
        </is>
      </c>
      <c r="H634" s="20" t="n">
        <v>119.9</v>
      </c>
      <c r="I634" s="20" t="n">
        <v>63.9</v>
      </c>
      <c r="J634" s="21" t="inlineStr">
        <is>
          <t>SIM</t>
        </is>
      </c>
      <c r="K634" s="20" t="n">
        <v>63.9</v>
      </c>
      <c r="L634" s="35">
        <f>IF(K634&lt;&gt;"",K634,I634)</f>
        <v/>
      </c>
      <c r="M634" s="81" t="n">
        <v>8</v>
      </c>
      <c r="N634" s="82" t="n">
        <v>2.13</v>
      </c>
      <c r="O634" s="80">
        <f>ROUND(M634*N634,2)</f>
        <v/>
      </c>
      <c r="P634" s="80">
        <f>IF($O634="","",L634-O634-(L634*IF(L634&lt;=79.99,20%,14%)+IF(L634&lt;=79.99,4,IF(L634&lt;=99.99,16,IF(L634&lt;=199.99,20,IF(L634&lt;=499.99,26,28)))))-L634*1.3%-L634*6%-(L634-O634)*9.25%-L634*3%-L634*3%-1)</f>
        <v/>
      </c>
      <c r="Q634" s="22">
        <f>IF(AND(K634&lt;&gt;"",H634&gt;0),(H634-K634)/H634,"")</f>
        <v/>
      </c>
      <c r="R634" s="19" t="inlineStr">
        <is>
          <t>478386871025791</t>
        </is>
      </c>
      <c r="S634" s="23" t="n">
        <v>46209.64583333334</v>
      </c>
      <c r="T634" s="23" t="n">
        <v>46326.99930555555</v>
      </c>
      <c r="U634" s="19" t="inlineStr">
        <is>
          <t>101220</t>
        </is>
      </c>
      <c r="V634" t="inlineStr">
        <is>
          <t>214797</t>
        </is>
      </c>
      <c r="W634" t="inlineStr">
        <is>
          <t>herdado do anúncio (escalado 10→8 un) · custo do KIT 214847 (8× 214797)</t>
        </is>
      </c>
      <c r="Y634" t="inlineStr">
        <is>
          <t>ok</t>
        </is>
      </c>
    </row>
    <row r="635" ht="15" customFormat="1" customHeight="1" s="19">
      <c r="A635" s="14" t="inlineStr">
        <is>
          <t>Jacartta</t>
        </is>
      </c>
      <c r="B635" s="14" t="inlineStr">
        <is>
          <t>Pote de Vidro Tampa Bambu Hermético 300ml Organizador Cozinha Mantimentos Temperos Grãos Cereais</t>
        </is>
      </c>
      <c r="C635" s="14" t="inlineStr">
        <is>
          <t>10 Unidades</t>
        </is>
      </c>
      <c r="D635" s="14" t="inlineStr">
        <is>
          <t>10 Potes 300ml</t>
        </is>
      </c>
      <c r="E635" s="14" t="inlineStr">
        <is>
          <t>47414484836</t>
        </is>
      </c>
      <c r="F635" s="14" t="inlineStr">
        <is>
          <t>446245250252</t>
        </is>
      </c>
      <c r="G635" s="14" t="inlineStr">
        <is>
          <t>NORMAL</t>
        </is>
      </c>
      <c r="H635" s="15" t="n">
        <v>169.9</v>
      </c>
      <c r="I635" s="15" t="n">
        <v>86.90000000000001</v>
      </c>
      <c r="J635" s="16" t="inlineStr">
        <is>
          <t>SIM</t>
        </is>
      </c>
      <c r="K635" s="15" t="n">
        <v>86.90000000000001</v>
      </c>
      <c r="L635" s="35">
        <f>IF(K635&lt;&gt;"",K635,I635)</f>
        <v/>
      </c>
      <c r="M635" s="84" t="n">
        <v>10</v>
      </c>
      <c r="N635" s="85" t="n">
        <v>2.5</v>
      </c>
      <c r="O635" s="80">
        <f>ROUND(M635*N635,2)</f>
        <v/>
      </c>
      <c r="P635" s="80">
        <f>IF($O635="","",L635-O635-(L635*IF(L635&lt;=79.99,20%,14%)+IF(L635&lt;=79.99,4,IF(L635&lt;=99.99,16,IF(L635&lt;=199.99,20,IF(L635&lt;=499.99,26,28)))))-L635*1.3%-L635*6%-(L635-O635)*9.25%-L635*3%-L635*3%-1)</f>
        <v/>
      </c>
      <c r="Q635" s="17">
        <f>IF(AND(K635&lt;&gt;"",H635&gt;0),(H635-K635)/H635,"")</f>
        <v/>
      </c>
      <c r="R635" s="14" t="inlineStr">
        <is>
          <t>478386871025791</t>
        </is>
      </c>
      <c r="S635" s="18" t="n">
        <v>46209.64583333334</v>
      </c>
      <c r="T635" s="18" t="n">
        <v>46326.99930555555</v>
      </c>
      <c r="U635" s="14" t="inlineStr">
        <is>
          <t>101220</t>
        </is>
      </c>
      <c r="V635" t="inlineStr">
        <is>
          <t>214798</t>
        </is>
      </c>
      <c r="W635" t="inlineStr">
        <is>
          <t>herdado do anúncio (escalado 4→10 un) · custo do KIT 214856 (10× 214798)</t>
        </is>
      </c>
      <c r="Y635" t="inlineStr">
        <is>
          <t>ok</t>
        </is>
      </c>
    </row>
    <row r="636" ht="15" customFormat="1" customHeight="1" s="14">
      <c r="A636" s="19" t="inlineStr">
        <is>
          <t>Jacartta</t>
        </is>
      </c>
      <c r="B636" s="19" t="inlineStr">
        <is>
          <t>Pote de Vidro Tampa Bambu Hermético 300ml Organizador Cozinha Mantimentos Temperos Grãos Cereais</t>
        </is>
      </c>
      <c r="C636" s="19" t="inlineStr">
        <is>
          <t>4 Unidades</t>
        </is>
      </c>
      <c r="D636" s="19" t="inlineStr">
        <is>
          <t>4Potes 300ml</t>
        </is>
      </c>
      <c r="E636" s="19" t="inlineStr">
        <is>
          <t>47414484836</t>
        </is>
      </c>
      <c r="F636" s="19" t="inlineStr">
        <is>
          <t>446245250249</t>
        </is>
      </c>
      <c r="G636" s="19" t="inlineStr">
        <is>
          <t>NORMAL</t>
        </is>
      </c>
      <c r="H636" s="20" t="n">
        <v>109.9</v>
      </c>
      <c r="I636" s="20" t="n">
        <v>39.9</v>
      </c>
      <c r="J636" s="21" t="inlineStr">
        <is>
          <t>SIM</t>
        </is>
      </c>
      <c r="K636" s="20" t="n">
        <v>39.9</v>
      </c>
      <c r="L636" s="35">
        <f>IF(K636&lt;&gt;"",K636,I636)</f>
        <v/>
      </c>
      <c r="M636" s="81" t="n">
        <v>4</v>
      </c>
      <c r="N636" s="82" t="n">
        <v>2.5</v>
      </c>
      <c r="O636" s="80">
        <f>ROUND(M636*N636,2)</f>
        <v/>
      </c>
      <c r="P636" s="80">
        <f>IF($O636="","",L636-O636-(L636*IF(L636&lt;=79.99,20%,14%)+IF(L636&lt;=79.99,4,IF(L636&lt;=99.99,16,IF(L636&lt;=199.99,20,IF(L636&lt;=499.99,26,28)))))-L636*1.3%-L636*6%-(L636-O636)*9.25%-L636*3%-L636*3%-1)</f>
        <v/>
      </c>
      <c r="Q636" s="22">
        <f>IF(AND(K636&lt;&gt;"",H636&gt;0),(H636-K636)/H636,"")</f>
        <v/>
      </c>
      <c r="R636" s="19" t="inlineStr">
        <is>
          <t>478386871025791</t>
        </is>
      </c>
      <c r="S636" s="23" t="n">
        <v>46209.64583333334</v>
      </c>
      <c r="T636" s="23" t="n">
        <v>46326.99930555555</v>
      </c>
      <c r="U636" s="19" t="inlineStr">
        <is>
          <t>101220</t>
        </is>
      </c>
      <c r="V636" t="inlineStr">
        <is>
          <t>214798</t>
        </is>
      </c>
      <c r="W636" t="inlineStr">
        <is>
          <t>venda casada (2 pedidos) · custo do KIT 214814 (4× 214798)</t>
        </is>
      </c>
      <c r="X636" t="n">
        <v>2</v>
      </c>
      <c r="Y636" t="inlineStr">
        <is>
          <t>ok</t>
        </is>
      </c>
    </row>
    <row r="637" ht="15" customFormat="1" customHeight="1" s="19">
      <c r="A637" s="14" t="inlineStr">
        <is>
          <t>Jacartta</t>
        </is>
      </c>
      <c r="B637" s="14" t="inlineStr">
        <is>
          <t>Pote de Vidro Tampa Bambu Hermético 300ml Organizador Cozinha Mantimentos Temperos Grãos Cereais</t>
        </is>
      </c>
      <c r="C637" s="14" t="inlineStr">
        <is>
          <t>6 Unidades</t>
        </is>
      </c>
      <c r="D637" s="14" t="inlineStr">
        <is>
          <t>6 Potes 300ml</t>
        </is>
      </c>
      <c r="E637" s="14" t="inlineStr">
        <is>
          <t>47414484836</t>
        </is>
      </c>
      <c r="F637" s="14" t="inlineStr">
        <is>
          <t>446245250250</t>
        </is>
      </c>
      <c r="G637" s="14" t="inlineStr">
        <is>
          <t>NORMAL</t>
        </is>
      </c>
      <c r="H637" s="15" t="n">
        <v>119.9</v>
      </c>
      <c r="I637" s="15" t="n">
        <v>48.89</v>
      </c>
      <c r="J637" s="16" t="inlineStr">
        <is>
          <t>SIM</t>
        </is>
      </c>
      <c r="K637" s="15" t="n">
        <v>48.89</v>
      </c>
      <c r="L637" s="35">
        <f>IF(K637&lt;&gt;"",K637,I637)</f>
        <v/>
      </c>
      <c r="M637" s="84" t="n">
        <v>6</v>
      </c>
      <c r="N637" s="85" t="n">
        <v>2.5</v>
      </c>
      <c r="O637" s="80">
        <f>ROUND(M637*N637,2)</f>
        <v/>
      </c>
      <c r="P637" s="80">
        <f>IF($O637="","",L637-O637-(L637*IF(L637&lt;=79.99,20%,14%)+IF(L637&lt;=79.99,4,IF(L637&lt;=99.99,16,IF(L637&lt;=199.99,20,IF(L637&lt;=499.99,26,28)))))-L637*1.3%-L637*6%-(L637-O637)*9.25%-L637*3%-L637*3%-1)</f>
        <v/>
      </c>
      <c r="Q637" s="17">
        <f>IF(AND(K637&lt;&gt;"",H637&gt;0),(H637-K637)/H637,"")</f>
        <v/>
      </c>
      <c r="R637" s="14" t="inlineStr">
        <is>
          <t>478386871025791</t>
        </is>
      </c>
      <c r="S637" s="18" t="n">
        <v>46209.64583333334</v>
      </c>
      <c r="T637" s="18" t="n">
        <v>46326.99930555555</v>
      </c>
      <c r="U637" s="14" t="inlineStr">
        <is>
          <t>101220</t>
        </is>
      </c>
      <c r="V637" t="inlineStr">
        <is>
          <t>214798</t>
        </is>
      </c>
      <c r="W637" t="inlineStr">
        <is>
          <t>venda casada (3 pedidos) · custo do KIT 214815 (6× 214798)</t>
        </is>
      </c>
      <c r="X637" t="n">
        <v>3</v>
      </c>
      <c r="Y637" t="inlineStr">
        <is>
          <t>ok</t>
        </is>
      </c>
    </row>
    <row r="638" ht="15" customFormat="1" customHeight="1" s="14">
      <c r="A638" s="19" t="inlineStr">
        <is>
          <t>Jacartta</t>
        </is>
      </c>
      <c r="B638" s="19" t="inlineStr">
        <is>
          <t>Pote de Vidro Tampa Bambu Hermético 300ml Organizador Cozinha Mantimentos Temperos Grãos Cereais</t>
        </is>
      </c>
      <c r="C638" s="19" t="inlineStr">
        <is>
          <t>8 Unidades</t>
        </is>
      </c>
      <c r="D638" s="19" t="inlineStr">
        <is>
          <t>8 Potes 300ml</t>
        </is>
      </c>
      <c r="E638" s="19" t="inlineStr">
        <is>
          <t>47414484836</t>
        </is>
      </c>
      <c r="F638" s="19" t="inlineStr">
        <is>
          <t>446245250251</t>
        </is>
      </c>
      <c r="G638" s="19" t="inlineStr">
        <is>
          <t>NORMAL</t>
        </is>
      </c>
      <c r="H638" s="20" t="n">
        <v>149.9</v>
      </c>
      <c r="I638" s="20" t="n">
        <v>75.90000000000001</v>
      </c>
      <c r="J638" s="21" t="inlineStr">
        <is>
          <t>SIM</t>
        </is>
      </c>
      <c r="K638" s="20" t="n">
        <v>75.90000000000001</v>
      </c>
      <c r="L638" s="35">
        <f>IF(K638&lt;&gt;"",K638,I638)</f>
        <v/>
      </c>
      <c r="M638" s="81" t="n">
        <v>8</v>
      </c>
      <c r="N638" s="82" t="n">
        <v>2.5</v>
      </c>
      <c r="O638" s="80">
        <f>ROUND(M638*N638,2)</f>
        <v/>
      </c>
      <c r="P638" s="80">
        <f>IF($O638="","",L638-O638-(L638*IF(L638&lt;=79.99,20%,14%)+IF(L638&lt;=79.99,4,IF(L638&lt;=99.99,16,IF(L638&lt;=199.99,20,IF(L638&lt;=499.99,26,28)))))-L638*1.3%-L638*6%-(L638-O638)*9.25%-L638*3%-L638*3%-1)</f>
        <v/>
      </c>
      <c r="Q638" s="22">
        <f>IF(AND(K638&lt;&gt;"",H638&gt;0),(H638-K638)/H638,"")</f>
        <v/>
      </c>
      <c r="R638" s="19" t="inlineStr">
        <is>
          <t>478386871025791</t>
        </is>
      </c>
      <c r="S638" s="23" t="n">
        <v>46209.64583333334</v>
      </c>
      <c r="T638" s="23" t="n">
        <v>46326.99930555555</v>
      </c>
      <c r="U638" s="19" t="inlineStr">
        <is>
          <t>101220</t>
        </is>
      </c>
      <c r="V638" t="inlineStr">
        <is>
          <t>214798</t>
        </is>
      </c>
      <c r="W638" t="inlineStr">
        <is>
          <t>venda casada (1 pedido) · custo do KIT 214848 (8× 214798)</t>
        </is>
      </c>
      <c r="X638" t="n">
        <v>1</v>
      </c>
      <c r="Y638" t="inlineStr">
        <is>
          <t>⚠ evidência fraca (1 pedido)</t>
        </is>
      </c>
    </row>
    <row r="639" ht="15" customFormat="1" customHeight="1" s="19">
      <c r="A639" s="14" t="inlineStr">
        <is>
          <t>Jacartta</t>
        </is>
      </c>
      <c r="B639" s="14" t="inlineStr">
        <is>
          <t>Pote de Vidro Tampa Bambu Hermético 550ml Organizador Cozinha Mantimentos Temperos Grãos Cereais</t>
        </is>
      </c>
      <c r="C639" s="14" t="inlineStr">
        <is>
          <t>10 Unidades</t>
        </is>
      </c>
      <c r="D639" s="14" t="inlineStr">
        <is>
          <t>10 potes 500ml</t>
        </is>
      </c>
      <c r="E639" s="14" t="inlineStr">
        <is>
          <t>42082820083</t>
        </is>
      </c>
      <c r="F639" s="14" t="inlineStr">
        <is>
          <t>381245204618</t>
        </is>
      </c>
      <c r="G639" s="14" t="inlineStr">
        <is>
          <t>NORMAL</t>
        </is>
      </c>
      <c r="H639" s="15" t="n">
        <v>239.9</v>
      </c>
      <c r="I639" s="15" t="n">
        <v>123.9</v>
      </c>
      <c r="J639" s="16" t="inlineStr">
        <is>
          <t>SIM</t>
        </is>
      </c>
      <c r="K639" s="15" t="n">
        <v>123.9</v>
      </c>
      <c r="L639" s="35">
        <f>IF(K639&lt;&gt;"",K639,I639)</f>
        <v/>
      </c>
      <c r="M639" s="84" t="n">
        <v>10</v>
      </c>
      <c r="N639" s="85" t="n">
        <v>3.26</v>
      </c>
      <c r="O639" s="80">
        <f>ROUND(M639*N639,2)</f>
        <v/>
      </c>
      <c r="P639" s="80">
        <f>IF($O639="","",L639-O639-(L639*IF(L639&lt;=79.99,20%,14%)+IF(L639&lt;=79.99,4,IF(L639&lt;=99.99,16,IF(L639&lt;=199.99,20,IF(L639&lt;=499.99,26,28)))))-L639*1.3%-L639*6%-(L639-O639)*9.25%-L639*3%-L639*3%-1)</f>
        <v/>
      </c>
      <c r="Q639" s="17">
        <f>IF(AND(K639&lt;&gt;"",H639&gt;0),(H639-K639)/H639,"")</f>
        <v/>
      </c>
      <c r="R639" s="14" t="inlineStr">
        <is>
          <t>478386871025791</t>
        </is>
      </c>
      <c r="S639" s="18" t="n">
        <v>46209.64583333334</v>
      </c>
      <c r="T639" s="18" t="n">
        <v>46326.99930555555</v>
      </c>
      <c r="U639" s="14" t="inlineStr">
        <is>
          <t>101220</t>
        </is>
      </c>
      <c r="V639" t="inlineStr">
        <is>
          <t>214802</t>
        </is>
      </c>
      <c r="W639" t="inlineStr">
        <is>
          <t>herdado do anúncio (escalado 6→10 un) · custo do KIT 214860 (10× 214802)</t>
        </is>
      </c>
      <c r="Y639" t="inlineStr">
        <is>
          <t>ok</t>
        </is>
      </c>
    </row>
    <row r="640" ht="15" customFormat="1" customHeight="1" s="14">
      <c r="A640" s="19" t="inlineStr">
        <is>
          <t>Jacartta</t>
        </is>
      </c>
      <c r="B640" s="19" t="inlineStr">
        <is>
          <t>Pote de Vidro Tampa Bambu Hermético 550ml Organizador Cozinha Mantimentos Temperos Grãos Cereais</t>
        </is>
      </c>
      <c r="C640" s="19" t="inlineStr">
        <is>
          <t>4 Unidades</t>
        </is>
      </c>
      <c r="D640" s="19" t="inlineStr">
        <is>
          <t>4 potes 500ml</t>
        </is>
      </c>
      <c r="E640" s="19" t="inlineStr">
        <is>
          <t>42082820083</t>
        </is>
      </c>
      <c r="F640" s="19" t="inlineStr">
        <is>
          <t>381245204615</t>
        </is>
      </c>
      <c r="G640" s="19" t="inlineStr">
        <is>
          <t>NORMAL</t>
        </is>
      </c>
      <c r="H640" s="20" t="n">
        <v>129.9</v>
      </c>
      <c r="I640" s="20" t="n">
        <v>59.9</v>
      </c>
      <c r="J640" s="21" t="inlineStr">
        <is>
          <t>SIM</t>
        </is>
      </c>
      <c r="K640" s="20" t="n">
        <v>59.9</v>
      </c>
      <c r="L640" s="35">
        <f>IF(K640&lt;&gt;"",K640,I640)</f>
        <v/>
      </c>
      <c r="M640" s="81" t="n">
        <v>4</v>
      </c>
      <c r="N640" s="82" t="n">
        <v>3.26</v>
      </c>
      <c r="O640" s="80">
        <f>ROUND(M640*N640,2)</f>
        <v/>
      </c>
      <c r="P640" s="80">
        <f>IF($O640="","",L640-O640-(L640*IF(L640&lt;=79.99,20%,14%)+IF(L640&lt;=79.99,4,IF(L640&lt;=99.99,16,IF(L640&lt;=199.99,20,IF(L640&lt;=499.99,26,28)))))-L640*1.3%-L640*6%-(L640-O640)*9.25%-L640*3%-L640*3%-1)</f>
        <v/>
      </c>
      <c r="Q640" s="22">
        <f>IF(AND(K640&lt;&gt;"",H640&gt;0),(H640-K640)/H640,"")</f>
        <v/>
      </c>
      <c r="R640" s="19" t="inlineStr">
        <is>
          <t>478386871025791</t>
        </is>
      </c>
      <c r="S640" s="23" t="n">
        <v>46209.64583333334</v>
      </c>
      <c r="T640" s="23" t="n">
        <v>46326.99930555555</v>
      </c>
      <c r="U640" s="19" t="inlineStr">
        <is>
          <t>101220</t>
        </is>
      </c>
      <c r="V640" t="inlineStr">
        <is>
          <t>214802</t>
        </is>
      </c>
      <c r="W640" t="inlineStr">
        <is>
          <t>herdado do anúncio (escalado 6→4 un) · custo do KIT 214838 (4× 214802)</t>
        </is>
      </c>
      <c r="Y640" t="inlineStr">
        <is>
          <t>ok</t>
        </is>
      </c>
    </row>
    <row r="641" ht="15" customFormat="1" customHeight="1" s="19">
      <c r="A641" s="14" t="inlineStr">
        <is>
          <t>Jacartta</t>
        </is>
      </c>
      <c r="B641" s="14" t="inlineStr">
        <is>
          <t>Pote de Vidro Tampa Bambu Hermético 550ml Organizador Cozinha Mantimentos Temperos Grãos Cereais</t>
        </is>
      </c>
      <c r="C641" s="14" t="inlineStr">
        <is>
          <t>6 Unidades</t>
        </is>
      </c>
      <c r="D641" s="14" t="inlineStr">
        <is>
          <t>6 potes 500ml</t>
        </is>
      </c>
      <c r="E641" s="14" t="inlineStr">
        <is>
          <t>42082820083</t>
        </is>
      </c>
      <c r="F641" s="14" t="inlineStr">
        <is>
          <t>381245204616</t>
        </is>
      </c>
      <c r="G641" s="14" t="inlineStr">
        <is>
          <t>NORMAL</t>
        </is>
      </c>
      <c r="H641" s="15" t="n">
        <v>159.9</v>
      </c>
      <c r="I641" s="15" t="n">
        <v>80.90000000000001</v>
      </c>
      <c r="J641" s="16" t="inlineStr">
        <is>
          <t>SIM</t>
        </is>
      </c>
      <c r="K641" s="15" t="n">
        <v>80.90000000000001</v>
      </c>
      <c r="L641" s="35">
        <f>IF(K641&lt;&gt;"",K641,I641)</f>
        <v/>
      </c>
      <c r="M641" s="84" t="n">
        <v>6</v>
      </c>
      <c r="N641" s="85" t="n">
        <v>3.26</v>
      </c>
      <c r="O641" s="80">
        <f>ROUND(M641*N641,2)</f>
        <v/>
      </c>
      <c r="P641" s="80">
        <f>IF($O641="","",L641-O641-(L641*IF(L641&lt;=79.99,20%,14%)+IF(L641&lt;=79.99,4,IF(L641&lt;=99.99,16,IF(L641&lt;=199.99,20,IF(L641&lt;=499.99,26,28)))))-L641*1.3%-L641*6%-(L641-O641)*9.25%-L641*3%-L641*3%-1)</f>
        <v/>
      </c>
      <c r="Q641" s="17">
        <f>IF(AND(K641&lt;&gt;"",H641&gt;0),(H641-K641)/H641,"")</f>
        <v/>
      </c>
      <c r="R641" s="14" t="inlineStr">
        <is>
          <t>478386871025791</t>
        </is>
      </c>
      <c r="S641" s="18" t="n">
        <v>46209.64583333334</v>
      </c>
      <c r="T641" s="18" t="n">
        <v>46326.99930555555</v>
      </c>
      <c r="U641" s="14" t="inlineStr">
        <is>
          <t>101220</t>
        </is>
      </c>
      <c r="V641" t="inlineStr">
        <is>
          <t>214802</t>
        </is>
      </c>
      <c r="W641" t="inlineStr">
        <is>
          <t>venda casada (1 pedido) · custo do KIT 214839 (6× 214802)</t>
        </is>
      </c>
      <c r="X641" t="n">
        <v>1</v>
      </c>
      <c r="Y641" t="inlineStr">
        <is>
          <t>⚠ evidência fraca (1 pedido)</t>
        </is>
      </c>
    </row>
    <row r="642" ht="15" customFormat="1" customHeight="1" s="14">
      <c r="A642" s="19" t="inlineStr">
        <is>
          <t>Jacartta</t>
        </is>
      </c>
      <c r="B642" s="19" t="inlineStr">
        <is>
          <t>Pote de Vidro Tampa Bambu Hermético 550ml Organizador Cozinha Mantimentos Temperos Grãos Cereais</t>
        </is>
      </c>
      <c r="C642" s="19" t="inlineStr">
        <is>
          <t>8 Unidades</t>
        </is>
      </c>
      <c r="D642" s="19" t="inlineStr">
        <is>
          <t>8 potes 500ml</t>
        </is>
      </c>
      <c r="E642" s="19" t="inlineStr">
        <is>
          <t>42082820083</t>
        </is>
      </c>
      <c r="F642" s="19" t="inlineStr">
        <is>
          <t>381245204617</t>
        </is>
      </c>
      <c r="G642" s="19" t="inlineStr">
        <is>
          <t>NORMAL</t>
        </is>
      </c>
      <c r="H642" s="20" t="n">
        <v>209.9</v>
      </c>
      <c r="I642" s="20" t="n">
        <v>102.9</v>
      </c>
      <c r="J642" s="21" t="inlineStr">
        <is>
          <t>SIM</t>
        </is>
      </c>
      <c r="K642" s="20" t="n">
        <v>102.9</v>
      </c>
      <c r="L642" s="35">
        <f>IF(K642&lt;&gt;"",K642,I642)</f>
        <v/>
      </c>
      <c r="M642" s="81" t="n">
        <v>8</v>
      </c>
      <c r="N642" s="82" t="n">
        <v>3.26</v>
      </c>
      <c r="O642" s="80">
        <f>ROUND(M642*N642,2)</f>
        <v/>
      </c>
      <c r="P642" s="80">
        <f>IF($O642="","",L642-O642-(L642*IF(L642&lt;=79.99,20%,14%)+IF(L642&lt;=79.99,4,IF(L642&lt;=99.99,16,IF(L642&lt;=199.99,20,IF(L642&lt;=499.99,26,28)))))-L642*1.3%-L642*6%-(L642-O642)*9.25%-L642*3%-L642*3%-1)</f>
        <v/>
      </c>
      <c r="Q642" s="22">
        <f>IF(AND(K642&lt;&gt;"",H642&gt;0),(H642-K642)/H642,"")</f>
        <v/>
      </c>
      <c r="R642" s="19" t="inlineStr">
        <is>
          <t>478386871025791</t>
        </is>
      </c>
      <c r="S642" s="23" t="n">
        <v>46209.64583333334</v>
      </c>
      <c r="T642" s="23" t="n">
        <v>46326.99930555555</v>
      </c>
      <c r="U642" s="19" t="inlineStr">
        <is>
          <t>101220</t>
        </is>
      </c>
      <c r="V642" t="inlineStr">
        <is>
          <t>214802</t>
        </is>
      </c>
      <c r="W642" t="inlineStr">
        <is>
          <t>herdado do anúncio (escalado 6→8 un) · custo do KIT 214852 (8× 214802)</t>
        </is>
      </c>
      <c r="Y642" t="inlineStr">
        <is>
          <t>ok</t>
        </is>
      </c>
    </row>
    <row r="643" ht="15" customFormat="1" customHeight="1" s="19">
      <c r="A643" s="14" t="inlineStr">
        <is>
          <t>Jacartta</t>
        </is>
      </c>
      <c r="B643" s="14" t="inlineStr">
        <is>
          <t>Pote de Vidro Tampa Bambu Hermético Porta Mantimentos Temperos Cereais Grãos Massas</t>
        </is>
      </c>
      <c r="C643" s="14" t="inlineStr">
        <is>
          <t>10 Unidades,200ml</t>
        </is>
      </c>
      <c r="D643" s="14" t="inlineStr">
        <is>
          <t>10 potes 200ml</t>
        </is>
      </c>
      <c r="E643" s="14" t="inlineStr">
        <is>
          <t>53514478967</t>
        </is>
      </c>
      <c r="F643" s="14" t="inlineStr">
        <is>
          <t>267805842366</t>
        </is>
      </c>
      <c r="G643" s="14" t="inlineStr">
        <is>
          <t>NORMAL</t>
        </is>
      </c>
      <c r="H643" s="15" t="n">
        <v>159.9</v>
      </c>
      <c r="I643" s="15" t="n">
        <v>159.9</v>
      </c>
      <c r="J643" s="16" t="inlineStr">
        <is>
          <t>NÃO</t>
        </is>
      </c>
      <c r="K643" s="15" t="n"/>
      <c r="L643" s="35">
        <f>IF(K643&lt;&gt;"",K643,I643)</f>
        <v/>
      </c>
      <c r="M643" s="84" t="n">
        <v>10</v>
      </c>
      <c r="N643" s="85" t="n">
        <v>2.13</v>
      </c>
      <c r="O643" s="80">
        <f>ROUND(M643*N643,2)</f>
        <v/>
      </c>
      <c r="P643" s="80">
        <f>IF($O643="","",L643-O643-(L643*IF(L643&lt;=79.99,20%,14%)+IF(L643&lt;=79.99,4,IF(L643&lt;=99.99,16,IF(L643&lt;=199.99,20,IF(L643&lt;=499.99,26,28)))))-L643*1.3%-L643*6%-(L643-O643)*9.25%-L643*3%-L643*3%-1)</f>
        <v/>
      </c>
      <c r="Q643" s="17">
        <f>IF(AND(K643&lt;&gt;"",H643&gt;0),(H643-K643)/H643,"")</f>
        <v/>
      </c>
      <c r="R643" s="14" t="inlineStr"/>
      <c r="S643" s="18" t="n"/>
      <c r="T643" s="18" t="n"/>
      <c r="U643" s="14" t="inlineStr">
        <is>
          <t>101220</t>
        </is>
      </c>
      <c r="V643" t="inlineStr">
        <is>
          <t>214797</t>
        </is>
      </c>
      <c r="W643" t="inlineStr">
        <is>
          <t>SKU do de-para · custo do KIT 214855 (10× 214797)</t>
        </is>
      </c>
      <c r="X643" t="n">
        <v>2</v>
      </c>
      <c r="Y643" t="inlineStr">
        <is>
          <t>ok</t>
        </is>
      </c>
    </row>
    <row r="644" ht="15" customFormat="1" customHeight="1" s="14">
      <c r="A644" s="19" t="inlineStr">
        <is>
          <t>Jacartta</t>
        </is>
      </c>
      <c r="B644" s="19" t="inlineStr">
        <is>
          <t>Pote de Vidro Tampa Bambu Hermético Porta Mantimentos Temperos Cereais Grãos Massas</t>
        </is>
      </c>
      <c r="C644" s="19" t="inlineStr">
        <is>
          <t>10 Unidades,300ml</t>
        </is>
      </c>
      <c r="D644" s="19" t="inlineStr">
        <is>
          <t>10 potes 300ml</t>
        </is>
      </c>
      <c r="E644" s="19" t="inlineStr">
        <is>
          <t>53514478967</t>
        </is>
      </c>
      <c r="F644" s="19" t="inlineStr">
        <is>
          <t>267805842367</t>
        </is>
      </c>
      <c r="G644" s="19" t="inlineStr">
        <is>
          <t>NORMAL</t>
        </is>
      </c>
      <c r="H644" s="20" t="n">
        <v>169.9</v>
      </c>
      <c r="I644" s="20" t="n">
        <v>169.9</v>
      </c>
      <c r="J644" s="21" t="inlineStr">
        <is>
          <t>NÃO</t>
        </is>
      </c>
      <c r="K644" s="20" t="n"/>
      <c r="L644" s="35">
        <f>IF(K644&lt;&gt;"",K644,I644)</f>
        <v/>
      </c>
      <c r="M644" s="32" t="n"/>
      <c r="N644" s="30" t="n"/>
      <c r="O644" s="31" t="n"/>
      <c r="P644" s="80">
        <f>IF($O644="","",L644-O644-(L644*IF(L644&lt;=79.99,20%,14%)+IF(L644&lt;=79.99,4,IF(L644&lt;=99.99,16,IF(L644&lt;=199.99,20,IF(L644&lt;=499.99,26,28)))))-L644*1.3%-L644*6%-(L644-O644)*9.25%-L644*3%-L644*3%-1)</f>
        <v/>
      </c>
      <c r="Q644" s="22">
        <f>IF(AND(K644&lt;&gt;"",H644&gt;0),(H644-K644)/H644,"")</f>
        <v/>
      </c>
      <c r="R644" s="19" t="inlineStr"/>
      <c r="S644" s="23" t="n"/>
      <c r="T644" s="23" t="n"/>
      <c r="U644" s="19" t="inlineStr">
        <is>
          <t>101220</t>
        </is>
      </c>
      <c r="W644" t="inlineStr">
        <is>
          <t>sem correspondência</t>
        </is>
      </c>
      <c r="Y644" t="inlineStr"/>
    </row>
    <row r="645" ht="15" customFormat="1" customHeight="1" s="19">
      <c r="A645" s="14" t="inlineStr">
        <is>
          <t>Jacartta</t>
        </is>
      </c>
      <c r="B645" s="14" t="inlineStr">
        <is>
          <t>Pote de Vidro Tampa Bambu Hermético Porta Mantimentos Temperos Cereais Grãos Massas</t>
        </is>
      </c>
      <c r="C645" s="14" t="inlineStr">
        <is>
          <t>10 Unidades,550ml</t>
        </is>
      </c>
      <c r="D645" s="14" t="inlineStr">
        <is>
          <t>10 potes 550ml</t>
        </is>
      </c>
      <c r="E645" s="14" t="inlineStr">
        <is>
          <t>53514478967</t>
        </is>
      </c>
      <c r="F645" s="14" t="inlineStr">
        <is>
          <t>267805842368</t>
        </is>
      </c>
      <c r="G645" s="14" t="inlineStr">
        <is>
          <t>NORMAL</t>
        </is>
      </c>
      <c r="H645" s="15" t="n">
        <v>249.9</v>
      </c>
      <c r="I645" s="15" t="n">
        <v>249.9</v>
      </c>
      <c r="J645" s="16" t="inlineStr">
        <is>
          <t>NÃO</t>
        </is>
      </c>
      <c r="K645" s="15" t="n"/>
      <c r="L645" s="35">
        <f>IF(K645&lt;&gt;"",K645,I645)</f>
        <v/>
      </c>
      <c r="M645" s="33" t="n"/>
      <c r="N645" s="28" t="n"/>
      <c r="O645" s="29" t="n"/>
      <c r="P645" s="80">
        <f>IF($O645="","",L645-O645-(L645*IF(L645&lt;=79.99,20%,14%)+IF(L645&lt;=79.99,4,IF(L645&lt;=99.99,16,IF(L645&lt;=199.99,20,IF(L645&lt;=499.99,26,28)))))-L645*1.3%-L645*6%-(L645-O645)*9.25%-L645*3%-L645*3%-1)</f>
        <v/>
      </c>
      <c r="Q645" s="17">
        <f>IF(AND(K645&lt;&gt;"",H645&gt;0),(H645-K645)/H645,"")</f>
        <v/>
      </c>
      <c r="R645" s="14" t="inlineStr"/>
      <c r="S645" s="18" t="n"/>
      <c r="T645" s="18" t="n"/>
      <c r="U645" s="14" t="inlineStr">
        <is>
          <t>101220</t>
        </is>
      </c>
      <c r="W645" t="inlineStr">
        <is>
          <t>sem correspondência</t>
        </is>
      </c>
      <c r="Y645" t="inlineStr"/>
    </row>
    <row r="646" ht="15" customFormat="1" customHeight="1" s="14">
      <c r="A646" s="19" t="inlineStr">
        <is>
          <t>Jacartta</t>
        </is>
      </c>
      <c r="B646" s="19" t="inlineStr">
        <is>
          <t>Pote de Vidro Tampa Bambu Hermético Porta Mantimentos Temperos Cereais Grãos Massas</t>
        </is>
      </c>
      <c r="C646" s="19" t="inlineStr">
        <is>
          <t>4 Unidades,200ml</t>
        </is>
      </c>
      <c r="D646" s="19" t="inlineStr">
        <is>
          <t>4 potes 200ml</t>
        </is>
      </c>
      <c r="E646" s="19" t="inlineStr">
        <is>
          <t>53514478967</t>
        </is>
      </c>
      <c r="F646" s="19" t="inlineStr">
        <is>
          <t>267805842357</t>
        </is>
      </c>
      <c r="G646" s="19" t="inlineStr">
        <is>
          <t>NORMAL</t>
        </is>
      </c>
      <c r="H646" s="20" t="n">
        <v>89.90000000000001</v>
      </c>
      <c r="I646" s="20" t="n">
        <v>89.90000000000001</v>
      </c>
      <c r="J646" s="21" t="inlineStr">
        <is>
          <t>NÃO</t>
        </is>
      </c>
      <c r="K646" s="20" t="n"/>
      <c r="L646" s="35">
        <f>IF(K646&lt;&gt;"",K646,I646)</f>
        <v/>
      </c>
      <c r="M646" s="32" t="n"/>
      <c r="N646" s="30" t="n"/>
      <c r="O646" s="31" t="n"/>
      <c r="P646" s="80">
        <f>IF($O646="","",L646-O646-(L646*IF(L646&lt;=79.99,20%,14%)+IF(L646&lt;=79.99,4,IF(L646&lt;=99.99,16,IF(L646&lt;=199.99,20,IF(L646&lt;=499.99,26,28)))))-L646*1.3%-L646*6%-(L646-O646)*9.25%-L646*3%-L646*3%-1)</f>
        <v/>
      </c>
      <c r="Q646" s="22">
        <f>IF(AND(K646&lt;&gt;"",H646&gt;0),(H646-K646)/H646,"")</f>
        <v/>
      </c>
      <c r="R646" s="19" t="inlineStr"/>
      <c r="S646" s="23" t="n"/>
      <c r="T646" s="23" t="n"/>
      <c r="U646" s="19" t="inlineStr">
        <is>
          <t>101220</t>
        </is>
      </c>
      <c r="W646" t="inlineStr">
        <is>
          <t>sem correspondência</t>
        </is>
      </c>
      <c r="Y646" t="inlineStr"/>
    </row>
    <row r="647" ht="15" customFormat="1" customHeight="1" s="19">
      <c r="A647" s="14" t="inlineStr">
        <is>
          <t>Jacartta</t>
        </is>
      </c>
      <c r="B647" s="14" t="inlineStr">
        <is>
          <t>Pote de Vidro Tampa Bambu Hermético Porta Mantimentos Temperos Cereais Grãos Massas</t>
        </is>
      </c>
      <c r="C647" s="14" t="inlineStr">
        <is>
          <t>4 Unidades,300ml</t>
        </is>
      </c>
      <c r="D647" s="14" t="inlineStr">
        <is>
          <t>4 potes 300ml</t>
        </is>
      </c>
      <c r="E647" s="14" t="inlineStr">
        <is>
          <t>53514478967</t>
        </is>
      </c>
      <c r="F647" s="14" t="inlineStr">
        <is>
          <t>267805842358</t>
        </is>
      </c>
      <c r="G647" s="14" t="inlineStr">
        <is>
          <t>NORMAL</t>
        </is>
      </c>
      <c r="H647" s="15" t="n">
        <v>99.90000000000001</v>
      </c>
      <c r="I647" s="15" t="n">
        <v>99.90000000000001</v>
      </c>
      <c r="J647" s="16" t="inlineStr">
        <is>
          <t>NÃO</t>
        </is>
      </c>
      <c r="K647" s="15" t="n"/>
      <c r="L647" s="35">
        <f>IF(K647&lt;&gt;"",K647,I647)</f>
        <v/>
      </c>
      <c r="M647" s="33" t="n"/>
      <c r="N647" s="28" t="n"/>
      <c r="O647" s="29" t="n"/>
      <c r="P647" s="80">
        <f>IF($O647="","",L647-O647-(L647*IF(L647&lt;=79.99,20%,14%)+IF(L647&lt;=79.99,4,IF(L647&lt;=99.99,16,IF(L647&lt;=199.99,20,IF(L647&lt;=499.99,26,28)))))-L647*1.3%-L647*6%-(L647-O647)*9.25%-L647*3%-L647*3%-1)</f>
        <v/>
      </c>
      <c r="Q647" s="17">
        <f>IF(AND(K647&lt;&gt;"",H647&gt;0),(H647-K647)/H647,"")</f>
        <v/>
      </c>
      <c r="R647" s="14" t="inlineStr"/>
      <c r="S647" s="18" t="n"/>
      <c r="T647" s="18" t="n"/>
      <c r="U647" s="14" t="inlineStr">
        <is>
          <t>101220</t>
        </is>
      </c>
      <c r="W647" t="inlineStr">
        <is>
          <t>sem correspondência</t>
        </is>
      </c>
      <c r="Y647" t="inlineStr"/>
    </row>
    <row r="648" ht="15" customFormat="1" customHeight="1" s="14">
      <c r="A648" s="19" t="inlineStr">
        <is>
          <t>Jacartta</t>
        </is>
      </c>
      <c r="B648" s="19" t="inlineStr">
        <is>
          <t>Pote de Vidro Tampa Bambu Hermético Porta Mantimentos Temperos Cereais Grãos Massas</t>
        </is>
      </c>
      <c r="C648" s="19" t="inlineStr">
        <is>
          <t>4 Unidades,550ml</t>
        </is>
      </c>
      <c r="D648" s="19" t="inlineStr">
        <is>
          <t>4 potes 550ml</t>
        </is>
      </c>
      <c r="E648" s="19" t="inlineStr">
        <is>
          <t>53514478967</t>
        </is>
      </c>
      <c r="F648" s="19" t="inlineStr">
        <is>
          <t>267805842359</t>
        </is>
      </c>
      <c r="G648" s="19" t="inlineStr">
        <is>
          <t>NORMAL</t>
        </is>
      </c>
      <c r="H648" s="20" t="n">
        <v>109.9</v>
      </c>
      <c r="I648" s="20" t="n">
        <v>109.9</v>
      </c>
      <c r="J648" s="21" t="inlineStr">
        <is>
          <t>NÃO</t>
        </is>
      </c>
      <c r="K648" s="20" t="n"/>
      <c r="L648" s="35">
        <f>IF(K648&lt;&gt;"",K648,I648)</f>
        <v/>
      </c>
      <c r="M648" s="32" t="n"/>
      <c r="N648" s="30" t="n"/>
      <c r="O648" s="31" t="n"/>
      <c r="P648" s="80">
        <f>IF($O648="","",L648-O648-(L648*IF(L648&lt;=79.99,20%,14%)+IF(L648&lt;=79.99,4,IF(L648&lt;=99.99,16,IF(L648&lt;=199.99,20,IF(L648&lt;=499.99,26,28)))))-L648*1.3%-L648*6%-(L648-O648)*9.25%-L648*3%-L648*3%-1)</f>
        <v/>
      </c>
      <c r="Q648" s="22">
        <f>IF(AND(K648&lt;&gt;"",H648&gt;0),(H648-K648)/H648,"")</f>
        <v/>
      </c>
      <c r="R648" s="19" t="inlineStr"/>
      <c r="S648" s="23" t="n"/>
      <c r="T648" s="23" t="n"/>
      <c r="U648" s="19" t="inlineStr">
        <is>
          <t>101220</t>
        </is>
      </c>
      <c r="W648" t="inlineStr">
        <is>
          <t>sem correspondência</t>
        </is>
      </c>
      <c r="Y648" t="inlineStr"/>
    </row>
    <row r="649" ht="15" customFormat="1" customHeight="1" s="19">
      <c r="A649" s="14" t="inlineStr">
        <is>
          <t>Jacartta</t>
        </is>
      </c>
      <c r="B649" s="14" t="inlineStr">
        <is>
          <t>Pote de Vidro Tampa Bambu Hermético Porta Mantimentos Temperos Cereais Grãos Massas</t>
        </is>
      </c>
      <c r="C649" s="14" t="inlineStr">
        <is>
          <t>6 Unidades,200ml</t>
        </is>
      </c>
      <c r="D649" s="14" t="inlineStr">
        <is>
          <t>6 potes 200ml</t>
        </is>
      </c>
      <c r="E649" s="14" t="inlineStr">
        <is>
          <t>53514478967</t>
        </is>
      </c>
      <c r="F649" s="14" t="inlineStr">
        <is>
          <t>267805842360</t>
        </is>
      </c>
      <c r="G649" s="14" t="inlineStr">
        <is>
          <t>NORMAL</t>
        </is>
      </c>
      <c r="H649" s="15" t="n">
        <v>94.90000000000001</v>
      </c>
      <c r="I649" s="15" t="n">
        <v>94.90000000000001</v>
      </c>
      <c r="J649" s="16" t="inlineStr">
        <is>
          <t>NÃO</t>
        </is>
      </c>
      <c r="K649" s="15" t="n"/>
      <c r="L649" s="35">
        <f>IF(K649&lt;&gt;"",K649,I649)</f>
        <v/>
      </c>
      <c r="M649" s="84" t="n">
        <v>6</v>
      </c>
      <c r="N649" s="85" t="n">
        <v>2.13</v>
      </c>
      <c r="O649" s="80">
        <f>ROUND(M649*N649,2)</f>
        <v/>
      </c>
      <c r="P649" s="80">
        <f>IF($O649="","",L649-O649-(L649*IF(L649&lt;=79.99,20%,14%)+IF(L649&lt;=79.99,4,IF(L649&lt;=99.99,16,IF(L649&lt;=199.99,20,IF(L649&lt;=499.99,26,28)))))-L649*1.3%-L649*6%-(L649-O649)*9.25%-L649*3%-L649*3%-1)</f>
        <v/>
      </c>
      <c r="Q649" s="17">
        <f>IF(AND(K649&lt;&gt;"",H649&gt;0),(H649-K649)/H649,"")</f>
        <v/>
      </c>
      <c r="R649" s="14" t="inlineStr"/>
      <c r="S649" s="18" t="n"/>
      <c r="T649" s="18" t="n"/>
      <c r="U649" s="14" t="inlineStr">
        <is>
          <t>101220</t>
        </is>
      </c>
      <c r="V649" t="inlineStr">
        <is>
          <t>214797</t>
        </is>
      </c>
      <c r="W649" t="inlineStr">
        <is>
          <t>SKU do de-para · custo do KIT 214809 (6× 214797)</t>
        </is>
      </c>
      <c r="X649" t="n">
        <v>4</v>
      </c>
      <c r="Y649" t="inlineStr">
        <is>
          <t>ok</t>
        </is>
      </c>
    </row>
    <row r="650" ht="15" customFormat="1" customHeight="1" s="14">
      <c r="A650" s="19" t="inlineStr">
        <is>
          <t>Jacartta</t>
        </is>
      </c>
      <c r="B650" s="19" t="inlineStr">
        <is>
          <t>Pote de Vidro Tampa Bambu Hermético Porta Mantimentos Temperos Cereais Grãos Massas</t>
        </is>
      </c>
      <c r="C650" s="19" t="inlineStr">
        <is>
          <t>6 Unidades,300ml</t>
        </is>
      </c>
      <c r="D650" s="19" t="inlineStr">
        <is>
          <t>6 potes 300ml</t>
        </is>
      </c>
      <c r="E650" s="19" t="inlineStr">
        <is>
          <t>53514478967</t>
        </is>
      </c>
      <c r="F650" s="19" t="inlineStr">
        <is>
          <t>267805842361</t>
        </is>
      </c>
      <c r="G650" s="19" t="inlineStr">
        <is>
          <t>NORMAL</t>
        </is>
      </c>
      <c r="H650" s="20" t="n">
        <v>109.9</v>
      </c>
      <c r="I650" s="20" t="n">
        <v>109.9</v>
      </c>
      <c r="J650" s="21" t="inlineStr">
        <is>
          <t>NÃO</t>
        </is>
      </c>
      <c r="K650" s="20" t="n"/>
      <c r="L650" s="35">
        <f>IF(K650&lt;&gt;"",K650,I650)</f>
        <v/>
      </c>
      <c r="M650" s="81" t="n">
        <v>6</v>
      </c>
      <c r="N650" s="82" t="n">
        <v>2.5</v>
      </c>
      <c r="O650" s="83">
        <f>ROUND(M650*N650,2)</f>
        <v/>
      </c>
      <c r="P650" s="80">
        <f>IF($O650="","",L650-O650-(L650*IF(L650&lt;=79.99,20%,14%)+IF(L650&lt;=79.99,4,IF(L650&lt;=99.99,16,IF(L650&lt;=199.99,20,IF(L650&lt;=499.99,26,28)))))-L650*1.3%-L650*6%-(L650-O650)*9.25%-L650*3%-L650*3%-1)</f>
        <v/>
      </c>
      <c r="Q650" s="22">
        <f>IF(AND(K650&lt;&gt;"",H650&gt;0),(H650-K650)/H650,"")</f>
        <v/>
      </c>
      <c r="R650" s="19" t="inlineStr"/>
      <c r="S650" s="23" t="n"/>
      <c r="T650" s="23" t="n"/>
      <c r="U650" s="19" t="inlineStr">
        <is>
          <t>101220</t>
        </is>
      </c>
      <c r="V650" t="inlineStr">
        <is>
          <t>214798</t>
        </is>
      </c>
      <c r="W650" t="inlineStr">
        <is>
          <t>SKU do de-para · custo do KIT 214815 (6× 214798)</t>
        </is>
      </c>
      <c r="X650" t="n">
        <v>3</v>
      </c>
      <c r="Y650" t="inlineStr">
        <is>
          <t>ok</t>
        </is>
      </c>
    </row>
    <row r="651" ht="15" customFormat="1" customHeight="1" s="19">
      <c r="A651" s="14" t="inlineStr">
        <is>
          <t>Jacartta</t>
        </is>
      </c>
      <c r="B651" s="14" t="inlineStr">
        <is>
          <t>Pote de Vidro Tampa Bambu Hermético Porta Mantimentos Temperos Cereais Grãos Massas</t>
        </is>
      </c>
      <c r="C651" s="14" t="inlineStr">
        <is>
          <t>6 Unidades,550ml</t>
        </is>
      </c>
      <c r="D651" s="14" t="inlineStr">
        <is>
          <t>6 potes 550ml</t>
        </is>
      </c>
      <c r="E651" s="14" t="inlineStr">
        <is>
          <t>53514478967</t>
        </is>
      </c>
      <c r="F651" s="14" t="inlineStr">
        <is>
          <t>267805842362</t>
        </is>
      </c>
      <c r="G651" s="14" t="inlineStr">
        <is>
          <t>NORMAL</t>
        </is>
      </c>
      <c r="H651" s="15" t="n">
        <v>149.9</v>
      </c>
      <c r="I651" s="15" t="n">
        <v>149.9</v>
      </c>
      <c r="J651" s="16" t="inlineStr">
        <is>
          <t>NÃO</t>
        </is>
      </c>
      <c r="K651" s="15" t="n"/>
      <c r="L651" s="35">
        <f>IF(K651&lt;&gt;"",K651,I651)</f>
        <v/>
      </c>
      <c r="M651" s="33" t="n"/>
      <c r="N651" s="28" t="n"/>
      <c r="O651" s="29" t="n"/>
      <c r="P651" s="80">
        <f>IF($O651="","",L651-O651-(L651*IF(L651&lt;=79.99,20%,14%)+IF(L651&lt;=79.99,4,IF(L651&lt;=99.99,16,IF(L651&lt;=199.99,20,IF(L651&lt;=499.99,26,28)))))-L651*1.3%-L651*6%-(L651-O651)*9.25%-L651*3%-L651*3%-1)</f>
        <v/>
      </c>
      <c r="Q651" s="17">
        <f>IF(AND(K651&lt;&gt;"",H651&gt;0),(H651-K651)/H651,"")</f>
        <v/>
      </c>
      <c r="R651" s="14" t="inlineStr"/>
      <c r="S651" s="18" t="n"/>
      <c r="T651" s="18" t="n"/>
      <c r="U651" s="14" t="inlineStr">
        <is>
          <t>101220</t>
        </is>
      </c>
      <c r="W651" t="inlineStr">
        <is>
          <t>sem correspondência</t>
        </is>
      </c>
      <c r="Y651" t="inlineStr"/>
    </row>
    <row r="652" ht="15" customFormat="1" customHeight="1" s="14">
      <c r="A652" s="19" t="inlineStr">
        <is>
          <t>Jacartta</t>
        </is>
      </c>
      <c r="B652" s="19" t="inlineStr">
        <is>
          <t>Pote de Vidro Tampa Bambu Hermético Porta Mantimentos Temperos Cereais Grãos Massas</t>
        </is>
      </c>
      <c r="C652" s="19" t="inlineStr">
        <is>
          <t>8 Unidades,200ml</t>
        </is>
      </c>
      <c r="D652" s="19" t="inlineStr">
        <is>
          <t>8 potes 200ml</t>
        </is>
      </c>
      <c r="E652" s="19" t="inlineStr">
        <is>
          <t>53514478967</t>
        </is>
      </c>
      <c r="F652" s="19" t="inlineStr">
        <is>
          <t>267805842363</t>
        </is>
      </c>
      <c r="G652" s="19" t="inlineStr">
        <is>
          <t>NORMAL</t>
        </is>
      </c>
      <c r="H652" s="20" t="n">
        <v>129.9</v>
      </c>
      <c r="I652" s="20" t="n">
        <v>129.9</v>
      </c>
      <c r="J652" s="21" t="inlineStr">
        <is>
          <t>NÃO</t>
        </is>
      </c>
      <c r="K652" s="20" t="n"/>
      <c r="L652" s="35">
        <f>IF(K652&lt;&gt;"",K652,I652)</f>
        <v/>
      </c>
      <c r="M652" s="32" t="n"/>
      <c r="N652" s="30" t="n"/>
      <c r="O652" s="31" t="n"/>
      <c r="P652" s="80">
        <f>IF($O652="","",L652-O652-(L652*IF(L652&lt;=79.99,20%,14%)+IF(L652&lt;=79.99,4,IF(L652&lt;=99.99,16,IF(L652&lt;=199.99,20,IF(L652&lt;=499.99,26,28)))))-L652*1.3%-L652*6%-(L652-O652)*9.25%-L652*3%-L652*3%-1)</f>
        <v/>
      </c>
      <c r="Q652" s="22">
        <f>IF(AND(K652&lt;&gt;"",H652&gt;0),(H652-K652)/H652,"")</f>
        <v/>
      </c>
      <c r="R652" s="19" t="inlineStr"/>
      <c r="S652" s="23" t="n"/>
      <c r="T652" s="23" t="n"/>
      <c r="U652" s="19" t="inlineStr">
        <is>
          <t>101220</t>
        </is>
      </c>
      <c r="W652" t="inlineStr">
        <is>
          <t>sem correspondência</t>
        </is>
      </c>
      <c r="Y652" t="inlineStr"/>
    </row>
    <row r="653" ht="15" customFormat="1" customHeight="1" s="19">
      <c r="A653" s="14" t="inlineStr">
        <is>
          <t>Jacartta</t>
        </is>
      </c>
      <c r="B653" s="14" t="inlineStr">
        <is>
          <t>Pote de Vidro Tampa Bambu Hermético Porta Mantimentos Temperos Cereais Grãos Massas</t>
        </is>
      </c>
      <c r="C653" s="14" t="inlineStr">
        <is>
          <t>8 Unidades,300ml</t>
        </is>
      </c>
      <c r="D653" s="14" t="inlineStr">
        <is>
          <t>8 potes 300ml</t>
        </is>
      </c>
      <c r="E653" s="14" t="inlineStr">
        <is>
          <t>53514478967</t>
        </is>
      </c>
      <c r="F653" s="14" t="inlineStr">
        <is>
          <t>267805842364</t>
        </is>
      </c>
      <c r="G653" s="14" t="inlineStr">
        <is>
          <t>NORMAL</t>
        </is>
      </c>
      <c r="H653" s="15" t="n">
        <v>149.9</v>
      </c>
      <c r="I653" s="15" t="n">
        <v>149.9</v>
      </c>
      <c r="J653" s="16" t="inlineStr">
        <is>
          <t>NÃO</t>
        </is>
      </c>
      <c r="K653" s="15" t="n"/>
      <c r="L653" s="35">
        <f>IF(K653&lt;&gt;"",K653,I653)</f>
        <v/>
      </c>
      <c r="M653" s="33" t="n"/>
      <c r="N653" s="28" t="n"/>
      <c r="O653" s="29" t="n"/>
      <c r="P653" s="80">
        <f>IF($O653="","",L653-O653-(L653*IF(L653&lt;=79.99,20%,14%)+IF(L653&lt;=79.99,4,IF(L653&lt;=99.99,16,IF(L653&lt;=199.99,20,IF(L653&lt;=499.99,26,28)))))-L653*1.3%-L653*6%-(L653-O653)*9.25%-L653*3%-L653*3%-1)</f>
        <v/>
      </c>
      <c r="Q653" s="17">
        <f>IF(AND(K653&lt;&gt;"",H653&gt;0),(H653-K653)/H653,"")</f>
        <v/>
      </c>
      <c r="R653" s="14" t="inlineStr"/>
      <c r="S653" s="18" t="n"/>
      <c r="T653" s="18" t="n"/>
      <c r="U653" s="14" t="inlineStr">
        <is>
          <t>101220</t>
        </is>
      </c>
      <c r="W653" t="inlineStr">
        <is>
          <t>sem correspondência</t>
        </is>
      </c>
      <c r="Y653" t="inlineStr"/>
    </row>
    <row r="654" ht="15" customFormat="1" customHeight="1" s="14">
      <c r="A654" s="19" t="inlineStr">
        <is>
          <t>Jacartta</t>
        </is>
      </c>
      <c r="B654" s="19" t="inlineStr">
        <is>
          <t>Pote de Vidro Tampa Bambu Hermético Porta Mantimentos Temperos Cereais Grãos Massas</t>
        </is>
      </c>
      <c r="C654" s="19" t="inlineStr">
        <is>
          <t>8 Unidades,550ml</t>
        </is>
      </c>
      <c r="D654" s="19" t="inlineStr">
        <is>
          <t>8 potes 550ml</t>
        </is>
      </c>
      <c r="E654" s="19" t="inlineStr">
        <is>
          <t>53514478967</t>
        </is>
      </c>
      <c r="F654" s="19" t="inlineStr">
        <is>
          <t>267805842365</t>
        </is>
      </c>
      <c r="G654" s="19" t="inlineStr">
        <is>
          <t>NORMAL</t>
        </is>
      </c>
      <c r="H654" s="20" t="n">
        <v>199.9</v>
      </c>
      <c r="I654" s="20" t="n">
        <v>199.9</v>
      </c>
      <c r="J654" s="21" t="inlineStr">
        <is>
          <t>NÃO</t>
        </is>
      </c>
      <c r="K654" s="20" t="n"/>
      <c r="L654" s="35">
        <f>IF(K654&lt;&gt;"",K654,I654)</f>
        <v/>
      </c>
      <c r="M654" s="32" t="n"/>
      <c r="N654" s="30" t="n"/>
      <c r="O654" s="31" t="n"/>
      <c r="P654" s="80">
        <f>IF($O654="","",L654-O654-(L654*IF(L654&lt;=79.99,20%,14%)+IF(L654&lt;=79.99,4,IF(L654&lt;=99.99,16,IF(L654&lt;=199.99,20,IF(L654&lt;=499.99,26,28)))))-L654*1.3%-L654*6%-(L654-O654)*9.25%-L654*3%-L654*3%-1)</f>
        <v/>
      </c>
      <c r="Q654" s="22">
        <f>IF(AND(K654&lt;&gt;"",H654&gt;0),(H654-K654)/H654,"")</f>
        <v/>
      </c>
      <c r="R654" s="19" t="inlineStr"/>
      <c r="S654" s="23" t="n"/>
      <c r="T654" s="23" t="n"/>
      <c r="U654" s="19" t="inlineStr">
        <is>
          <t>101220</t>
        </is>
      </c>
      <c r="W654" t="inlineStr">
        <is>
          <t>sem correspondência</t>
        </is>
      </c>
      <c r="Y654" t="inlineStr"/>
    </row>
    <row r="655" ht="15" customFormat="1" customHeight="1" s="19">
      <c r="A655" s="14" t="inlineStr">
        <is>
          <t>Jacartta</t>
        </is>
      </c>
      <c r="B655" s="14" t="inlineStr">
        <is>
          <t>Potrus 10kg Lavizoo Suplemento Para Potros</t>
        </is>
      </c>
      <c r="C655" s="14" t="inlineStr">
        <is>
          <t>Sem variação</t>
        </is>
      </c>
      <c r="D655" s="14" t="inlineStr">
        <is>
          <t>POTRUS-10KG-LAVIZOO</t>
        </is>
      </c>
      <c r="E655" s="14" t="inlineStr">
        <is>
          <t>22192958414</t>
        </is>
      </c>
      <c r="F655" s="14" t="inlineStr">
        <is>
          <t>0</t>
        </is>
      </c>
      <c r="G655" s="14" t="inlineStr">
        <is>
          <t>NORMAL</t>
        </is>
      </c>
      <c r="H655" s="15" t="n">
        <v>1600</v>
      </c>
      <c r="I655" s="15" t="n">
        <v>1406.05</v>
      </c>
      <c r="J655" s="16" t="inlineStr">
        <is>
          <t>SIM</t>
        </is>
      </c>
      <c r="K655" s="15" t="n">
        <v>1406.05</v>
      </c>
      <c r="L655" s="35">
        <f>IF(K655&lt;&gt;"",K655,I655)</f>
        <v/>
      </c>
      <c r="M655" s="28" t="n"/>
      <c r="N655" s="28" t="n"/>
      <c r="O655" s="29" t="n"/>
      <c r="P655" s="80">
        <f>IF($O655="","",L655-O655-(L655*IF(L655&lt;=79.99,20%,14%)+IF(L655&lt;=79.99,4,IF(L655&lt;=99.99,16,IF(L655&lt;=199.99,20,IF(L655&lt;=499.99,26,28)))))-L655*1.3%-L655*6%-(L655-O655)*9.25%-L655*3%-L655*3%-1)</f>
        <v/>
      </c>
      <c r="Q655" s="17">
        <f>IF(AND(K655&lt;&gt;"",H655&gt;0),(H655-K655)/H655,"")</f>
        <v/>
      </c>
      <c r="R655" s="14" t="inlineStr">
        <is>
          <t>909481504866304</t>
        </is>
      </c>
      <c r="S655" s="18" t="n">
        <v>46144.3875</v>
      </c>
      <c r="T655" s="18" t="n">
        <v>46295.4375</v>
      </c>
      <c r="U655" s="14" t="inlineStr">
        <is>
          <t>100944</t>
        </is>
      </c>
      <c r="W655" t="inlineStr">
        <is>
          <t>sem correspondência</t>
        </is>
      </c>
      <c r="Y655" t="inlineStr"/>
    </row>
    <row r="656" ht="15" customFormat="1" customHeight="1" s="14">
      <c r="A656" s="19" t="inlineStr">
        <is>
          <t>Jacartta</t>
        </is>
      </c>
      <c r="B656" s="19" t="inlineStr">
        <is>
          <t>Probiótico Vetnil para Cães e Gatos 14 g</t>
        </is>
      </c>
      <c r="C656" s="19" t="inlineStr">
        <is>
          <t>Sem variação</t>
        </is>
      </c>
      <c r="D656" s="19" t="inlineStr">
        <is>
          <t>PROBIOTICO-14G-VETNIL</t>
        </is>
      </c>
      <c r="E656" s="19" t="inlineStr">
        <is>
          <t>48714950100</t>
        </is>
      </c>
      <c r="F656" s="19" t="inlineStr">
        <is>
          <t>0</t>
        </is>
      </c>
      <c r="G656" s="19" t="inlineStr">
        <is>
          <t>NORMAL</t>
        </is>
      </c>
      <c r="H656" s="20" t="n">
        <v>99.90000000000001</v>
      </c>
      <c r="I656" s="20" t="n">
        <v>46.9</v>
      </c>
      <c r="J656" s="21" t="inlineStr">
        <is>
          <t>SIM</t>
        </is>
      </c>
      <c r="K656" s="20" t="n">
        <v>46.9</v>
      </c>
      <c r="L656" s="35">
        <f>IF(K656&lt;&gt;"",K656,I656)</f>
        <v/>
      </c>
      <c r="M656" s="81" t="n">
        <v>1</v>
      </c>
      <c r="N656" s="82" t="n">
        <v>24.65</v>
      </c>
      <c r="O656" s="80">
        <f>ROUND(M656*N656,2)</f>
        <v/>
      </c>
      <c r="P656" s="80">
        <f>IF($O656="","",L656-O656-(L656*IF(L656&lt;=79.99,20%,14%)+IF(L656&lt;=79.99,4,IF(L656&lt;=99.99,16,IF(L656&lt;=199.99,20,IF(L656&lt;=499.99,26,28)))))-L656*1.3%-L656*6%-(L656-O656)*9.25%-L656*3%-L656*3%-1)</f>
        <v/>
      </c>
      <c r="Q656" s="22">
        <f>IF(AND(K656&lt;&gt;"",H656&gt;0),(H656-K656)/H656,"")</f>
        <v/>
      </c>
      <c r="R656" s="19" t="inlineStr">
        <is>
          <t>478386871025791</t>
        </is>
      </c>
      <c r="S656" s="23" t="n">
        <v>46209.64583333334</v>
      </c>
      <c r="T656" s="23" t="n">
        <v>46326.99930555555</v>
      </c>
      <c r="U656" s="19" t="inlineStr">
        <is>
          <t>100944</t>
        </is>
      </c>
      <c r="V656" t="inlineStr">
        <is>
          <t>213278</t>
        </is>
      </c>
      <c r="W656" t="inlineStr">
        <is>
          <t>SKU do de-para</t>
        </is>
      </c>
      <c r="X656" t="n">
        <v>8</v>
      </c>
      <c r="Y656" t="inlineStr">
        <is>
          <t>ok</t>
        </is>
      </c>
    </row>
    <row r="657" ht="15" customFormat="1" customHeight="1" s="19">
      <c r="A657" s="14" t="inlineStr">
        <is>
          <t>Jacartta</t>
        </is>
      </c>
      <c r="B657" s="14" t="inlineStr">
        <is>
          <t>Promoção tapetes higiênicos Espaço De Bicho Lavanda para cães good pad 80x60 - com 60 unidades</t>
        </is>
      </c>
      <c r="C657" s="14" t="inlineStr">
        <is>
          <t>Sem variação</t>
        </is>
      </c>
      <c r="D657" s="14" t="inlineStr">
        <is>
          <t>730</t>
        </is>
      </c>
      <c r="E657" s="14" t="inlineStr">
        <is>
          <t>22997145452</t>
        </is>
      </c>
      <c r="F657" s="14" t="inlineStr">
        <is>
          <t>0</t>
        </is>
      </c>
      <c r="G657" s="14" t="inlineStr">
        <is>
          <t>NORMAL</t>
        </is>
      </c>
      <c r="H657" s="15" t="n">
        <v>149.9</v>
      </c>
      <c r="I657" s="15" t="n">
        <v>108.9</v>
      </c>
      <c r="J657" s="16" t="inlineStr">
        <is>
          <t>SIM</t>
        </is>
      </c>
      <c r="K657" s="15" t="n">
        <v>108.9</v>
      </c>
      <c r="L657" s="35">
        <f>IF(K657&lt;&gt;"",K657,I657)</f>
        <v/>
      </c>
      <c r="M657" s="84" t="n">
        <v>2</v>
      </c>
      <c r="N657" s="85" t="n">
        <v>30.99</v>
      </c>
      <c r="O657" s="80">
        <f>ROUND(M657*N657,2)</f>
        <v/>
      </c>
      <c r="P657" s="80">
        <f>IF($O657="","",L657-O657-(L657*IF(L657&lt;=79.99,20%,14%)+IF(L657&lt;=79.99,4,IF(L657&lt;=99.99,16,IF(L657&lt;=199.99,20,IF(L657&lt;=499.99,26,28)))))-L657*1.3%-L657*6%-(L657-O657)*9.25%-L657*3%-L657*3%-1)</f>
        <v/>
      </c>
      <c r="Q657" s="17">
        <f>IF(AND(K657&lt;&gt;"",H657&gt;0),(H657-K657)/H657,"")</f>
        <v/>
      </c>
      <c r="R657" s="14" t="inlineStr">
        <is>
          <t>909481253191680</t>
        </is>
      </c>
      <c r="S657" s="18" t="n">
        <v>46144.38680555556</v>
      </c>
      <c r="T657" s="18" t="n">
        <v>46295.4375</v>
      </c>
      <c r="U657" s="14" t="inlineStr">
        <is>
          <t>100926</t>
        </is>
      </c>
      <c r="V657" t="inlineStr">
        <is>
          <t>212965</t>
        </is>
      </c>
      <c r="W657" t="inlineStr">
        <is>
          <t>venda casada (50 pedidos) · custo do KIT 212460 (2× 212965)</t>
        </is>
      </c>
      <c r="X657" t="n">
        <v>50</v>
      </c>
      <c r="Y657" t="inlineStr">
        <is>
          <t>ok</t>
        </is>
      </c>
    </row>
    <row r="658" ht="15" customFormat="1" customHeight="1" s="14">
      <c r="A658" s="19" t="inlineStr">
        <is>
          <t>Jacartta</t>
        </is>
      </c>
      <c r="B658" s="19" t="inlineStr">
        <is>
          <t>Provermin Pó 20g Cada Vermífugo Oral Aves E Suínos</t>
        </is>
      </c>
      <c r="C658" s="19" t="inlineStr">
        <is>
          <t>Sem variação</t>
        </is>
      </c>
      <c r="D658" s="19" t="inlineStr">
        <is>
          <t>PROVERMIN-20g</t>
        </is>
      </c>
      <c r="E658" s="19" t="inlineStr">
        <is>
          <t>50560585242</t>
        </is>
      </c>
      <c r="F658" s="19" t="inlineStr">
        <is>
          <t>0</t>
        </is>
      </c>
      <c r="G658" s="19" t="inlineStr">
        <is>
          <t>NORMAL</t>
        </is>
      </c>
      <c r="H658" s="20" t="n">
        <v>29.9</v>
      </c>
      <c r="I658" s="20" t="n">
        <v>7.99</v>
      </c>
      <c r="J658" s="21" t="inlineStr">
        <is>
          <t>SIM</t>
        </is>
      </c>
      <c r="K658" s="20" t="n">
        <v>7.99</v>
      </c>
      <c r="L658" s="35">
        <f>IF(K658&lt;&gt;"",K658,I658)</f>
        <v/>
      </c>
      <c r="M658" s="81" t="n">
        <v>1</v>
      </c>
      <c r="N658" s="82" t="n">
        <v>3.11</v>
      </c>
      <c r="O658" s="80">
        <f>ROUND(M658*N658,2)</f>
        <v/>
      </c>
      <c r="P658" s="80">
        <f>IF($O658="","",L658-O658-(L658*IF(L658&lt;=79.99,20%,14%)+IF(L658&lt;=79.99,4,IF(L658&lt;=99.99,16,IF(L658&lt;=199.99,20,IF(L658&lt;=499.99,26,28)))))-L658*1.3%-L658*6%-(L658-O658)*9.25%-L658*3%-L658*3%-1)</f>
        <v/>
      </c>
      <c r="Q658" s="22">
        <f>IF(AND(K658&lt;&gt;"",H658&gt;0),(H658-K658)/H658,"")</f>
        <v/>
      </c>
      <c r="R658" s="19" t="inlineStr">
        <is>
          <t>909481504866304</t>
        </is>
      </c>
      <c r="S658" s="23" t="n">
        <v>46144.3875</v>
      </c>
      <c r="T658" s="23" t="n">
        <v>46295.4375</v>
      </c>
      <c r="U658" s="19" t="inlineStr">
        <is>
          <t>100942</t>
        </is>
      </c>
      <c r="V658" t="inlineStr">
        <is>
          <t>213139</t>
        </is>
      </c>
      <c r="W658" t="inlineStr">
        <is>
          <t>venda casada (3 pedidos)</t>
        </is>
      </c>
      <c r="X658" t="n">
        <v>3</v>
      </c>
      <c r="Y658" t="inlineStr">
        <is>
          <t>ok</t>
        </is>
      </c>
    </row>
    <row r="659" ht="15" customFormat="1" customHeight="1" s="19">
      <c r="A659" s="14" t="inlineStr">
        <is>
          <t>Jacartta</t>
        </is>
      </c>
      <c r="B659" s="14" t="inlineStr">
        <is>
          <t>Puppy Action C/ 30ml</t>
        </is>
      </c>
      <c r="C659" s="14" t="inlineStr">
        <is>
          <t>Sem variação</t>
        </is>
      </c>
      <c r="D659" s="14" t="inlineStr">
        <is>
          <t>PUPPY-ACTION-30ML</t>
        </is>
      </c>
      <c r="E659" s="14" t="inlineStr">
        <is>
          <t>16165233405</t>
        </is>
      </c>
      <c r="F659" s="14" t="inlineStr">
        <is>
          <t>0</t>
        </is>
      </c>
      <c r="G659" s="14" t="inlineStr">
        <is>
          <t>NORMAL</t>
        </is>
      </c>
      <c r="H659" s="15" t="n">
        <v>59.8</v>
      </c>
      <c r="I659" s="15" t="n">
        <v>39.9</v>
      </c>
      <c r="J659" s="16" t="inlineStr">
        <is>
          <t>SIM</t>
        </is>
      </c>
      <c r="K659" s="15" t="n">
        <v>39.9</v>
      </c>
      <c r="L659" s="35">
        <f>IF(K659&lt;&gt;"",K659,I659)</f>
        <v/>
      </c>
      <c r="M659" s="28" t="n"/>
      <c r="N659" s="28" t="n"/>
      <c r="O659" s="29" t="n"/>
      <c r="P659" s="80">
        <f>IF($O659="","",L659-O659-(L659*IF(L659&lt;=79.99,20%,14%)+IF(L659&lt;=79.99,4,IF(L659&lt;=99.99,16,IF(L659&lt;=199.99,20,IF(L659&lt;=499.99,26,28)))))-L659*1.3%-L659*6%-(L659-O659)*9.25%-L659*3%-L659*3%-1)</f>
        <v/>
      </c>
      <c r="Q659" s="17">
        <f>IF(AND(K659&lt;&gt;"",H659&gt;0),(H659-K659)/H659,"")</f>
        <v/>
      </c>
      <c r="R659" s="14" t="inlineStr">
        <is>
          <t>909481504866304</t>
        </is>
      </c>
      <c r="S659" s="18" t="n">
        <v>46144.3875</v>
      </c>
      <c r="T659" s="18" t="n">
        <v>46295.4375</v>
      </c>
      <c r="U659" s="14" t="inlineStr">
        <is>
          <t>100942</t>
        </is>
      </c>
      <c r="W659" t="inlineStr">
        <is>
          <t>sem correspondência</t>
        </is>
      </c>
      <c r="Y659" t="inlineStr"/>
    </row>
    <row r="660" ht="15" customFormat="1" customHeight="1" s="14">
      <c r="A660" s="19" t="inlineStr">
        <is>
          <t>Jacartta</t>
        </is>
      </c>
      <c r="B660" s="19" t="inlineStr">
        <is>
          <t>Rolo Removedor Tira Pelos Pet Cães &amp; Gatos Sofá Roupa Carro Ecológico Pratico remove todo o pelo</t>
        </is>
      </c>
      <c r="C660" s="19" t="inlineStr">
        <is>
          <t>1 UNIDADE</t>
        </is>
      </c>
      <c r="D660" s="19" t="inlineStr">
        <is>
          <t>ROLO-TIRA-PELOS-1UNI</t>
        </is>
      </c>
      <c r="E660" s="19" t="inlineStr">
        <is>
          <t>23099023822</t>
        </is>
      </c>
      <c r="F660" s="19" t="inlineStr">
        <is>
          <t>228792712844</t>
        </is>
      </c>
      <c r="G660" s="19" t="inlineStr">
        <is>
          <t>NORMAL</t>
        </is>
      </c>
      <c r="H660" s="20" t="n">
        <v>32.9</v>
      </c>
      <c r="I660" s="20" t="n">
        <v>24.9</v>
      </c>
      <c r="J660" s="21" t="inlineStr">
        <is>
          <t>SIM</t>
        </is>
      </c>
      <c r="K660" s="20" t="n">
        <v>24.9</v>
      </c>
      <c r="L660" s="35">
        <f>IF(K660&lt;&gt;"",K660,I660)</f>
        <v/>
      </c>
      <c r="M660" s="30" t="n"/>
      <c r="N660" s="30" t="n"/>
      <c r="O660" s="29" t="n"/>
      <c r="P660" s="80">
        <f>IF($O660="","",L660-O660-(L660*IF(L660&lt;=79.99,20%,14%)+IF(L660&lt;=79.99,4,IF(L660&lt;=99.99,16,IF(L660&lt;=199.99,20,IF(L660&lt;=499.99,26,28)))))-L660*1.3%-L660*6%-(L660-O660)*9.25%-L660*3%-L660*3%-1)</f>
        <v/>
      </c>
      <c r="Q660" s="22">
        <f>IF(AND(K660&lt;&gt;"",H660&gt;0),(H660-K660)/H660,"")</f>
        <v/>
      </c>
      <c r="R660" s="19" t="inlineStr">
        <is>
          <t>478386871025791</t>
        </is>
      </c>
      <c r="S660" s="23" t="n">
        <v>46209.64583333334</v>
      </c>
      <c r="T660" s="23" t="n">
        <v>46326.99930555555</v>
      </c>
      <c r="U660" s="19" t="inlineStr">
        <is>
          <t>100929</t>
        </is>
      </c>
      <c r="W660" t="inlineStr">
        <is>
          <t>sem correspondência</t>
        </is>
      </c>
      <c r="Y660" t="inlineStr"/>
    </row>
    <row r="661" ht="15" customFormat="1" customHeight="1" s="19">
      <c r="A661" s="19" t="inlineStr">
        <is>
          <t>Jacartta</t>
        </is>
      </c>
      <c r="B661" s="19" t="inlineStr">
        <is>
          <t>Sal Mineral Cavalos Atletas Aminosal Cromo Lavizoo 25kg</t>
        </is>
      </c>
      <c r="C661" s="19" t="inlineStr">
        <is>
          <t>Sem variação</t>
        </is>
      </c>
      <c r="D661" s="19" t="inlineStr">
        <is>
          <t>AMINOSAL-CROMO-25KG</t>
        </is>
      </c>
      <c r="E661" s="19" t="inlineStr">
        <is>
          <t>20699242113</t>
        </is>
      </c>
      <c r="F661" s="19" t="inlineStr">
        <is>
          <t>0</t>
        </is>
      </c>
      <c r="G661" s="19" t="inlineStr">
        <is>
          <t>NORMAL</t>
        </is>
      </c>
      <c r="H661" s="20" t="n">
        <v>399.9</v>
      </c>
      <c r="I661" s="20" t="n">
        <v>399.9</v>
      </c>
      <c r="J661" s="21" t="inlineStr">
        <is>
          <t>NÃO</t>
        </is>
      </c>
      <c r="K661" s="20" t="n"/>
      <c r="L661" s="35">
        <f>IF(K661&lt;&gt;"",K661,I661)</f>
        <v/>
      </c>
      <c r="M661" s="30" t="n"/>
      <c r="N661" s="30" t="n"/>
      <c r="O661" s="31" t="n"/>
      <c r="P661" s="80">
        <f>IF($O661="","",L661-O661-(L661*IF(L661&lt;=79.99,20%,14%)+IF(L661&lt;=79.99,4,IF(L661&lt;=99.99,16,IF(L661&lt;=199.99,20,IF(L661&lt;=499.99,26,28)))))-L661*1.3%-L661*6%-(L661-O661)*9.25%-L661*3%-L661*3%-1)</f>
        <v/>
      </c>
      <c r="Q661" s="22">
        <f>IF(AND(K661&lt;&gt;"",H661&gt;0),(H661-K661)/H661,"")</f>
        <v/>
      </c>
      <c r="R661" s="19" t="inlineStr"/>
      <c r="S661" s="23" t="n"/>
      <c r="T661" s="23" t="n"/>
      <c r="U661" s="19" t="inlineStr">
        <is>
          <t>100944</t>
        </is>
      </c>
      <c r="W661" t="inlineStr">
        <is>
          <t>sem correspondência</t>
        </is>
      </c>
      <c r="Y661" t="inlineStr"/>
    </row>
    <row r="662" ht="15" customFormat="1" customHeight="1" s="14">
      <c r="A662" s="19" t="inlineStr">
        <is>
          <t>Jacartta</t>
        </is>
      </c>
      <c r="B662" s="19" t="inlineStr">
        <is>
          <t>Senspert Cinomose Cães 1 Test. - Dechra</t>
        </is>
      </c>
      <c r="C662" s="19" t="inlineStr">
        <is>
          <t>Sem variação</t>
        </is>
      </c>
      <c r="D662" s="19" t="inlineStr">
        <is>
          <t>0030</t>
        </is>
      </c>
      <c r="E662" s="19" t="inlineStr">
        <is>
          <t>11035490832</t>
        </is>
      </c>
      <c r="F662" s="19" t="inlineStr">
        <is>
          <t>0</t>
        </is>
      </c>
      <c r="G662" s="19" t="inlineStr">
        <is>
          <t>NORMAL</t>
        </is>
      </c>
      <c r="H662" s="20" t="n">
        <v>139.8</v>
      </c>
      <c r="I662" s="20" t="n">
        <v>49.9</v>
      </c>
      <c r="J662" s="21" t="inlineStr">
        <is>
          <t>SIM</t>
        </is>
      </c>
      <c r="K662" s="20" t="n">
        <v>49.9</v>
      </c>
      <c r="L662" s="35">
        <f>IF(K662&lt;&gt;"",K662,I662)</f>
        <v/>
      </c>
      <c r="M662" s="81" t="n">
        <v>1</v>
      </c>
      <c r="N662" s="82" t="n">
        <v>26.5</v>
      </c>
      <c r="O662" s="80">
        <f>ROUND(M662*N662,2)</f>
        <v/>
      </c>
      <c r="P662" s="80">
        <f>IF($O662="","",L662-O662-(L662*IF(L662&lt;=79.99,20%,14%)+IF(L662&lt;=79.99,4,IF(L662&lt;=99.99,16,IF(L662&lt;=199.99,20,IF(L662&lt;=499.99,26,28)))))-L662*1.3%-L662*6%-(L662-O662)*9.25%-L662*3%-L662*3%-1)</f>
        <v/>
      </c>
      <c r="Q662" s="22">
        <f>IF(AND(K662&lt;&gt;"",H662&gt;0),(H662-K662)/H662,"")</f>
        <v/>
      </c>
      <c r="R662" s="19" t="inlineStr">
        <is>
          <t>909481504866304</t>
        </is>
      </c>
      <c r="S662" s="23" t="n">
        <v>46144.3875</v>
      </c>
      <c r="T662" s="23" t="n">
        <v>46295.4375</v>
      </c>
      <c r="U662" s="19" t="inlineStr">
        <is>
          <t>100942</t>
        </is>
      </c>
      <c r="V662" t="inlineStr">
        <is>
          <t>213487</t>
        </is>
      </c>
      <c r="W662" t="inlineStr">
        <is>
          <t>venda casada (4 pedidos)</t>
        </is>
      </c>
      <c r="X662" t="n">
        <v>4</v>
      </c>
      <c r="Y662" t="inlineStr">
        <is>
          <t>ok</t>
        </is>
      </c>
    </row>
    <row r="663" ht="15" customFormat="1" customHeight="1" s="19">
      <c r="A663" s="14" t="inlineStr">
        <is>
          <t>Jacartta</t>
        </is>
      </c>
      <c r="B663" s="14" t="inlineStr">
        <is>
          <t>SensPERT E. Canis Dechra</t>
        </is>
      </c>
      <c r="C663" s="14" t="inlineStr">
        <is>
          <t>Sem variação</t>
        </is>
      </c>
      <c r="D663" s="14" t="inlineStr">
        <is>
          <t>0660</t>
        </is>
      </c>
      <c r="E663" s="14" t="inlineStr">
        <is>
          <t>21001589032</t>
        </is>
      </c>
      <c r="F663" s="14" t="inlineStr">
        <is>
          <t>0</t>
        </is>
      </c>
      <c r="G663" s="14" t="inlineStr">
        <is>
          <t>NORMAL</t>
        </is>
      </c>
      <c r="H663" s="15" t="n">
        <v>145.8</v>
      </c>
      <c r="I663" s="15" t="n">
        <v>70.8</v>
      </c>
      <c r="J663" s="16" t="inlineStr">
        <is>
          <t>SIM</t>
        </is>
      </c>
      <c r="K663" s="15" t="n">
        <v>70.8</v>
      </c>
      <c r="L663" s="35">
        <f>IF(K663&lt;&gt;"",K663,I663)</f>
        <v/>
      </c>
      <c r="M663" s="28" t="n"/>
      <c r="N663" s="28" t="n"/>
      <c r="O663" s="29" t="n"/>
      <c r="P663" s="80">
        <f>IF($O663="","",L663-O663-(L663*IF(L663&lt;=79.99,20%,14%)+IF(L663&lt;=79.99,4,IF(L663&lt;=99.99,16,IF(L663&lt;=199.99,20,IF(L663&lt;=499.99,26,28)))))-L663*1.3%-L663*6%-(L663-O663)*9.25%-L663*3%-L663*3%-1)</f>
        <v/>
      </c>
      <c r="Q663" s="17">
        <f>IF(AND(K663&lt;&gt;"",H663&gt;0),(H663-K663)/H663,"")</f>
        <v/>
      </c>
      <c r="R663" s="14" t="inlineStr">
        <is>
          <t>909481504866304</t>
        </is>
      </c>
      <c r="S663" s="18" t="n">
        <v>46144.3875</v>
      </c>
      <c r="T663" s="18" t="n">
        <v>46295.4375</v>
      </c>
      <c r="U663" s="14" t="inlineStr">
        <is>
          <t>100942</t>
        </is>
      </c>
      <c r="W663" t="inlineStr">
        <is>
          <t>sem correspondência</t>
        </is>
      </c>
      <c r="Y663" t="inlineStr"/>
    </row>
    <row r="664" ht="15" customFormat="1" customHeight="1" s="14">
      <c r="A664" s="19" t="inlineStr">
        <is>
          <t>Jacartta</t>
        </is>
      </c>
      <c r="B664" s="19" t="inlineStr">
        <is>
          <t>Snacks Petisco  Funcionais para Gatos Organnact 40g</t>
        </is>
      </c>
      <c r="C664" s="19" t="inlineStr">
        <is>
          <t>BALL FELINE</t>
        </is>
      </c>
      <c r="D664" s="19" t="inlineStr">
        <is>
          <t>0830</t>
        </is>
      </c>
      <c r="E664" s="19" t="inlineStr">
        <is>
          <t>22596704520</t>
        </is>
      </c>
      <c r="F664" s="19" t="inlineStr">
        <is>
          <t>159533566797</t>
        </is>
      </c>
      <c r="G664" s="19" t="inlineStr">
        <is>
          <t>NORMAL</t>
        </is>
      </c>
      <c r="H664" s="20" t="n">
        <v>63.8</v>
      </c>
      <c r="I664" s="20" t="n">
        <v>63.8</v>
      </c>
      <c r="J664" s="21" t="inlineStr">
        <is>
          <t>NÃO</t>
        </is>
      </c>
      <c r="K664" s="20" t="n"/>
      <c r="L664" s="35">
        <f>IF(K664&lt;&gt;"",K664,I664)</f>
        <v/>
      </c>
      <c r="M664" s="30" t="n"/>
      <c r="N664" s="30" t="n"/>
      <c r="O664" s="31" t="n"/>
      <c r="P664" s="80">
        <f>IF($O664="","",L664-O664-(L664*IF(L664&lt;=79.99,20%,14%)+IF(L664&lt;=79.99,4,IF(L664&lt;=99.99,16,IF(L664&lt;=199.99,20,IF(L664&lt;=499.99,26,28)))))-L664*1.3%-L664*6%-(L664-O664)*9.25%-L664*3%-L664*3%-1)</f>
        <v/>
      </c>
      <c r="Q664" s="22">
        <f>IF(AND(K664&lt;&gt;"",H664&gt;0),(H664-K664)/H664,"")</f>
        <v/>
      </c>
      <c r="R664" s="19" t="inlineStr"/>
      <c r="S664" s="23" t="n"/>
      <c r="T664" s="23" t="n"/>
      <c r="U664" s="19" t="inlineStr">
        <is>
          <t>100909</t>
        </is>
      </c>
      <c r="W664" t="inlineStr">
        <is>
          <t>sem correspondência</t>
        </is>
      </c>
      <c r="Y664" t="inlineStr"/>
    </row>
    <row r="665" ht="15" customFormat="1" customHeight="1" s="19">
      <c r="A665" s="14" t="inlineStr">
        <is>
          <t>Jacartta</t>
        </is>
      </c>
      <c r="B665" s="14" t="inlineStr">
        <is>
          <t>Snacks Petisco  Funcionais para Gatos Organnact 40g</t>
        </is>
      </c>
      <c r="C665" s="14" t="inlineStr">
        <is>
          <t>CALMYN</t>
        </is>
      </c>
      <c r="D665" s="14" t="inlineStr">
        <is>
          <t>0834</t>
        </is>
      </c>
      <c r="E665" s="14" t="inlineStr">
        <is>
          <t>22596704520</t>
        </is>
      </c>
      <c r="F665" s="14" t="inlineStr">
        <is>
          <t>159533566795</t>
        </is>
      </c>
      <c r="G665" s="14" t="inlineStr">
        <is>
          <t>NORMAL</t>
        </is>
      </c>
      <c r="H665" s="15" t="n">
        <v>63.8</v>
      </c>
      <c r="I665" s="15" t="n">
        <v>63.8</v>
      </c>
      <c r="J665" s="16" t="inlineStr">
        <is>
          <t>NÃO</t>
        </is>
      </c>
      <c r="K665" s="15" t="n"/>
      <c r="L665" s="35">
        <f>IF(K665&lt;&gt;"",K665,I665)</f>
        <v/>
      </c>
      <c r="M665" s="28" t="n"/>
      <c r="N665" s="28" t="n"/>
      <c r="O665" s="29" t="n"/>
      <c r="P665" s="80">
        <f>IF($O665="","",L665-O665-(L665*IF(L665&lt;=79.99,20%,14%)+IF(L665&lt;=79.99,4,IF(L665&lt;=99.99,16,IF(L665&lt;=199.99,20,IF(L665&lt;=499.99,26,28)))))-L665*1.3%-L665*6%-(L665-O665)*9.25%-L665*3%-L665*3%-1)</f>
        <v/>
      </c>
      <c r="Q665" s="17">
        <f>IF(AND(K665&lt;&gt;"",H665&gt;0),(H665-K665)/H665,"")</f>
        <v/>
      </c>
      <c r="R665" s="14" t="inlineStr"/>
      <c r="S665" s="18" t="n"/>
      <c r="T665" s="18" t="n"/>
      <c r="U665" s="14" t="inlineStr">
        <is>
          <t>100909</t>
        </is>
      </c>
      <c r="W665" t="inlineStr">
        <is>
          <t>sem correspondência</t>
        </is>
      </c>
      <c r="Y665" t="inlineStr"/>
    </row>
    <row r="666" ht="15" customFormat="1" customHeight="1" s="14">
      <c r="A666" s="19" t="inlineStr">
        <is>
          <t>Jacartta</t>
        </is>
      </c>
      <c r="B666" s="19" t="inlineStr">
        <is>
          <t>Snacks Petisco  Funcionais para Gatos Organnact 40g</t>
        </is>
      </c>
      <c r="C666" s="19" t="inlineStr">
        <is>
          <t>FITODENT</t>
        </is>
      </c>
      <c r="D666" s="19" t="inlineStr">
        <is>
          <t>0831</t>
        </is>
      </c>
      <c r="E666" s="19" t="inlineStr">
        <is>
          <t>22596704520</t>
        </is>
      </c>
      <c r="F666" s="19" t="inlineStr">
        <is>
          <t>159533566798</t>
        </is>
      </c>
      <c r="G666" s="19" t="inlineStr">
        <is>
          <t>NORMAL</t>
        </is>
      </c>
      <c r="H666" s="20" t="n">
        <v>63.8</v>
      </c>
      <c r="I666" s="20" t="n">
        <v>63.8</v>
      </c>
      <c r="J666" s="21" t="inlineStr">
        <is>
          <t>NÃO</t>
        </is>
      </c>
      <c r="K666" s="20" t="n"/>
      <c r="L666" s="35">
        <f>IF(K666&lt;&gt;"",K666,I666)</f>
        <v/>
      </c>
      <c r="M666" s="30" t="n"/>
      <c r="N666" s="30" t="n"/>
      <c r="O666" s="31" t="n"/>
      <c r="P666" s="80">
        <f>IF($O666="","",L666-O666-(L666*IF(L666&lt;=79.99,20%,14%)+IF(L666&lt;=79.99,4,IF(L666&lt;=99.99,16,IF(L666&lt;=199.99,20,IF(L666&lt;=499.99,26,28)))))-L666*1.3%-L666*6%-(L666-O666)*9.25%-L666*3%-L666*3%-1)</f>
        <v/>
      </c>
      <c r="Q666" s="22">
        <f>IF(AND(K666&lt;&gt;"",H666&gt;0),(H666-K666)/H666,"")</f>
        <v/>
      </c>
      <c r="R666" s="19" t="inlineStr"/>
      <c r="S666" s="23" t="n"/>
      <c r="T666" s="23" t="n"/>
      <c r="U666" s="19" t="inlineStr">
        <is>
          <t>100909</t>
        </is>
      </c>
      <c r="W666" t="inlineStr">
        <is>
          <t>sem correspondência</t>
        </is>
      </c>
      <c r="Y666" t="inlineStr"/>
    </row>
    <row r="667" ht="15" customFormat="1" customHeight="1" s="19">
      <c r="A667" s="14" t="inlineStr">
        <is>
          <t>Jacartta</t>
        </is>
      </c>
      <c r="B667" s="14" t="inlineStr">
        <is>
          <t>Snacks Petisco  Funcionais para Gatos Organnact 40g</t>
        </is>
      </c>
      <c r="C667" s="14" t="inlineStr">
        <is>
          <t>INDOOR</t>
        </is>
      </c>
      <c r="D667" s="14" t="inlineStr">
        <is>
          <t>0833</t>
        </is>
      </c>
      <c r="E667" s="14" t="inlineStr">
        <is>
          <t>22596704520</t>
        </is>
      </c>
      <c r="F667" s="14" t="inlineStr">
        <is>
          <t>159533566796</t>
        </is>
      </c>
      <c r="G667" s="14" t="inlineStr">
        <is>
          <t>NORMAL</t>
        </is>
      </c>
      <c r="H667" s="15" t="n">
        <v>63.8</v>
      </c>
      <c r="I667" s="15" t="n">
        <v>63.8</v>
      </c>
      <c r="J667" s="16" t="inlineStr">
        <is>
          <t>NÃO</t>
        </is>
      </c>
      <c r="K667" s="15" t="n"/>
      <c r="L667" s="35">
        <f>IF(K667&lt;&gt;"",K667,I667)</f>
        <v/>
      </c>
      <c r="M667" s="28" t="n"/>
      <c r="N667" s="28" t="n"/>
      <c r="O667" s="29" t="n"/>
      <c r="P667" s="80">
        <f>IF($O667="","",L667-O667-(L667*IF(L667&lt;=79.99,20%,14%)+IF(L667&lt;=79.99,4,IF(L667&lt;=99.99,16,IF(L667&lt;=199.99,20,IF(L667&lt;=499.99,26,28)))))-L667*1.3%-L667*6%-(L667-O667)*9.25%-L667*3%-L667*3%-1)</f>
        <v/>
      </c>
      <c r="Q667" s="17">
        <f>IF(AND(K667&lt;&gt;"",H667&gt;0),(H667-K667)/H667,"")</f>
        <v/>
      </c>
      <c r="R667" s="14" t="inlineStr"/>
      <c r="S667" s="18" t="n"/>
      <c r="T667" s="18" t="n"/>
      <c r="U667" s="14" t="inlineStr">
        <is>
          <t>100909</t>
        </is>
      </c>
      <c r="W667" t="inlineStr">
        <is>
          <t>sem correspondência</t>
        </is>
      </c>
      <c r="Y667" t="inlineStr"/>
    </row>
    <row r="668" ht="15" customFormat="1" customHeight="1" s="14">
      <c r="A668" s="19" t="inlineStr">
        <is>
          <t>Jacartta</t>
        </is>
      </c>
      <c r="B668" s="19" t="inlineStr">
        <is>
          <t>Snacks Petisco  Funcionais para Gatos Organnact 40g</t>
        </is>
      </c>
      <c r="C668" s="19" t="inlineStr">
        <is>
          <t>SORTIDO</t>
        </is>
      </c>
      <c r="D668" s="19" t="inlineStr">
        <is>
          <t>ProdPai_0831</t>
        </is>
      </c>
      <c r="E668" s="19" t="inlineStr">
        <is>
          <t>22596704520</t>
        </is>
      </c>
      <c r="F668" s="19" t="inlineStr">
        <is>
          <t>189591573268</t>
        </is>
      </c>
      <c r="G668" s="19" t="inlineStr">
        <is>
          <t>NORMAL</t>
        </is>
      </c>
      <c r="H668" s="20" t="n">
        <v>14.9</v>
      </c>
      <c r="I668" s="20" t="n">
        <v>14.9</v>
      </c>
      <c r="J668" s="21" t="inlineStr">
        <is>
          <t>NÃO</t>
        </is>
      </c>
      <c r="K668" s="20" t="n"/>
      <c r="L668" s="35">
        <f>IF(K668&lt;&gt;"",K668,I668)</f>
        <v/>
      </c>
      <c r="M668" s="30" t="n"/>
      <c r="N668" s="30" t="n"/>
      <c r="O668" s="31" t="n"/>
      <c r="P668" s="80">
        <f>IF($O668="","",L668-O668-(L668*IF(L668&lt;=79.99,20%,14%)+IF(L668&lt;=79.99,4,IF(L668&lt;=99.99,16,IF(L668&lt;=199.99,20,IF(L668&lt;=499.99,26,28)))))-L668*1.3%-L668*6%-(L668-O668)*9.25%-L668*3%-L668*3%-1)</f>
        <v/>
      </c>
      <c r="Q668" s="22">
        <f>IF(AND(K668&lt;&gt;"",H668&gt;0),(H668-K668)/H668,"")</f>
        <v/>
      </c>
      <c r="R668" s="19" t="inlineStr"/>
      <c r="S668" s="23" t="n"/>
      <c r="T668" s="23" t="n"/>
      <c r="U668" s="19" t="inlineStr">
        <is>
          <t>100909</t>
        </is>
      </c>
      <c r="W668" t="inlineStr">
        <is>
          <t>sem correspondência</t>
        </is>
      </c>
      <c r="Y668" t="inlineStr"/>
    </row>
    <row r="669" ht="15" customFormat="1" customHeight="1" s="19">
      <c r="A669" s="14" t="inlineStr">
        <is>
          <t>Jacartta</t>
        </is>
      </c>
      <c r="B669" s="14" t="inlineStr">
        <is>
          <t>Super Promoção tapetes higiênicos Espaço De Bicho Lavanda para cães good pad 80x60 - com 60 unidades</t>
        </is>
      </c>
      <c r="C669" s="14" t="inlineStr">
        <is>
          <t>Sem variação</t>
        </is>
      </c>
      <c r="D669" s="14" t="inlineStr">
        <is>
          <t>730</t>
        </is>
      </c>
      <c r="E669" s="14" t="inlineStr">
        <is>
          <t>23092648988</t>
        </is>
      </c>
      <c r="F669" s="14" t="inlineStr">
        <is>
          <t>0</t>
        </is>
      </c>
      <c r="G669" s="14" t="inlineStr">
        <is>
          <t>NORMAL</t>
        </is>
      </c>
      <c r="H669" s="15" t="n">
        <v>149.99</v>
      </c>
      <c r="I669" s="15" t="n">
        <v>109.9</v>
      </c>
      <c r="J669" s="16" t="inlineStr">
        <is>
          <t>SIM</t>
        </is>
      </c>
      <c r="K669" s="15" t="n">
        <v>109.9</v>
      </c>
      <c r="L669" s="35">
        <f>IF(K669&lt;&gt;"",K669,I669)</f>
        <v/>
      </c>
      <c r="M669" s="84" t="n">
        <v>2</v>
      </c>
      <c r="N669" s="85" t="n">
        <v>30.99</v>
      </c>
      <c r="O669" s="80">
        <f>ROUND(M669*N669,2)</f>
        <v/>
      </c>
      <c r="P669" s="80">
        <f>IF($O669="","",L669-O669-(L669*IF(L669&lt;=79.99,20%,14%)+IF(L669&lt;=79.99,4,IF(L669&lt;=99.99,16,IF(L669&lt;=199.99,20,IF(L669&lt;=499.99,26,28)))))-L669*1.3%-L669*6%-(L669-O669)*9.25%-L669*3%-L669*3%-1)</f>
        <v/>
      </c>
      <c r="Q669" s="17">
        <f>IF(AND(K669&lt;&gt;"",H669&gt;0),(H669-K669)/H669,"")</f>
        <v/>
      </c>
      <c r="R669" s="14" t="inlineStr">
        <is>
          <t>909481253191680</t>
        </is>
      </c>
      <c r="S669" s="18" t="n">
        <v>46144.38680555556</v>
      </c>
      <c r="T669" s="18" t="n">
        <v>46295.4375</v>
      </c>
      <c r="U669" s="14" t="inlineStr">
        <is>
          <t>100926</t>
        </is>
      </c>
      <c r="V669" t="inlineStr">
        <is>
          <t>212965</t>
        </is>
      </c>
      <c r="W669" t="inlineStr">
        <is>
          <t>venda casada (322 pedidos) · custo do KIT 212460 (2× 212965)</t>
        </is>
      </c>
      <c r="X669" t="n">
        <v>322</v>
      </c>
      <c r="Y669" t="inlineStr">
        <is>
          <t>ok</t>
        </is>
      </c>
    </row>
    <row r="670" ht="15" customFormat="1" customHeight="1" s="14">
      <c r="A670" s="19" t="inlineStr">
        <is>
          <t>Jacartta</t>
        </is>
      </c>
      <c r="B670" s="19" t="inlineStr">
        <is>
          <t>Suplemento Vitamínico Aminomix Gold Vetnil 500GRS</t>
        </is>
      </c>
      <c r="C670" s="19" t="inlineStr">
        <is>
          <t>Sem variação</t>
        </is>
      </c>
      <c r="D670" s="19" t="inlineStr">
        <is>
          <t>AMINOMIX-GOLD-500G-VETNIL</t>
        </is>
      </c>
      <c r="E670" s="19" t="inlineStr">
        <is>
          <t>55564926055</t>
        </is>
      </c>
      <c r="F670" s="19" t="inlineStr">
        <is>
          <t>0</t>
        </is>
      </c>
      <c r="G670" s="19" t="inlineStr">
        <is>
          <t>NORMAL</t>
        </is>
      </c>
      <c r="H670" s="20" t="n">
        <v>199.9</v>
      </c>
      <c r="I670" s="20" t="n">
        <v>149.9</v>
      </c>
      <c r="J670" s="21" t="inlineStr">
        <is>
          <t>SIM</t>
        </is>
      </c>
      <c r="K670" s="20" t="n">
        <v>149.9</v>
      </c>
      <c r="L670" s="35">
        <f>IF(K670&lt;&gt;"",K670,I670)</f>
        <v/>
      </c>
      <c r="M670" s="81" t="n">
        <v>1</v>
      </c>
      <c r="N670" s="82" t="n">
        <v>101.83</v>
      </c>
      <c r="O670" s="80">
        <f>ROUND(M670*N670,2)</f>
        <v/>
      </c>
      <c r="P670" s="80">
        <f>IF($O670="","",L670-O670-(L670*IF(L670&lt;=79.99,20%,14%)+IF(L670&lt;=79.99,4,IF(L670&lt;=99.99,16,IF(L670&lt;=199.99,20,IF(L670&lt;=499.99,26,28)))))-L670*1.3%-L670*6%-(L670-O670)*9.25%-L670*3%-L670*3%-1)</f>
        <v/>
      </c>
      <c r="Q670" s="22">
        <f>IF(AND(K670&lt;&gt;"",H670&gt;0),(H670-K670)/H670,"")</f>
        <v/>
      </c>
      <c r="R670" s="19" t="inlineStr">
        <is>
          <t>478386871025791</t>
        </is>
      </c>
      <c r="S670" s="23" t="n">
        <v>46209.64583333334</v>
      </c>
      <c r="T670" s="23" t="n">
        <v>46326.99930555555</v>
      </c>
      <c r="U670" s="19" t="inlineStr">
        <is>
          <t>100944</t>
        </is>
      </c>
      <c r="V670" t="inlineStr">
        <is>
          <t>213272</t>
        </is>
      </c>
      <c r="W670" t="inlineStr">
        <is>
          <t>SKU do de-para</t>
        </is>
      </c>
      <c r="X670" t="n">
        <v>12</v>
      </c>
      <c r="Y670" t="inlineStr">
        <is>
          <t>ok</t>
        </is>
      </c>
    </row>
    <row r="671" ht="15" customFormat="1" customHeight="1" s="19">
      <c r="A671" s="14" t="inlineStr">
        <is>
          <t>Jacartta</t>
        </is>
      </c>
      <c r="B671" s="14" t="inlineStr">
        <is>
          <t>Tapete Hig Ultra Pads 60x60 30 Un</t>
        </is>
      </c>
      <c r="C671" s="14" t="inlineStr">
        <is>
          <t>Sem variação</t>
        </is>
      </c>
      <c r="D671" s="14" t="inlineStr">
        <is>
          <t>0772</t>
        </is>
      </c>
      <c r="E671" s="14" t="inlineStr">
        <is>
          <t>17763990498</t>
        </is>
      </c>
      <c r="F671" s="14" t="inlineStr">
        <is>
          <t>0</t>
        </is>
      </c>
      <c r="G671" s="14" t="inlineStr">
        <is>
          <t>NORMAL</t>
        </is>
      </c>
      <c r="H671" s="15" t="n">
        <v>127.8</v>
      </c>
      <c r="I671" s="15" t="n">
        <v>49.9</v>
      </c>
      <c r="J671" s="16" t="inlineStr">
        <is>
          <t>SIM</t>
        </is>
      </c>
      <c r="K671" s="15" t="n">
        <v>49.9</v>
      </c>
      <c r="L671" s="35">
        <f>IF(K671&lt;&gt;"",K671,I671)</f>
        <v/>
      </c>
      <c r="M671" s="28" t="n"/>
      <c r="N671" s="28" t="n"/>
      <c r="O671" s="29" t="n"/>
      <c r="P671" s="80">
        <f>IF($O671="","",L671-O671-(L671*IF(L671&lt;=79.99,20%,14%)+IF(L671&lt;=79.99,4,IF(L671&lt;=99.99,16,IF(L671&lt;=199.99,20,IF(L671&lt;=499.99,26,28)))))-L671*1.3%-L671*6%-(L671-O671)*9.25%-L671*3%-L671*3%-1)</f>
        <v/>
      </c>
      <c r="Q671" s="17">
        <f>IF(AND(K671&lt;&gt;"",H671&gt;0),(H671-K671)/H671,"")</f>
        <v/>
      </c>
      <c r="R671" s="14" t="inlineStr">
        <is>
          <t>909481504866304</t>
        </is>
      </c>
      <c r="S671" s="18" t="n">
        <v>46144.3875</v>
      </c>
      <c r="T671" s="18" t="n">
        <v>46295.4375</v>
      </c>
      <c r="U671" s="14" t="inlineStr">
        <is>
          <t>100926</t>
        </is>
      </c>
      <c r="W671" t="inlineStr">
        <is>
          <t>sem correspondência</t>
        </is>
      </c>
      <c r="Y671" t="inlineStr"/>
    </row>
    <row r="672" ht="15" customFormat="1" customHeight="1" s="14">
      <c r="A672" s="14" t="inlineStr">
        <is>
          <t>Jacartta</t>
        </is>
      </c>
      <c r="B672" s="14" t="inlineStr">
        <is>
          <t>Kit 5 Areia Higiênica Biodegradável Espaço De Bicho Grãos Finos Milho e Mandioca (100% Natural)</t>
        </is>
      </c>
      <c r="C672" s="14" t="inlineStr">
        <is>
          <t>Grãos Finos</t>
        </is>
      </c>
      <c r="D672" s="14" t="inlineStr">
        <is>
          <t>KIT5-AREIA-EDB-4KG-GF</t>
        </is>
      </c>
      <c r="E672" s="14" t="inlineStr">
        <is>
          <t>58254476850</t>
        </is>
      </c>
      <c r="F672" s="14" t="inlineStr">
        <is>
          <t>169724776628</t>
        </is>
      </c>
      <c r="G672" s="14" t="inlineStr">
        <is>
          <t>NORMAL</t>
        </is>
      </c>
      <c r="H672" s="15" t="n">
        <v>299.9</v>
      </c>
      <c r="I672" s="15" t="n">
        <v>249.9</v>
      </c>
      <c r="J672" s="16" t="inlineStr">
        <is>
          <t>SIM</t>
        </is>
      </c>
      <c r="K672" s="15" t="n">
        <v>249.9</v>
      </c>
      <c r="L672" s="35">
        <f>IF(K672&lt;&gt;"",K672,I672)</f>
        <v/>
      </c>
      <c r="M672" s="33" t="n">
        <v>5</v>
      </c>
      <c r="N672" s="30" t="n">
        <v>22.36</v>
      </c>
      <c r="O672" s="31">
        <f>N672*M672</f>
        <v/>
      </c>
      <c r="P672" s="80">
        <f>IF($O672="","",L672-O672-(L672*IF(L672&lt;=79.99,20%,14%)+IF(L672&lt;=79.99,4,IF(L672&lt;=99.99,16,IF(L672&lt;=199.99,20,IF(L672&lt;=499.99,26,28)))))-L672*1.3%-L672*6%-(L672-O672)*9.25%-L672*3%-L672*3%-1)</f>
        <v/>
      </c>
      <c r="Q672" s="17">
        <f>IF(AND(K672&lt;&gt;"",H672&gt;0),(H672-K672)/H672,"")</f>
        <v/>
      </c>
      <c r="R672" s="14" t="inlineStr">
        <is>
          <t>488117194936589</t>
        </is>
      </c>
      <c r="S672" s="18" t="n">
        <v>46236.5</v>
      </c>
      <c r="T672" s="18" t="n">
        <v>46361.54166666666</v>
      </c>
      <c r="U672" s="14" t="inlineStr">
        <is>
          <t>100923</t>
        </is>
      </c>
      <c r="V672" t="inlineStr">
        <is>
          <t>215511</t>
        </is>
      </c>
      <c r="W672" t="inlineStr">
        <is>
          <t>venda casada (17 pedidos) · QTD/custo manuais mantidos · ATENÇÃO: Olist hoje diz 28.27</t>
        </is>
      </c>
      <c r="X672" t="n">
        <v>17</v>
      </c>
      <c r="Y672" t="inlineStr">
        <is>
          <t>ok</t>
        </is>
      </c>
    </row>
    <row r="673" ht="15" customFormat="1" customHeight="1" s="19">
      <c r="A673" s="14" t="inlineStr">
        <is>
          <t>Jacartta</t>
        </is>
      </c>
      <c r="B673" s="14" t="inlineStr">
        <is>
          <t>Kit 200 Unidades Tapete Higienico Good Pad Envio Imediato</t>
        </is>
      </c>
      <c r="C673" s="14" t="inlineStr">
        <is>
          <t>Sem variação</t>
        </is>
      </c>
      <c r="D673" s="14" t="inlineStr">
        <is>
          <t>0771</t>
        </is>
      </c>
      <c r="E673" s="14" t="inlineStr">
        <is>
          <t>23309824048</t>
        </is>
      </c>
      <c r="F673" s="14" t="inlineStr">
        <is>
          <t>0</t>
        </is>
      </c>
      <c r="G673" s="14" t="inlineStr">
        <is>
          <t>NORMAL</t>
        </is>
      </c>
      <c r="H673" s="15" t="n">
        <v>799.8</v>
      </c>
      <c r="I673" s="15" t="n">
        <v>214.9</v>
      </c>
      <c r="J673" s="16" t="inlineStr">
        <is>
          <t>SIM</t>
        </is>
      </c>
      <c r="K673" s="15" t="n">
        <v>214.9</v>
      </c>
      <c r="L673" s="35">
        <f>IF(K673&lt;&gt;"",K673,I673)</f>
        <v/>
      </c>
      <c r="M673" s="84" t="n">
        <v>4</v>
      </c>
      <c r="N673" s="85" t="n">
        <v>33.46</v>
      </c>
      <c r="O673" s="80">
        <f>ROUND(M673*N673,2)</f>
        <v/>
      </c>
      <c r="P673" s="80">
        <f>IF($O673="","",L673-O673-(L673*IF(L673&lt;=79.99,20%,14%)+IF(L673&lt;=79.99,4,IF(L673&lt;=99.99,16,IF(L673&lt;=199.99,20,IF(L673&lt;=499.99,26,28)))))-L673*1.3%-L673*6%-(L673-O673)*9.25%-L673*3%-L673*3%-1)</f>
        <v/>
      </c>
      <c r="Q673" s="17">
        <f>IF(AND(K673&lt;&gt;"",H673&gt;0),(H673-K673)/H673,"")</f>
        <v/>
      </c>
      <c r="R673" s="14" t="inlineStr">
        <is>
          <t>909481504866304</t>
        </is>
      </c>
      <c r="S673" s="18" t="n">
        <v>46144.3875</v>
      </c>
      <c r="T673" s="18" t="n">
        <v>46295.4375</v>
      </c>
      <c r="U673" s="14" t="inlineStr">
        <is>
          <t>100926</t>
        </is>
      </c>
      <c r="V673" t="inlineStr">
        <is>
          <t>212961</t>
        </is>
      </c>
      <c r="W673" t="inlineStr">
        <is>
          <t>venda casada (43 pedidos) · custo do KIT 212452 (4× 212961)</t>
        </is>
      </c>
      <c r="X673" t="n">
        <v>43</v>
      </c>
      <c r="Y673" t="inlineStr">
        <is>
          <t>ok</t>
        </is>
      </c>
    </row>
    <row r="674" ht="15" customFormat="1" customHeight="1" s="14">
      <c r="A674" s="19" t="inlineStr">
        <is>
          <t>Jacartta</t>
        </is>
      </c>
      <c r="B674" s="19" t="inlineStr">
        <is>
          <t>Tapete Higiênico Cães Ultra Pads Natural 80cmx60cm 30 unidades</t>
        </is>
      </c>
      <c r="C674" s="19" t="inlineStr">
        <is>
          <t>Sem variação</t>
        </is>
      </c>
      <c r="D674" s="19" t="inlineStr">
        <is>
          <t>ULTRAPADS-30</t>
        </is>
      </c>
      <c r="E674" s="19" t="inlineStr">
        <is>
          <t>22592691021</t>
        </is>
      </c>
      <c r="F674" s="19" t="inlineStr">
        <is>
          <t>0</t>
        </is>
      </c>
      <c r="G674" s="19" t="inlineStr">
        <is>
          <t>NORMAL</t>
        </is>
      </c>
      <c r="H674" s="20" t="n">
        <v>99.90000000000001</v>
      </c>
      <c r="I674" s="20" t="n">
        <v>61.9</v>
      </c>
      <c r="J674" s="21" t="inlineStr">
        <is>
          <t>SIM</t>
        </is>
      </c>
      <c r="K674" s="20" t="n">
        <v>61.9</v>
      </c>
      <c r="L674" s="35">
        <f>IF(K674&lt;&gt;"",K674,I674)</f>
        <v/>
      </c>
      <c r="M674" s="81" t="n">
        <v>1</v>
      </c>
      <c r="N674" s="82" t="n">
        <v>24.66</v>
      </c>
      <c r="O674" s="80">
        <f>ROUND(M674*N674,2)</f>
        <v/>
      </c>
      <c r="P674" s="80">
        <f>IF($O674="","",L674-O674-(L674*IF(L674&lt;=79.99,20%,14%)+IF(L674&lt;=79.99,4,IF(L674&lt;=99.99,16,IF(L674&lt;=199.99,20,IF(L674&lt;=499.99,26,28)))))-L674*1.3%-L674*6%-(L674-O674)*9.25%-L674*3%-L674*3%-1)</f>
        <v/>
      </c>
      <c r="Q674" s="22">
        <f>IF(AND(K674&lt;&gt;"",H674&gt;0),(H674-K674)/H674,"")</f>
        <v/>
      </c>
      <c r="R674" s="19" t="inlineStr">
        <is>
          <t>909481504866304</t>
        </is>
      </c>
      <c r="S674" s="23" t="n">
        <v>46144.3875</v>
      </c>
      <c r="T674" s="23" t="n">
        <v>46295.4375</v>
      </c>
      <c r="U674" s="19" t="inlineStr">
        <is>
          <t>100926</t>
        </is>
      </c>
      <c r="V674" t="inlineStr">
        <is>
          <t>212968</t>
        </is>
      </c>
      <c r="W674" t="inlineStr">
        <is>
          <t>venda casada (153 pedidos) · custo do KIT 213852 (1× 212968)</t>
        </is>
      </c>
      <c r="X674" t="n">
        <v>153</v>
      </c>
      <c r="Y674" t="inlineStr">
        <is>
          <t>ok</t>
        </is>
      </c>
    </row>
    <row r="675" ht="15" customFormat="1" customHeight="1" s="19">
      <c r="A675" s="14" t="inlineStr">
        <is>
          <t>Jacartta</t>
        </is>
      </c>
      <c r="B675" s="14" t="inlineStr">
        <is>
          <t>300 UN Good Pad ( Tapete Higiênico )</t>
        </is>
      </c>
      <c r="C675" s="14" t="inlineStr">
        <is>
          <t>Sem variação</t>
        </is>
      </c>
      <c r="D675" s="14" t="inlineStr">
        <is>
          <t>0771</t>
        </is>
      </c>
      <c r="E675" s="14" t="inlineStr">
        <is>
          <t>21422434119</t>
        </is>
      </c>
      <c r="F675" s="14" t="inlineStr">
        <is>
          <t>0</t>
        </is>
      </c>
      <c r="G675" s="14" t="inlineStr">
        <is>
          <t>NORMAL</t>
        </is>
      </c>
      <c r="H675" s="15" t="n">
        <v>599.9</v>
      </c>
      <c r="I675" s="15" t="n">
        <v>349.9</v>
      </c>
      <c r="J675" s="16" t="inlineStr">
        <is>
          <t>SIM</t>
        </is>
      </c>
      <c r="K675" s="15" t="n">
        <v>349.9</v>
      </c>
      <c r="L675" s="35">
        <f>IF(K675&lt;&gt;"",K675,I675)</f>
        <v/>
      </c>
      <c r="M675" s="84" t="n">
        <v>6</v>
      </c>
      <c r="N675" s="85" t="n">
        <v>33.46</v>
      </c>
      <c r="O675" s="80">
        <f>ROUND(M675*N675,2)</f>
        <v/>
      </c>
      <c r="P675" s="80">
        <f>IF($O675="","",L675-O675-(L675*IF(L675&lt;=79.99,20%,14%)+IF(L675&lt;=79.99,4,IF(L675&lt;=99.99,16,IF(L675&lt;=199.99,20,IF(L675&lt;=499.99,26,28)))))-L675*1.3%-L675*6%-(L675-O675)*9.25%-L675*3%-L675*3%-1)</f>
        <v/>
      </c>
      <c r="Q675" s="17">
        <f>IF(AND(K675&lt;&gt;"",H675&gt;0),(H675-K675)/H675,"")</f>
        <v/>
      </c>
      <c r="R675" s="14" t="inlineStr">
        <is>
          <t>909481068642304</t>
        </is>
      </c>
      <c r="S675" s="18" t="n">
        <v>46144.38680555556</v>
      </c>
      <c r="T675" s="18" t="n">
        <v>46295.4375</v>
      </c>
      <c r="U675" s="14" t="inlineStr">
        <is>
          <t>100926</t>
        </is>
      </c>
      <c r="V675" t="inlineStr">
        <is>
          <t>212961</t>
        </is>
      </c>
      <c r="W675" t="inlineStr">
        <is>
          <t>venda casada (2 pedidos) · custo do KIT 213835 (6× 212961)</t>
        </is>
      </c>
      <c r="X675" t="n">
        <v>2</v>
      </c>
      <c r="Y675" t="inlineStr">
        <is>
          <t>ok</t>
        </is>
      </c>
    </row>
    <row r="676" ht="15" customFormat="1" customHeight="1" s="14">
      <c r="A676" s="19" t="inlineStr">
        <is>
          <t>Jacartta</t>
        </is>
      </c>
      <c r="B676" s="19" t="inlineStr">
        <is>
          <t>Tapete Higienico Espaço de Bicho 50 Unidades Envio Imediato</t>
        </is>
      </c>
      <c r="C676" s="19" t="inlineStr">
        <is>
          <t>100</t>
        </is>
      </c>
      <c r="D676" s="19" t="inlineStr"/>
      <c r="E676" s="19" t="inlineStr">
        <is>
          <t>23399431234</t>
        </is>
      </c>
      <c r="F676" s="19" t="inlineStr">
        <is>
          <t>239441283878</t>
        </is>
      </c>
      <c r="G676" s="19" t="inlineStr">
        <is>
          <t>NORMAL</t>
        </is>
      </c>
      <c r="H676" s="20" t="n">
        <v>200</v>
      </c>
      <c r="I676" s="20" t="n">
        <v>200</v>
      </c>
      <c r="J676" s="21" t="inlineStr">
        <is>
          <t>NÃO</t>
        </is>
      </c>
      <c r="K676" s="20" t="n"/>
      <c r="L676" s="35">
        <f>IF(K676&lt;&gt;"",K676,I676)</f>
        <v/>
      </c>
      <c r="M676" s="30" t="n"/>
      <c r="N676" s="30" t="n"/>
      <c r="O676" s="31" t="n"/>
      <c r="P676" s="80">
        <f>IF($O676="","",L676-O676-(L676*IF(L676&lt;=79.99,20%,14%)+IF(L676&lt;=79.99,4,IF(L676&lt;=99.99,16,IF(L676&lt;=199.99,20,IF(L676&lt;=499.99,26,28)))))-L676*1.3%-L676*6%-(L676-O676)*9.25%-L676*3%-L676*3%-1)</f>
        <v/>
      </c>
      <c r="Q676" s="22">
        <f>IF(AND(K676&lt;&gt;"",H676&gt;0),(H676-K676)/H676,"")</f>
        <v/>
      </c>
      <c r="R676" s="19" t="inlineStr"/>
      <c r="S676" s="23" t="n"/>
      <c r="T676" s="23" t="n"/>
      <c r="U676" s="19" t="inlineStr">
        <is>
          <t>100926</t>
        </is>
      </c>
      <c r="W676" t="inlineStr">
        <is>
          <t>sem correspondência</t>
        </is>
      </c>
      <c r="Y676" t="inlineStr"/>
    </row>
    <row r="677" ht="15" customFormat="1" customHeight="1" s="19">
      <c r="A677" s="14" t="inlineStr">
        <is>
          <t>Jacartta</t>
        </is>
      </c>
      <c r="B677" s="14" t="inlineStr">
        <is>
          <t>Tapete Higienico Espaço de Bicho 50 Unidades Envio Imediato</t>
        </is>
      </c>
      <c r="C677" s="14" t="inlineStr">
        <is>
          <t>150</t>
        </is>
      </c>
      <c r="D677" s="14" t="inlineStr"/>
      <c r="E677" s="14" t="inlineStr">
        <is>
          <t>23399431234</t>
        </is>
      </c>
      <c r="F677" s="14" t="inlineStr">
        <is>
          <t>239441283879</t>
        </is>
      </c>
      <c r="G677" s="14" t="inlineStr">
        <is>
          <t>NORMAL</t>
        </is>
      </c>
      <c r="H677" s="15" t="n">
        <v>300</v>
      </c>
      <c r="I677" s="15" t="n">
        <v>300</v>
      </c>
      <c r="J677" s="16" t="inlineStr">
        <is>
          <t>NÃO</t>
        </is>
      </c>
      <c r="K677" s="15" t="n"/>
      <c r="L677" s="35">
        <f>IF(K677&lt;&gt;"",K677,I677)</f>
        <v/>
      </c>
      <c r="M677" s="28" t="n"/>
      <c r="N677" s="28" t="n"/>
      <c r="O677" s="29" t="n"/>
      <c r="P677" s="80">
        <f>IF($O677="","",L677-O677-(L677*IF(L677&lt;=79.99,20%,14%)+IF(L677&lt;=79.99,4,IF(L677&lt;=99.99,16,IF(L677&lt;=199.99,20,IF(L677&lt;=499.99,26,28)))))-L677*1.3%-L677*6%-(L677-O677)*9.25%-L677*3%-L677*3%-1)</f>
        <v/>
      </c>
      <c r="Q677" s="17">
        <f>IF(AND(K677&lt;&gt;"",H677&gt;0),(H677-K677)/H677,"")</f>
        <v/>
      </c>
      <c r="R677" s="14" t="inlineStr"/>
      <c r="S677" s="18" t="n"/>
      <c r="T677" s="18" t="n"/>
      <c r="U677" s="14" t="inlineStr">
        <is>
          <t>100926</t>
        </is>
      </c>
      <c r="W677" t="inlineStr">
        <is>
          <t>sem correspondência</t>
        </is>
      </c>
      <c r="Y677" t="inlineStr"/>
    </row>
    <row r="678" ht="15" customFormat="1" customHeight="1" s="14">
      <c r="A678" s="19" t="inlineStr">
        <is>
          <t>Jacartta</t>
        </is>
      </c>
      <c r="B678" s="19" t="inlineStr">
        <is>
          <t>Tapete Higienico Espaço de Bicho 50 Unidades Envio Imediato</t>
        </is>
      </c>
      <c r="C678" s="19" t="inlineStr">
        <is>
          <t>200</t>
        </is>
      </c>
      <c r="D678" s="19" t="inlineStr"/>
      <c r="E678" s="19" t="inlineStr">
        <is>
          <t>23399431234</t>
        </is>
      </c>
      <c r="F678" s="19" t="inlineStr">
        <is>
          <t>239441283880</t>
        </is>
      </c>
      <c r="G678" s="19" t="inlineStr">
        <is>
          <t>NORMAL</t>
        </is>
      </c>
      <c r="H678" s="20" t="n">
        <v>350</v>
      </c>
      <c r="I678" s="20" t="n">
        <v>350</v>
      </c>
      <c r="J678" s="21" t="inlineStr">
        <is>
          <t>NÃO</t>
        </is>
      </c>
      <c r="K678" s="20" t="n"/>
      <c r="L678" s="35">
        <f>IF(K678&lt;&gt;"",K678,I678)</f>
        <v/>
      </c>
      <c r="M678" s="30" t="n"/>
      <c r="N678" s="30" t="n"/>
      <c r="O678" s="31" t="n"/>
      <c r="P678" s="80">
        <f>IF($O678="","",L678-O678-(L678*IF(L678&lt;=79.99,20%,14%)+IF(L678&lt;=79.99,4,IF(L678&lt;=99.99,16,IF(L678&lt;=199.99,20,IF(L678&lt;=499.99,26,28)))))-L678*1.3%-L678*6%-(L678-O678)*9.25%-L678*3%-L678*3%-1)</f>
        <v/>
      </c>
      <c r="Q678" s="22">
        <f>IF(AND(K678&lt;&gt;"",H678&gt;0),(H678-K678)/H678,"")</f>
        <v/>
      </c>
      <c r="R678" s="19" t="inlineStr"/>
      <c r="S678" s="23" t="n"/>
      <c r="T678" s="23" t="n"/>
      <c r="U678" s="19" t="inlineStr">
        <is>
          <t>100926</t>
        </is>
      </c>
      <c r="W678" t="inlineStr">
        <is>
          <t>sem correspondência</t>
        </is>
      </c>
      <c r="Y678" t="inlineStr"/>
    </row>
    <row r="679" ht="15" customFormat="1" customHeight="1" s="19">
      <c r="A679" s="14" t="inlineStr">
        <is>
          <t>Jacartta</t>
        </is>
      </c>
      <c r="B679" s="14" t="inlineStr">
        <is>
          <t>Tapete Higienico Espaço de Bicho 50 Unidades Envio Imediato</t>
        </is>
      </c>
      <c r="C679" s="14" t="inlineStr">
        <is>
          <t>300</t>
        </is>
      </c>
      <c r="D679" s="14" t="inlineStr"/>
      <c r="E679" s="14" t="inlineStr">
        <is>
          <t>23399431234</t>
        </is>
      </c>
      <c r="F679" s="14" t="inlineStr">
        <is>
          <t>239441283881</t>
        </is>
      </c>
      <c r="G679" s="14" t="inlineStr">
        <is>
          <t>NORMAL</t>
        </is>
      </c>
      <c r="H679" s="15" t="n">
        <v>450</v>
      </c>
      <c r="I679" s="15" t="n">
        <v>450</v>
      </c>
      <c r="J679" s="16" t="inlineStr">
        <is>
          <t>NÃO</t>
        </is>
      </c>
      <c r="K679" s="15" t="n"/>
      <c r="L679" s="35">
        <f>IF(K679&lt;&gt;"",K679,I679)</f>
        <v/>
      </c>
      <c r="M679" s="28" t="n"/>
      <c r="N679" s="28" t="n"/>
      <c r="O679" s="29" t="n"/>
      <c r="P679" s="80">
        <f>IF($O679="","",L679-O679-(L679*IF(L679&lt;=79.99,20%,14%)+IF(L679&lt;=79.99,4,IF(L679&lt;=99.99,16,IF(L679&lt;=199.99,20,IF(L679&lt;=499.99,26,28)))))-L679*1.3%-L679*6%-(L679-O679)*9.25%-L679*3%-L679*3%-1)</f>
        <v/>
      </c>
      <c r="Q679" s="17">
        <f>IF(AND(K679&lt;&gt;"",H679&gt;0),(H679-K679)/H679,"")</f>
        <v/>
      </c>
      <c r="R679" s="14" t="inlineStr"/>
      <c r="S679" s="18" t="n"/>
      <c r="T679" s="18" t="n"/>
      <c r="U679" s="14" t="inlineStr">
        <is>
          <t>100926</t>
        </is>
      </c>
      <c r="W679" t="inlineStr">
        <is>
          <t>sem correspondência</t>
        </is>
      </c>
      <c r="Y679" t="inlineStr"/>
    </row>
    <row r="680" ht="15" customFormat="1" customHeight="1" s="14">
      <c r="A680" s="19" t="inlineStr">
        <is>
          <t>Jacartta</t>
        </is>
      </c>
      <c r="B680" s="19" t="inlineStr">
        <is>
          <t>Tapete Higienico Espaço de Bicho 50 Unidades Envio Imediato</t>
        </is>
      </c>
      <c r="C680" s="19" t="inlineStr">
        <is>
          <t>Sem variação</t>
        </is>
      </c>
      <c r="D680" s="19" t="inlineStr">
        <is>
          <t>0840</t>
        </is>
      </c>
      <c r="E680" s="19" t="inlineStr">
        <is>
          <t>17692293121</t>
        </is>
      </c>
      <c r="F680" s="19" t="inlineStr">
        <is>
          <t>0</t>
        </is>
      </c>
      <c r="G680" s="19" t="inlineStr">
        <is>
          <t>NORMAL</t>
        </is>
      </c>
      <c r="H680" s="20" t="n">
        <v>99.90000000000001</v>
      </c>
      <c r="I680" s="20" t="n">
        <v>53.9</v>
      </c>
      <c r="J680" s="21" t="inlineStr">
        <is>
          <t>SIM</t>
        </is>
      </c>
      <c r="K680" s="20" t="n">
        <v>53.9</v>
      </c>
      <c r="L680" s="35">
        <f>IF(K680&lt;&gt;"",K680,I680)</f>
        <v/>
      </c>
      <c r="M680" s="81" t="n">
        <v>1</v>
      </c>
      <c r="N680" s="82" t="n">
        <v>33.1</v>
      </c>
      <c r="O680" s="80">
        <f>ROUND(M680*N680,2)</f>
        <v/>
      </c>
      <c r="P680" s="80">
        <f>IF($O680="","",L680-O680-(L680*IF(L680&lt;=79.99,20%,14%)+IF(L680&lt;=79.99,4,IF(L680&lt;=99.99,16,IF(L680&lt;=199.99,20,IF(L680&lt;=499.99,26,28)))))-L680*1.3%-L680*6%-(L680-O680)*9.25%-L680*3%-L680*3%-1)</f>
        <v/>
      </c>
      <c r="Q680" s="22">
        <f>IF(AND(K680&lt;&gt;"",H680&gt;0),(H680-K680)/H680,"")</f>
        <v/>
      </c>
      <c r="R680" s="19" t="inlineStr">
        <is>
          <t>909481504866304</t>
        </is>
      </c>
      <c r="S680" s="23" t="n">
        <v>46144.3875</v>
      </c>
      <c r="T680" s="23" t="n">
        <v>46295.4375</v>
      </c>
      <c r="U680" s="19" t="inlineStr">
        <is>
          <t>100926</t>
        </is>
      </c>
      <c r="V680" t="inlineStr">
        <is>
          <t>EDB60X60-50UN</t>
        </is>
      </c>
      <c r="W680" t="inlineStr">
        <is>
          <t>venda casada (1636 pedidos) · custo do KIT 213839 (1× EDB60X60-50UN)</t>
        </is>
      </c>
      <c r="X680" t="n">
        <v>1636</v>
      </c>
      <c r="Y680" t="inlineStr">
        <is>
          <t>ok</t>
        </is>
      </c>
    </row>
    <row r="681" ht="15" customFormat="1" customHeight="1" s="19">
      <c r="A681" s="14" t="inlineStr">
        <is>
          <t>Jacartta</t>
        </is>
      </c>
      <c r="B681" s="14" t="inlineStr">
        <is>
          <t>Tapete Higiênico Espaço De Bicho Shopito Oficial 150 Unidades Envio Imediato</t>
        </is>
      </c>
      <c r="C681" s="14" t="inlineStr">
        <is>
          <t>Sem variação</t>
        </is>
      </c>
      <c r="D681" s="14" t="inlineStr">
        <is>
          <t>702</t>
        </is>
      </c>
      <c r="E681" s="14" t="inlineStr">
        <is>
          <t>22992898229</t>
        </is>
      </c>
      <c r="F681" s="14" t="inlineStr">
        <is>
          <t>0</t>
        </is>
      </c>
      <c r="G681" s="14" t="inlineStr">
        <is>
          <t>NORMAL</t>
        </is>
      </c>
      <c r="H681" s="15" t="n">
        <v>269.9</v>
      </c>
      <c r="I681" s="15" t="n">
        <v>189.9</v>
      </c>
      <c r="J681" s="16" t="inlineStr">
        <is>
          <t>SIM</t>
        </is>
      </c>
      <c r="K681" s="15" t="n">
        <v>189.9</v>
      </c>
      <c r="L681" s="35">
        <f>IF(K681&lt;&gt;"",K681,I681)</f>
        <v/>
      </c>
      <c r="M681" s="84" t="n">
        <v>3</v>
      </c>
      <c r="N681" s="85" t="n">
        <v>32.79</v>
      </c>
      <c r="O681" s="80">
        <f>ROUND(M681*N681,2)</f>
        <v/>
      </c>
      <c r="P681" s="80">
        <f>IF($O681="","",L681-O681-(L681*IF(L681&lt;=79.99,20%,14%)+IF(L681&lt;=79.99,4,IF(L681&lt;=99.99,16,IF(L681&lt;=199.99,20,IF(L681&lt;=499.99,26,28)))))-L681*1.3%-L681*6%-(L681-O681)*9.25%-L681*3%-L681*3%-1)</f>
        <v/>
      </c>
      <c r="Q681" s="17">
        <f>IF(AND(K681&lt;&gt;"",H681&gt;0),(H681-K681)/H681,"")</f>
        <v/>
      </c>
      <c r="R681" s="14" t="inlineStr">
        <is>
          <t>909480791819264</t>
        </is>
      </c>
      <c r="S681" s="18" t="n">
        <v>46144.38611111111</v>
      </c>
      <c r="T681" s="18" t="n">
        <v>46295.4375</v>
      </c>
      <c r="U681" s="14" t="inlineStr">
        <is>
          <t>100926</t>
        </is>
      </c>
      <c r="V681" t="inlineStr">
        <is>
          <t>212955</t>
        </is>
      </c>
      <c r="W681" t="inlineStr">
        <is>
          <t>venda casada (1 pedido) · custo do KIT 212449 (3× 212955)</t>
        </is>
      </c>
      <c r="X681" t="n">
        <v>1</v>
      </c>
      <c r="Y681" t="inlineStr">
        <is>
          <t>⚠ evidência fraca (1 pedido)</t>
        </is>
      </c>
    </row>
    <row r="682" ht="15" customFormat="1" customHeight="1" s="14">
      <c r="A682" s="19" t="inlineStr">
        <is>
          <t>Jacartta</t>
        </is>
      </c>
      <c r="B682" s="19" t="inlineStr">
        <is>
          <t>Tapete Higiênico Good Pad 80x60 90 unidades</t>
        </is>
      </c>
      <c r="C682" s="19" t="inlineStr">
        <is>
          <t>Sem variação</t>
        </is>
      </c>
      <c r="D682" s="19" t="inlineStr">
        <is>
          <t>0794</t>
        </is>
      </c>
      <c r="E682" s="19" t="inlineStr">
        <is>
          <t>22507251372</t>
        </is>
      </c>
      <c r="F682" s="19" t="inlineStr">
        <is>
          <t>0</t>
        </is>
      </c>
      <c r="G682" s="19" t="inlineStr">
        <is>
          <t>NORMAL</t>
        </is>
      </c>
      <c r="H682" s="20" t="n">
        <v>299.9</v>
      </c>
      <c r="I682" s="20" t="n">
        <v>169.9</v>
      </c>
      <c r="J682" s="21" t="inlineStr">
        <is>
          <t>SIM</t>
        </is>
      </c>
      <c r="K682" s="20" t="n">
        <v>169.9</v>
      </c>
      <c r="L682" s="35">
        <f>IF(K682&lt;&gt;"",K682,I682)</f>
        <v/>
      </c>
      <c r="M682" s="30" t="n"/>
      <c r="N682" s="30" t="n"/>
      <c r="O682" s="29" t="n"/>
      <c r="P682" s="80">
        <f>IF($O682="","",L682-O682-(L682*IF(L682&lt;=79.99,20%,14%)+IF(L682&lt;=79.99,4,IF(L682&lt;=99.99,16,IF(L682&lt;=199.99,20,IF(L682&lt;=499.99,26,28)))))-L682*1.3%-L682*6%-(L682-O682)*9.25%-L682*3%-L682*3%-1)</f>
        <v/>
      </c>
      <c r="Q682" s="22">
        <f>IF(AND(K682&lt;&gt;"",H682&gt;0),(H682-K682)/H682,"")</f>
        <v/>
      </c>
      <c r="R682" s="19" t="inlineStr">
        <is>
          <t>909481504866304</t>
        </is>
      </c>
      <c r="S682" s="23" t="n">
        <v>46144.3875</v>
      </c>
      <c r="T682" s="23" t="n">
        <v>46295.4375</v>
      </c>
      <c r="U682" s="19" t="inlineStr">
        <is>
          <t>100926</t>
        </is>
      </c>
      <c r="W682" t="inlineStr">
        <is>
          <t>sem correspondência</t>
        </is>
      </c>
      <c r="Y682" t="inlineStr"/>
    </row>
    <row r="683" ht="15" customFormat="1" customHeight="1" s="19">
      <c r="A683" s="19" t="inlineStr">
        <is>
          <t>Jacartta</t>
        </is>
      </c>
      <c r="B683" s="19" t="inlineStr">
        <is>
          <t>Tapete Higienico LAVANDA ultra Espaço De Bicho 60 Unidades Envio Imediato</t>
        </is>
      </c>
      <c r="C683" s="19" t="inlineStr">
        <is>
          <t>Sem variação</t>
        </is>
      </c>
      <c r="D683" s="19" t="inlineStr">
        <is>
          <t>ESPACO-LAVANDA-60</t>
        </is>
      </c>
      <c r="E683" s="19" t="inlineStr">
        <is>
          <t>21899048284</t>
        </is>
      </c>
      <c r="F683" s="19" t="inlineStr">
        <is>
          <t>0</t>
        </is>
      </c>
      <c r="G683" s="19" t="inlineStr">
        <is>
          <t>NORMAL</t>
        </is>
      </c>
      <c r="H683" s="20" t="n">
        <v>139.9</v>
      </c>
      <c r="I683" s="20" t="n">
        <v>109.9</v>
      </c>
      <c r="J683" s="21" t="inlineStr">
        <is>
          <t>SIM</t>
        </is>
      </c>
      <c r="K683" s="20" t="n">
        <v>109.9</v>
      </c>
      <c r="L683" s="35">
        <f>IF(K683&lt;&gt;"",K683,I683)</f>
        <v/>
      </c>
      <c r="M683" s="81" t="n">
        <v>2</v>
      </c>
      <c r="N683" s="82" t="n">
        <v>30.99</v>
      </c>
      <c r="O683" s="80">
        <f>ROUND(M683*N683,2)</f>
        <v/>
      </c>
      <c r="P683" s="80">
        <f>IF($O683="","",L683-O683-(L683*IF(L683&lt;=79.99,20%,14%)+IF(L683&lt;=79.99,4,IF(L683&lt;=99.99,16,IF(L683&lt;=199.99,20,IF(L683&lt;=499.99,26,28)))))-L683*1.3%-L683*6%-(L683-O683)*9.25%-L683*3%-L683*3%-1)</f>
        <v/>
      </c>
      <c r="Q683" s="22">
        <f>IF(AND(K683&lt;&gt;"",H683&gt;0),(H683-K683)/H683,"")</f>
        <v/>
      </c>
      <c r="R683" s="19" t="inlineStr">
        <is>
          <t>909481253191680</t>
        </is>
      </c>
      <c r="S683" s="23" t="n">
        <v>46144.38680555556</v>
      </c>
      <c r="T683" s="23" t="n">
        <v>46295.4375</v>
      </c>
      <c r="U683" s="19" t="inlineStr">
        <is>
          <t>100926</t>
        </is>
      </c>
      <c r="V683" t="inlineStr">
        <is>
          <t>212965</t>
        </is>
      </c>
      <c r="W683" t="inlineStr">
        <is>
          <t>venda casada (145 pedidos) · custo do KIT 212460 (2× 212965)</t>
        </is>
      </c>
      <c r="X683" t="n">
        <v>145</v>
      </c>
      <c r="Y683" t="inlineStr">
        <is>
          <t>ok</t>
        </is>
      </c>
    </row>
    <row r="684" ht="15" customFormat="1" customHeight="1" s="14">
      <c r="A684" s="14" t="inlineStr">
        <is>
          <t>Jacartta</t>
        </is>
      </c>
      <c r="B684" s="14" t="inlineStr">
        <is>
          <t>Tapete Higiênico Mozão Aroma Lavanda 80x60cm 30 Unidades</t>
        </is>
      </c>
      <c r="C684" s="14" t="inlineStr">
        <is>
          <t>Sem variação</t>
        </is>
      </c>
      <c r="D684" s="14" t="inlineStr">
        <is>
          <t>TAPETE-MOZAO-LAVANDA-30</t>
        </is>
      </c>
      <c r="E684" s="14" t="inlineStr">
        <is>
          <t>54315147105</t>
        </is>
      </c>
      <c r="F684" s="14" t="inlineStr">
        <is>
          <t>0</t>
        </is>
      </c>
      <c r="G684" s="14" t="inlineStr">
        <is>
          <t>NORMAL</t>
        </is>
      </c>
      <c r="H684" s="15" t="n">
        <v>69.90000000000001</v>
      </c>
      <c r="I684" s="15" t="n">
        <v>69.90000000000001</v>
      </c>
      <c r="J684" s="16" t="inlineStr">
        <is>
          <t>NÃO</t>
        </is>
      </c>
      <c r="K684" s="15" t="n"/>
      <c r="L684" s="35">
        <f>IF(K684&lt;&gt;"",K684,I684)</f>
        <v/>
      </c>
      <c r="M684" s="84" t="n">
        <v>1</v>
      </c>
      <c r="N684" s="85" t="n">
        <v>33.98</v>
      </c>
      <c r="O684" s="80">
        <f>ROUND(M684*N684,2)</f>
        <v/>
      </c>
      <c r="P684" s="80">
        <f>IF($O684="","",L684-O684-(L684*IF(L684&lt;=79.99,20%,14%)+IF(L684&lt;=79.99,4,IF(L684&lt;=99.99,16,IF(L684&lt;=199.99,20,IF(L684&lt;=499.99,26,28)))))-L684*1.3%-L684*6%-(L684-O684)*9.25%-L684*3%-L684*3%-1)</f>
        <v/>
      </c>
      <c r="Q684" s="17">
        <f>IF(AND(K684&lt;&gt;"",H684&gt;0),(H684-K684)/H684,"")</f>
        <v/>
      </c>
      <c r="R684" s="14" t="inlineStr"/>
      <c r="S684" s="18" t="n"/>
      <c r="T684" s="18" t="n"/>
      <c r="U684" s="14" t="inlineStr">
        <is>
          <t>100926</t>
        </is>
      </c>
      <c r="V684" t="inlineStr">
        <is>
          <t>216182</t>
        </is>
      </c>
      <c r="W684" t="inlineStr">
        <is>
          <t>SKU do de-para · custo do KIT 216202 (1× 216182)</t>
        </is>
      </c>
      <c r="X684" t="n">
        <v>2</v>
      </c>
      <c r="Y684" t="inlineStr">
        <is>
          <t>ok</t>
        </is>
      </c>
    </row>
    <row r="685" ht="15" customFormat="1" customHeight="1" s="19">
      <c r="A685" s="19" t="inlineStr">
        <is>
          <t>Jacartta</t>
        </is>
      </c>
      <c r="B685" s="19" t="inlineStr">
        <is>
          <t>Tapete Higiênico Mozão Aroma Neutro 50x60cm 30 Unidades</t>
        </is>
      </c>
      <c r="C685" s="19" t="inlineStr">
        <is>
          <t>Sem variação</t>
        </is>
      </c>
      <c r="D685" s="19" t="inlineStr">
        <is>
          <t>TAPETE-MOZAO-NEUTRO-30</t>
        </is>
      </c>
      <c r="E685" s="19" t="inlineStr">
        <is>
          <t>41533141351</t>
        </is>
      </c>
      <c r="F685" s="19" t="inlineStr">
        <is>
          <t>0</t>
        </is>
      </c>
      <c r="G685" s="19" t="inlineStr">
        <is>
          <t>NORMAL</t>
        </is>
      </c>
      <c r="H685" s="20" t="n">
        <v>39.9</v>
      </c>
      <c r="I685" s="20" t="n">
        <v>39.9</v>
      </c>
      <c r="J685" s="21" t="inlineStr">
        <is>
          <t>NÃO</t>
        </is>
      </c>
      <c r="K685" s="20" t="n"/>
      <c r="L685" s="35">
        <f>IF(K685&lt;&gt;"",K685,I685)</f>
        <v/>
      </c>
      <c r="M685" s="30" t="n"/>
      <c r="N685" s="30" t="n"/>
      <c r="O685" s="31" t="n"/>
      <c r="P685" s="80">
        <f>IF($O685="","",L685-O685-(L685*IF(L685&lt;=79.99,20%,14%)+IF(L685&lt;=79.99,4,IF(L685&lt;=99.99,16,IF(L685&lt;=199.99,20,IF(L685&lt;=499.99,26,28)))))-L685*1.3%-L685*6%-(L685-O685)*9.25%-L685*3%-L685*3%-1)</f>
        <v/>
      </c>
      <c r="Q685" s="22">
        <f>IF(AND(K685&lt;&gt;"",H685&gt;0),(H685-K685)/H685,"")</f>
        <v/>
      </c>
      <c r="R685" s="19" t="inlineStr"/>
      <c r="S685" s="23" t="n"/>
      <c r="T685" s="23" t="n"/>
      <c r="U685" s="19" t="inlineStr">
        <is>
          <t>100926</t>
        </is>
      </c>
      <c r="W685" t="inlineStr">
        <is>
          <t>sem correspondência</t>
        </is>
      </c>
      <c r="Y685" t="inlineStr"/>
    </row>
    <row r="686" ht="15" customFormat="1" customHeight="1" s="14">
      <c r="A686" s="19" t="inlineStr">
        <is>
          <t>Jacartta</t>
        </is>
      </c>
      <c r="B686" s="19" t="inlineStr">
        <is>
          <t>Kit Com 10 Tapete Higienico Good Pad 50 Unidades Envio Imediato</t>
        </is>
      </c>
      <c r="C686" s="19" t="inlineStr">
        <is>
          <t>Sem variação</t>
        </is>
      </c>
      <c r="D686" s="19" t="inlineStr">
        <is>
          <t>0771</t>
        </is>
      </c>
      <c r="E686" s="19" t="inlineStr">
        <is>
          <t>22397092350</t>
        </is>
      </c>
      <c r="F686" s="19" t="inlineStr">
        <is>
          <t>0</t>
        </is>
      </c>
      <c r="G686" s="19" t="inlineStr">
        <is>
          <t>NORMAL</t>
        </is>
      </c>
      <c r="H686" s="20" t="n">
        <v>589.9</v>
      </c>
      <c r="I686" s="20" t="n">
        <v>589.9</v>
      </c>
      <c r="J686" s="21" t="inlineStr">
        <is>
          <t>NÃO</t>
        </is>
      </c>
      <c r="K686" s="20" t="n"/>
      <c r="L686" s="35">
        <f>IF(K686&lt;&gt;"",K686,I686)</f>
        <v/>
      </c>
      <c r="M686" s="81" t="n">
        <v>1</v>
      </c>
      <c r="N686" s="82" t="n">
        <v>33.46</v>
      </c>
      <c r="O686" s="83">
        <f>ROUND(M686*N686,2)</f>
        <v/>
      </c>
      <c r="P686" s="80">
        <f>IF($O686="","",L686-O686-(L686*IF(L686&lt;=79.99,20%,14%)+IF(L686&lt;=79.99,4,IF(L686&lt;=99.99,16,IF(L686&lt;=199.99,20,IF(L686&lt;=499.99,26,28)))))-L686*1.3%-L686*6%-(L686-O686)*9.25%-L686*3%-L686*3%-1)</f>
        <v/>
      </c>
      <c r="Q686" s="22">
        <f>IF(AND(K686&lt;&gt;"",H686&gt;0),(H686-K686)/H686,"")</f>
        <v/>
      </c>
      <c r="R686" s="19" t="inlineStr"/>
      <c r="S686" s="23" t="n"/>
      <c r="T686" s="23" t="n"/>
      <c r="U686" s="19" t="inlineStr">
        <is>
          <t>100926</t>
        </is>
      </c>
      <c r="V686" t="inlineStr">
        <is>
          <t>212961</t>
        </is>
      </c>
      <c r="W686" t="inlineStr">
        <is>
          <t>SKU do de-para · custo do KIT 213830 (1× 212961)</t>
        </is>
      </c>
      <c r="X686" t="n">
        <v>2420</v>
      </c>
      <c r="Y686" t="inlineStr">
        <is>
          <t>ok</t>
        </is>
      </c>
    </row>
    <row r="687" ht="15" customFormat="1" customHeight="1" s="19">
      <c r="A687" s="19" t="inlineStr">
        <is>
          <t>Jacartta</t>
        </is>
      </c>
      <c r="B687" s="19" t="inlineStr">
        <is>
          <t>Tapete Higienico Pet Good Pads 80x60 com com 30 Unidades Para Pets</t>
        </is>
      </c>
      <c r="C687" s="19" t="inlineStr">
        <is>
          <t>Sem variação</t>
        </is>
      </c>
      <c r="D687" s="19" t="inlineStr">
        <is>
          <t>0796_2</t>
        </is>
      </c>
      <c r="E687" s="19" t="inlineStr">
        <is>
          <t>19862845386</t>
        </is>
      </c>
      <c r="F687" s="19" t="inlineStr">
        <is>
          <t>0</t>
        </is>
      </c>
      <c r="G687" s="19" t="inlineStr">
        <is>
          <t>NORMAL</t>
        </is>
      </c>
      <c r="H687" s="20" t="n">
        <v>99.90000000000001</v>
      </c>
      <c r="I687" s="20" t="n">
        <v>56.9</v>
      </c>
      <c r="J687" s="21" t="inlineStr">
        <is>
          <t>SIM</t>
        </is>
      </c>
      <c r="K687" s="20" t="n">
        <v>56.9</v>
      </c>
      <c r="L687" s="35">
        <f>IF(K687&lt;&gt;"",K687,I687)</f>
        <v/>
      </c>
      <c r="M687" s="81" t="n">
        <v>1</v>
      </c>
      <c r="N687" s="82" t="n">
        <v>26.19</v>
      </c>
      <c r="O687" s="80">
        <f>ROUND(M687*N687,2)</f>
        <v/>
      </c>
      <c r="P687" s="80">
        <f>IF($O687="","",L687-O687-(L687*IF(L687&lt;=79.99,20%,14%)+IF(L687&lt;=79.99,4,IF(L687&lt;=99.99,16,IF(L687&lt;=199.99,20,IF(L687&lt;=499.99,26,28)))))-L687*1.3%-L687*6%-(L687-O687)*9.25%-L687*3%-L687*3%-1)</f>
        <v/>
      </c>
      <c r="Q687" s="22">
        <f>IF(AND(K687&lt;&gt;"",H687&gt;0),(H687-K687)/H687,"")</f>
        <v/>
      </c>
      <c r="R687" s="19" t="inlineStr">
        <is>
          <t>909481068642304</t>
        </is>
      </c>
      <c r="S687" s="23" t="n">
        <v>46144.38680555556</v>
      </c>
      <c r="T687" s="23" t="n">
        <v>46295.4375</v>
      </c>
      <c r="U687" s="19" t="inlineStr">
        <is>
          <t>100926</t>
        </is>
      </c>
      <c r="V687" t="inlineStr">
        <is>
          <t>212959</t>
        </is>
      </c>
      <c r="W687" t="inlineStr">
        <is>
          <t>venda casada (4 pedidos) · custo do KIT 213822 (1× 212959)</t>
        </is>
      </c>
      <c r="X687" t="n">
        <v>4</v>
      </c>
      <c r="Y687" t="inlineStr">
        <is>
          <t>ok</t>
        </is>
      </c>
    </row>
    <row r="688" ht="15" customFormat="1" customHeight="1" s="14">
      <c r="A688" s="14" t="inlineStr">
        <is>
          <t>Jacartta</t>
        </is>
      </c>
      <c r="B688" s="14" t="inlineStr">
        <is>
          <t>Tapete Higiênico Pet P/ Cães Ultra Pads Lavanda 80x60 90unid</t>
        </is>
      </c>
      <c r="C688" s="14" t="inlineStr">
        <is>
          <t>Sem variação</t>
        </is>
      </c>
      <c r="D688" s="14" t="inlineStr">
        <is>
          <t>0790</t>
        </is>
      </c>
      <c r="E688" s="14" t="inlineStr">
        <is>
          <t>22823043121</t>
        </is>
      </c>
      <c r="F688" s="14" t="inlineStr">
        <is>
          <t>0</t>
        </is>
      </c>
      <c r="G688" s="14" t="inlineStr">
        <is>
          <t>NORMAL</t>
        </is>
      </c>
      <c r="H688" s="15" t="n">
        <v>399.8</v>
      </c>
      <c r="I688" s="15" t="n">
        <v>189.9</v>
      </c>
      <c r="J688" s="16" t="inlineStr">
        <is>
          <t>SIM</t>
        </is>
      </c>
      <c r="K688" s="15" t="n">
        <v>189.9</v>
      </c>
      <c r="L688" s="35">
        <f>IF(K688&lt;&gt;"",K688,I688)</f>
        <v/>
      </c>
      <c r="M688" s="84" t="n">
        <v>3</v>
      </c>
      <c r="N688" s="85" t="n">
        <v>29.19</v>
      </c>
      <c r="O688" s="80">
        <f>ROUND(M688*N688,2)</f>
        <v/>
      </c>
      <c r="P688" s="80">
        <f>IF($O688="","",L688-O688-(L688*IF(L688&lt;=79.99,20%,14%)+IF(L688&lt;=79.99,4,IF(L688&lt;=99.99,16,IF(L688&lt;=199.99,20,IF(L688&lt;=499.99,26,28)))))-L688*1.3%-L688*6%-(L688-O688)*9.25%-L688*3%-L688*3%-1)</f>
        <v/>
      </c>
      <c r="Q688" s="17">
        <f>IF(AND(K688&lt;&gt;"",H688&gt;0),(H688-K688)/H688,"")</f>
        <v/>
      </c>
      <c r="R688" s="14" t="inlineStr">
        <is>
          <t>909481068642304</t>
        </is>
      </c>
      <c r="S688" s="18" t="n">
        <v>46144.38680555556</v>
      </c>
      <c r="T688" s="18" t="n">
        <v>46295.4375</v>
      </c>
      <c r="U688" s="14" t="inlineStr">
        <is>
          <t>100926</t>
        </is>
      </c>
      <c r="V688" t="inlineStr">
        <is>
          <t>212967</t>
        </is>
      </c>
      <c r="W688" t="inlineStr">
        <is>
          <t>venda casada (1 pedido) · custo do KIT 213809 (3× 212967)</t>
        </is>
      </c>
      <c r="X688" t="n">
        <v>1</v>
      </c>
      <c r="Y688" t="inlineStr">
        <is>
          <t>⚠ evidência fraca (1 pedido)</t>
        </is>
      </c>
    </row>
    <row r="689" ht="15" customFormat="1" customHeight="1" s="19">
      <c r="A689" s="19" t="inlineStr">
        <is>
          <t>Jacartta</t>
        </is>
      </c>
      <c r="B689" s="19" t="inlineStr">
        <is>
          <t>Tapete Higienico Utra Espaço de Bicho 30 Unidades Envio Imediato</t>
        </is>
      </c>
      <c r="C689" s="19" t="inlineStr">
        <is>
          <t>Sem variação</t>
        </is>
      </c>
      <c r="D689" s="19" t="inlineStr">
        <is>
          <t>ESPACO-LAVANDA-30</t>
        </is>
      </c>
      <c r="E689" s="19" t="inlineStr">
        <is>
          <t>22797082578</t>
        </is>
      </c>
      <c r="F689" s="19" t="inlineStr">
        <is>
          <t>0</t>
        </is>
      </c>
      <c r="G689" s="19" t="inlineStr">
        <is>
          <t>NORMAL</t>
        </is>
      </c>
      <c r="H689" s="20" t="n">
        <v>198.9</v>
      </c>
      <c r="I689" s="20" t="n">
        <v>57.9</v>
      </c>
      <c r="J689" s="21" t="inlineStr">
        <is>
          <t>SIM</t>
        </is>
      </c>
      <c r="K689" s="20" t="n">
        <v>57.9</v>
      </c>
      <c r="L689" s="35">
        <f>IF(K689&lt;&gt;"",K689,I689)</f>
        <v/>
      </c>
      <c r="M689" s="81" t="n">
        <v>1</v>
      </c>
      <c r="N689" s="82" t="n">
        <v>30.99</v>
      </c>
      <c r="O689" s="80">
        <f>ROUND(M689*N689,2)</f>
        <v/>
      </c>
      <c r="P689" s="80">
        <f>IF($O689="","",L689-O689-(L689*IF(L689&lt;=79.99,20%,14%)+IF(L689&lt;=79.99,4,IF(L689&lt;=99.99,16,IF(L689&lt;=199.99,20,IF(L689&lt;=499.99,26,28)))))-L689*1.3%-L689*6%-(L689-O689)*9.25%-L689*3%-L689*3%-1)</f>
        <v/>
      </c>
      <c r="Q689" s="22">
        <f>IF(AND(K689&lt;&gt;"",H689&gt;0),(H689-K689)/H689,"")</f>
        <v/>
      </c>
      <c r="R689" s="19" t="inlineStr">
        <is>
          <t>909481253191680</t>
        </is>
      </c>
      <c r="S689" s="23" t="n">
        <v>46144.38680555556</v>
      </c>
      <c r="T689" s="23" t="n">
        <v>46295.4375</v>
      </c>
      <c r="U689" s="19" t="inlineStr">
        <is>
          <t>100926</t>
        </is>
      </c>
      <c r="V689" t="inlineStr">
        <is>
          <t>212965</t>
        </is>
      </c>
      <c r="W689" t="inlineStr">
        <is>
          <t>venda casada (9 pedidos) · custo do KIT 213799 (1× 212965)</t>
        </is>
      </c>
      <c r="X689" t="n">
        <v>9</v>
      </c>
      <c r="Y689" t="inlineStr">
        <is>
          <t>ok</t>
        </is>
      </c>
    </row>
    <row r="690" ht="15" customFormat="1" customHeight="1" s="14">
      <c r="A690" s="19" t="inlineStr">
        <is>
          <t>Jacartta</t>
        </is>
      </c>
      <c r="B690" s="19" t="inlineStr">
        <is>
          <t>Tergenvet 250ml</t>
        </is>
      </c>
      <c r="C690" s="19" t="inlineStr">
        <is>
          <t>Sem variação</t>
        </is>
      </c>
      <c r="D690" s="19" t="inlineStr">
        <is>
          <t>0150</t>
        </is>
      </c>
      <c r="E690" s="19" t="inlineStr">
        <is>
          <t>9260515036</t>
        </is>
      </c>
      <c r="F690" s="19" t="inlineStr">
        <is>
          <t>0</t>
        </is>
      </c>
      <c r="G690" s="19" t="inlineStr">
        <is>
          <t>NORMAL</t>
        </is>
      </c>
      <c r="H690" s="20" t="n">
        <v>83.8</v>
      </c>
      <c r="I690" s="20" t="n">
        <v>83.8</v>
      </c>
      <c r="J690" s="21" t="inlineStr">
        <is>
          <t>NÃO</t>
        </is>
      </c>
      <c r="K690" s="20" t="n"/>
      <c r="L690" s="35">
        <f>IF(K690&lt;&gt;"",K690,I690)</f>
        <v/>
      </c>
      <c r="M690" s="30" t="n"/>
      <c r="N690" s="30" t="n"/>
      <c r="O690" s="31" t="n"/>
      <c r="P690" s="80">
        <f>IF($O690="","",L690-O690-(L690*IF(L690&lt;=79.99,20%,14%)+IF(L690&lt;=79.99,4,IF(L690&lt;=99.99,16,IF(L690&lt;=199.99,20,IF(L690&lt;=499.99,26,28)))))-L690*1.3%-L690*6%-(L690-O690)*9.25%-L690*3%-L690*3%-1)</f>
        <v/>
      </c>
      <c r="Q690" s="22">
        <f>IF(AND(K690&lt;&gt;"",H690&gt;0),(H690-K690)/H690,"")</f>
        <v/>
      </c>
      <c r="R690" s="19" t="inlineStr"/>
      <c r="S690" s="23" t="n"/>
      <c r="T690" s="23" t="n"/>
      <c r="U690" s="19" t="inlineStr">
        <is>
          <t>100942</t>
        </is>
      </c>
      <c r="W690" t="inlineStr">
        <is>
          <t>sem correspondência</t>
        </is>
      </c>
      <c r="Y690" t="inlineStr"/>
    </row>
    <row r="691" ht="15" customFormat="1" customHeight="1" s="19">
      <c r="A691" s="14" t="inlineStr">
        <is>
          <t>Jacartta</t>
        </is>
      </c>
      <c r="B691" s="14" t="inlineStr">
        <is>
          <t>Tiuran Aerossol + Sabonete + Solução 30ml Sarnicida Fungicida Remédio para Sarna de Cachorro e Gato</t>
        </is>
      </c>
      <c r="C691" s="14" t="inlineStr">
        <is>
          <t>Kit 2</t>
        </is>
      </c>
      <c r="D691" s="14" t="inlineStr">
        <is>
          <t>KIT-TIURAN-2AEROSSOL-2SABONETE-2SOLUÇÃO-30ML</t>
        </is>
      </c>
      <c r="E691" s="14" t="inlineStr">
        <is>
          <t>21398316409</t>
        </is>
      </c>
      <c r="F691" s="14" t="inlineStr">
        <is>
          <t>219180088630</t>
        </is>
      </c>
      <c r="G691" s="14" t="inlineStr">
        <is>
          <t>NORMAL</t>
        </is>
      </c>
      <c r="H691" s="15" t="n">
        <v>150.9</v>
      </c>
      <c r="I691" s="15" t="n">
        <v>135.9</v>
      </c>
      <c r="J691" s="16" t="inlineStr">
        <is>
          <t>SIM</t>
        </is>
      </c>
      <c r="K691" s="15" t="n">
        <v>135.9</v>
      </c>
      <c r="L691" s="35">
        <f>IF(K691&lt;&gt;"",K691,I691)</f>
        <v/>
      </c>
      <c r="M691" s="28" t="n"/>
      <c r="N691" s="28" t="n"/>
      <c r="O691" s="29" t="n"/>
      <c r="P691" s="80">
        <f>IF($O691="","",L691-O691-(L691*IF(L691&lt;=79.99,20%,14%)+IF(L691&lt;=79.99,4,IF(L691&lt;=99.99,16,IF(L691&lt;=199.99,20,IF(L691&lt;=499.99,26,28)))))-L691*1.3%-L691*6%-(L691-O691)*9.25%-L691*3%-L691*3%-1)</f>
        <v/>
      </c>
      <c r="Q691" s="17">
        <f>IF(AND(K691&lt;&gt;"",H691&gt;0),(H691-K691)/H691,"")</f>
        <v/>
      </c>
      <c r="R691" s="14" t="inlineStr">
        <is>
          <t>909481504866304</t>
        </is>
      </c>
      <c r="S691" s="18" t="n">
        <v>46144.3875</v>
      </c>
      <c r="T691" s="18" t="n">
        <v>46295.4375</v>
      </c>
      <c r="U691" s="14" t="inlineStr">
        <is>
          <t>100942</t>
        </is>
      </c>
      <c r="V691" t="inlineStr">
        <is>
          <t>KIT-TIURAN-1AEROSSOL-1SABONETE-1SOLUÇÃO-30ML</t>
        </is>
      </c>
      <c r="W691" t="inlineStr">
        <is>
          <t>herdado do anúncio · CUSTO ZERADO na Olist (conferido hoje)</t>
        </is>
      </c>
      <c r="Y691" t="inlineStr">
        <is>
          <t>ok</t>
        </is>
      </c>
    </row>
    <row r="692" ht="15" customFormat="1" customHeight="1" s="14">
      <c r="A692" s="14" t="inlineStr">
        <is>
          <t>Jacartta</t>
        </is>
      </c>
      <c r="B692" s="14" t="inlineStr">
        <is>
          <t>Vermifugo P/ Gatos 3kg Vermicats 600mg World 12 Comprimidos</t>
        </is>
      </c>
      <c r="C692" s="14" t="inlineStr">
        <is>
          <t>Sem variação</t>
        </is>
      </c>
      <c r="D692" s="14" t="inlineStr">
        <is>
          <t>VERMICATS-500MG-12COMP</t>
        </is>
      </c>
      <c r="E692" s="14" t="inlineStr">
        <is>
          <t>23493000057</t>
        </is>
      </c>
      <c r="F692" s="14" t="inlineStr">
        <is>
          <t>0</t>
        </is>
      </c>
      <c r="G692" s="14" t="inlineStr">
        <is>
          <t>NORMAL</t>
        </is>
      </c>
      <c r="H692" s="15" t="n">
        <v>49.9</v>
      </c>
      <c r="I692" s="15" t="n">
        <v>24.9</v>
      </c>
      <c r="J692" s="16" t="inlineStr">
        <is>
          <t>SIM</t>
        </is>
      </c>
      <c r="K692" s="15" t="n">
        <v>24.9</v>
      </c>
      <c r="L692" s="35">
        <f>IF(K692&lt;&gt;"",K692,I692)</f>
        <v/>
      </c>
      <c r="M692" s="84" t="n">
        <v>3</v>
      </c>
      <c r="N692" s="85" t="n">
        <v>8.73</v>
      </c>
      <c r="O692" s="80">
        <f>ROUND(M692*N692,2)</f>
        <v/>
      </c>
      <c r="P692" s="80">
        <f>IF($O692="","",L692-O692-(L692*IF(L692&lt;=79.99,20%,14%)+IF(L692&lt;=79.99,4,IF(L692&lt;=99.99,16,IF(L692&lt;=199.99,20,IF(L692&lt;=499.99,26,28)))))-L692*1.3%-L692*6%-(L692-O692)*9.25%-L692*3%-L692*3%-1)</f>
        <v/>
      </c>
      <c r="Q692" s="17">
        <f>IF(AND(K692&lt;&gt;"",H692&gt;0),(H692-K692)/H692,"")</f>
        <v/>
      </c>
      <c r="R692" s="14" t="inlineStr">
        <is>
          <t>909481504866304</t>
        </is>
      </c>
      <c r="S692" s="18" t="n">
        <v>46144.3875</v>
      </c>
      <c r="T692" s="18" t="n">
        <v>46295.4375</v>
      </c>
      <c r="U692" s="14" t="inlineStr">
        <is>
          <t>100942</t>
        </is>
      </c>
      <c r="V692" t="inlineStr">
        <is>
          <t>213632</t>
        </is>
      </c>
      <c r="W692" t="inlineStr">
        <is>
          <t>venda casada (1 pedido) · custo do KIT 213636 (3× 213632)</t>
        </is>
      </c>
      <c r="X692" t="n">
        <v>1</v>
      </c>
      <c r="Y692" t="inlineStr">
        <is>
          <t>⚠ evidência fraca (1 pedido)</t>
        </is>
      </c>
    </row>
    <row r="693" ht="15" customFormat="1" customHeight="1" s="19">
      <c r="A693" s="19" t="inlineStr">
        <is>
          <t>Jacartta</t>
        </is>
      </c>
      <c r="B693" s="19" t="inlineStr">
        <is>
          <t>Vermífugo World Veterinária VermiCats para Gatos de 3 Kg ( 4 Comprimidos)</t>
        </is>
      </c>
      <c r="C693" s="19" t="inlineStr">
        <is>
          <t>4 Comprimidos</t>
        </is>
      </c>
      <c r="D693" s="19" t="inlineStr">
        <is>
          <t>4COMP-VERMICATS-600MG</t>
        </is>
      </c>
      <c r="E693" s="19" t="inlineStr">
        <is>
          <t>22297506678</t>
        </is>
      </c>
      <c r="F693" s="19" t="inlineStr">
        <is>
          <t>390906759012</t>
        </is>
      </c>
      <c r="G693" s="19" t="inlineStr">
        <is>
          <t>NORMAL</t>
        </is>
      </c>
      <c r="H693" s="20" t="n">
        <v>49.9</v>
      </c>
      <c r="I693" s="20" t="n">
        <v>9.99</v>
      </c>
      <c r="J693" s="21" t="inlineStr">
        <is>
          <t>SIM</t>
        </is>
      </c>
      <c r="K693" s="20" t="n">
        <v>9.99</v>
      </c>
      <c r="L693" s="35">
        <f>IF(K693&lt;&gt;"",K693,I693)</f>
        <v/>
      </c>
      <c r="M693" s="30" t="n"/>
      <c r="N693" s="30" t="n"/>
      <c r="O693" s="29" t="n"/>
      <c r="P693" s="80">
        <f>IF($O693="","",L693-O693-(L693*IF(L693&lt;=79.99,20%,14%)+IF(L693&lt;=79.99,4,IF(L693&lt;=99.99,16,IF(L693&lt;=199.99,20,IF(L693&lt;=499.99,26,28)))))-L693*1.3%-L693*6%-(L693-O693)*9.25%-L693*3%-L693*3%-1)</f>
        <v/>
      </c>
      <c r="Q693" s="22">
        <f>IF(AND(K693&lt;&gt;"",H693&gt;0),(H693-K693)/H693,"")</f>
        <v/>
      </c>
      <c r="R693" s="19" t="inlineStr">
        <is>
          <t>909481504866304</t>
        </is>
      </c>
      <c r="S693" s="23" t="n">
        <v>46144.3875</v>
      </c>
      <c r="T693" s="23" t="n">
        <v>46295.4375</v>
      </c>
      <c r="U693" s="19" t="inlineStr">
        <is>
          <t>100942</t>
        </is>
      </c>
      <c r="W693" t="inlineStr">
        <is>
          <t>sem correspondência</t>
        </is>
      </c>
      <c r="Y693" t="inlineStr"/>
    </row>
    <row r="694" ht="15" customFormat="1" customHeight="1" s="14">
      <c r="A694" s="14" t="inlineStr">
        <is>
          <t>Jacartta</t>
        </is>
      </c>
      <c r="B694" s="14" t="inlineStr">
        <is>
          <t>Vermífugo World Veterinária VermiCats para Gatos de 3 Kg ( 4 Comprimidos)</t>
        </is>
      </c>
      <c r="C694" s="14" t="inlineStr">
        <is>
          <t>8 Comprimidos</t>
        </is>
      </c>
      <c r="D694" s="14" t="inlineStr">
        <is>
          <t>8COMP-VERMICATS-600MG</t>
        </is>
      </c>
      <c r="E694" s="14" t="inlineStr">
        <is>
          <t>22297506678</t>
        </is>
      </c>
      <c r="F694" s="14" t="inlineStr">
        <is>
          <t>390906759013</t>
        </is>
      </c>
      <c r="G694" s="14" t="inlineStr">
        <is>
          <t>NORMAL</t>
        </is>
      </c>
      <c r="H694" s="15" t="n">
        <v>49.9</v>
      </c>
      <c r="I694" s="15" t="n">
        <v>14.99</v>
      </c>
      <c r="J694" s="16" t="inlineStr">
        <is>
          <t>SIM</t>
        </is>
      </c>
      <c r="K694" s="15" t="n">
        <v>14.99</v>
      </c>
      <c r="L694" s="35">
        <f>IF(K694&lt;&gt;"",K694,I694)</f>
        <v/>
      </c>
      <c r="M694" s="28" t="n"/>
      <c r="N694" s="28" t="n"/>
      <c r="O694" s="29" t="n"/>
      <c r="P694" s="80">
        <f>IF($O694="","",L694-O694-(L694*IF(L694&lt;=79.99,20%,14%)+IF(L694&lt;=79.99,4,IF(L694&lt;=99.99,16,IF(L694&lt;=199.99,20,IF(L694&lt;=499.99,26,28)))))-L694*1.3%-L694*6%-(L694-O694)*9.25%-L694*3%-L694*3%-1)</f>
        <v/>
      </c>
      <c r="Q694" s="17">
        <f>IF(AND(K694&lt;&gt;"",H694&gt;0),(H694-K694)/H694,"")</f>
        <v/>
      </c>
      <c r="R694" s="14" t="inlineStr">
        <is>
          <t>909481504866304</t>
        </is>
      </c>
      <c r="S694" s="18" t="n">
        <v>46144.3875</v>
      </c>
      <c r="T694" s="18" t="n">
        <v>46295.4375</v>
      </c>
      <c r="U694" s="14" t="inlineStr">
        <is>
          <t>100942</t>
        </is>
      </c>
      <c r="W694" t="inlineStr">
        <is>
          <t>sem correspondência</t>
        </is>
      </c>
      <c r="Y694" t="inlineStr"/>
    </row>
    <row r="695" ht="15" customFormat="1" customHeight="1" s="19">
      <c r="A695" s="19" t="inlineStr">
        <is>
          <t>Jacartta</t>
        </is>
      </c>
      <c r="B695" s="19" t="inlineStr">
        <is>
          <t>VITA VET C PO 500GR</t>
        </is>
      </c>
      <c r="C695" s="19" t="inlineStr">
        <is>
          <t>Sem variação</t>
        </is>
      </c>
      <c r="D695" s="19" t="inlineStr">
        <is>
          <t>0140</t>
        </is>
      </c>
      <c r="E695" s="19" t="inlineStr">
        <is>
          <t>16864755282</t>
        </is>
      </c>
      <c r="F695" s="19" t="inlineStr">
        <is>
          <t>0</t>
        </is>
      </c>
      <c r="G695" s="19" t="inlineStr">
        <is>
          <t>NORMAL</t>
        </is>
      </c>
      <c r="H695" s="20" t="n">
        <v>467.8</v>
      </c>
      <c r="I695" s="20" t="n">
        <v>467.8</v>
      </c>
      <c r="J695" s="21" t="inlineStr">
        <is>
          <t>NÃO</t>
        </is>
      </c>
      <c r="K695" s="20" t="n"/>
      <c r="L695" s="35">
        <f>IF(K695&lt;&gt;"",K695,I695)</f>
        <v/>
      </c>
      <c r="M695" s="30" t="n"/>
      <c r="N695" s="30" t="n"/>
      <c r="O695" s="31" t="n"/>
      <c r="P695" s="80">
        <f>IF($O695="","",L695-O695-(L695*IF(L695&lt;=79.99,20%,14%)+IF(L695&lt;=79.99,4,IF(L695&lt;=99.99,16,IF(L695&lt;=199.99,20,IF(L695&lt;=499.99,26,28)))))-L695*1.3%-L695*6%-(L695-O695)*9.25%-L695*3%-L695*3%-1)</f>
        <v/>
      </c>
      <c r="Q695" s="22">
        <f>IF(AND(K695&lt;&gt;"",H695&gt;0),(H695-K695)/H695,"")</f>
        <v/>
      </c>
      <c r="R695" s="19" t="inlineStr"/>
      <c r="S695" s="23" t="n"/>
      <c r="T695" s="23" t="n"/>
      <c r="U695" s="19" t="inlineStr">
        <is>
          <t>100944</t>
        </is>
      </c>
      <c r="W695" t="inlineStr">
        <is>
          <t>sem correspondência</t>
        </is>
      </c>
      <c r="Y695" t="inlineStr"/>
    </row>
    <row r="696" ht="18" customHeight="1">
      <c r="A696" s="54" t="inlineStr">
        <is>
          <t>Donacor</t>
        </is>
      </c>
      <c r="B696" s="54" t="inlineStr">
        <is>
          <t>1/2/3 Cabide Para Calças Roupas Multiuso Reforçado Adulto Saias Camisetas</t>
        </is>
      </c>
      <c r="C696" s="54" t="inlineStr">
        <is>
          <t>1 Unidade,Branco</t>
        </is>
      </c>
      <c r="D696" s="54" t="inlineStr">
        <is>
          <t>CABIDE,MULTIFUNCIONAL-BRANCO-1UN</t>
        </is>
      </c>
      <c r="E696" s="54" t="n">
        <v>22197769530</v>
      </c>
      <c r="F696" s="54" t="n">
        <v>405554415508</v>
      </c>
      <c r="G696" s="54" t="inlineStr">
        <is>
          <t>NORMAL</t>
        </is>
      </c>
      <c r="H696" s="86" t="n">
        <v>29.9</v>
      </c>
      <c r="I696" s="86" t="n">
        <v>21.9</v>
      </c>
      <c r="J696" s="56" t="inlineStr">
        <is>
          <t>SIM</t>
        </is>
      </c>
      <c r="K696" s="86" t="n">
        <v>21.9</v>
      </c>
      <c r="L696" s="87" t="n">
        <v>21.9</v>
      </c>
      <c r="M696" s="88" t="n">
        <v>1</v>
      </c>
      <c r="N696" s="89" t="n">
        <v>4.51</v>
      </c>
      <c r="O696" s="89">
        <f>ROUND(M696*N696,2)</f>
        <v/>
      </c>
      <c r="P696" s="90">
        <f>IF($O696="","",L696-O696-(L696*IF(L696&lt;=79.99,20%,14%)+IF(L696&lt;=79.99,4,IF(L696&lt;=99.99,16,IF(L696&lt;=199.99,20,IF(L696&lt;=499.99,26,28)))))-L696*1.3%-L696*6%-(L696-O696)*9.25%-L696*3%-L696*3%-1)</f>
        <v/>
      </c>
      <c r="Q696" s="58" t="n">
        <v>0.268</v>
      </c>
      <c r="R696" s="54" t="inlineStr">
        <is>
          <t>478840979931317, 484945860710786</t>
        </is>
      </c>
      <c r="S696" s="59" t="n">
        <v>46227.73958333334</v>
      </c>
      <c r="T696" s="59" t="n">
        <v>46248.99930555555</v>
      </c>
      <c r="U696" s="54" t="n">
        <v>101253</v>
      </c>
      <c r="V696" t="inlineStr">
        <is>
          <t>214149</t>
        </is>
      </c>
      <c r="W696" t="inlineStr">
        <is>
          <t>venda casada (2 pedidos) · custo do KIT 215218 (1× 214149)</t>
        </is>
      </c>
      <c r="X696" t="n">
        <v>2</v>
      </c>
      <c r="Y696" t="inlineStr">
        <is>
          <t>ok</t>
        </is>
      </c>
    </row>
    <row r="697" ht="18" customHeight="1">
      <c r="A697" s="60" t="inlineStr">
        <is>
          <t>Donacor</t>
        </is>
      </c>
      <c r="B697" s="60" t="inlineStr">
        <is>
          <t>1/2/3 Cabide Para Calças Roupas Multiuso Reforçado Adulto Saias Camisetas</t>
        </is>
      </c>
      <c r="C697" s="60" t="inlineStr">
        <is>
          <t>1 Unidade,Preto</t>
        </is>
      </c>
      <c r="D697" s="60" t="inlineStr">
        <is>
          <t>CABIDE,MULTIFUNCIONAL-PRETO-1UN</t>
        </is>
      </c>
      <c r="E697" s="60" t="n">
        <v>22197769530</v>
      </c>
      <c r="F697" s="60" t="n">
        <v>405554415507</v>
      </c>
      <c r="G697" s="60" t="inlineStr">
        <is>
          <t>NORMAL</t>
        </is>
      </c>
      <c r="H697" s="91" t="n">
        <v>29.9</v>
      </c>
      <c r="I697" s="91" t="n">
        <v>29.9</v>
      </c>
      <c r="J697" s="62" t="inlineStr">
        <is>
          <t>NÃO</t>
        </is>
      </c>
      <c r="K697" s="60" t="inlineStr">
        <is>
          <t> </t>
        </is>
      </c>
      <c r="L697" s="87" t="n">
        <v>29.9</v>
      </c>
      <c r="M697" s="88" t="n">
        <v>1</v>
      </c>
      <c r="N697" s="89" t="n">
        <v>4.51</v>
      </c>
      <c r="O697" s="89">
        <f>ROUND(M697*N697,2)</f>
        <v/>
      </c>
      <c r="P697" s="92">
        <f>IF($O697="","",L697-O697-(L697*IF(L697&lt;=79.99,20%,14%)+IF(L697&lt;=79.99,4,IF(L697&lt;=99.99,16,IF(L697&lt;=199.99,20,IF(L697&lt;=499.99,26,28)))))-L697*1.3%-L697*6%-(L697-O697)*9.25%-L697*3%-L697*3%-1)</f>
        <v/>
      </c>
      <c r="Q697" s="60" t="inlineStr">
        <is>
          <t> </t>
        </is>
      </c>
      <c r="R697" s="60" t="inlineStr">
        <is>
          <t> </t>
        </is>
      </c>
      <c r="S697" s="60" t="inlineStr">
        <is>
          <t> </t>
        </is>
      </c>
      <c r="T697" s="60" t="inlineStr">
        <is>
          <t> </t>
        </is>
      </c>
      <c r="U697" s="60" t="n">
        <v>101253</v>
      </c>
      <c r="V697" t="inlineStr">
        <is>
          <t>214150</t>
        </is>
      </c>
      <c r="W697" t="inlineStr">
        <is>
          <t>venda casada (1 pedido) · custo do KIT 215219 (1× 214150)</t>
        </is>
      </c>
      <c r="X697" t="n">
        <v>1</v>
      </c>
      <c r="Y697" t="inlineStr">
        <is>
          <t>⚠ evidência fraca (1 pedido)</t>
        </is>
      </c>
    </row>
    <row r="698" ht="18" customHeight="1">
      <c r="A698" s="54" t="inlineStr">
        <is>
          <t>Donacor</t>
        </is>
      </c>
      <c r="B698" s="54" t="inlineStr">
        <is>
          <t>1/2/3 Cabide Para Calças Roupas Multiuso Reforçado Adulto Saias Camisetas</t>
        </is>
      </c>
      <c r="C698" s="54" t="inlineStr">
        <is>
          <t>2 Unidades,Branco</t>
        </is>
      </c>
      <c r="D698" s="54" t="inlineStr">
        <is>
          <t>CABIDE,MULTIFUNCIONAL-BRANCO-2UN</t>
        </is>
      </c>
      <c r="E698" s="54" t="n">
        <v>22197769530</v>
      </c>
      <c r="F698" s="54" t="n">
        <v>405554415510</v>
      </c>
      <c r="G698" s="54" t="inlineStr">
        <is>
          <t>NORMAL</t>
        </is>
      </c>
      <c r="H698" s="86" t="n">
        <v>49.9</v>
      </c>
      <c r="I698" s="86" t="n">
        <v>29.9</v>
      </c>
      <c r="J698" s="56" t="inlineStr">
        <is>
          <t>SIM</t>
        </is>
      </c>
      <c r="K698" s="86" t="n">
        <v>29.9</v>
      </c>
      <c r="L698" s="87" t="n">
        <v>29.9</v>
      </c>
      <c r="M698" s="88" t="n">
        <v>2</v>
      </c>
      <c r="N698" s="89" t="n">
        <v>4.51</v>
      </c>
      <c r="O698" s="89">
        <f>ROUND(M698*N698,2)</f>
        <v/>
      </c>
      <c r="P698" s="90">
        <f>IF($O698="","",L698-O698-(L698*IF(L698&lt;=79.99,20%,14%)+IF(L698&lt;=79.99,4,IF(L698&lt;=99.99,16,IF(L698&lt;=199.99,20,IF(L698&lt;=499.99,26,28)))))-L698*1.3%-L698*6%-(L698-O698)*9.25%-L698*3%-L698*3%-1)</f>
        <v/>
      </c>
      <c r="Q698" s="58" t="n">
        <v>0.401</v>
      </c>
      <c r="R698" s="54" t="inlineStr">
        <is>
          <t>478840979931317, 484945860710786</t>
        </is>
      </c>
      <c r="S698" s="59" t="n">
        <v>46227.73958333334</v>
      </c>
      <c r="T698" s="59" t="n">
        <v>46248.99930555555</v>
      </c>
      <c r="U698" s="54" t="n">
        <v>101253</v>
      </c>
      <c r="V698" t="inlineStr">
        <is>
          <t>214149</t>
        </is>
      </c>
      <c r="W698" t="inlineStr">
        <is>
          <t>venda casada (6 pedidos) · custo do KIT 214153 (2× 214149)</t>
        </is>
      </c>
      <c r="X698" t="n">
        <v>6</v>
      </c>
      <c r="Y698" t="inlineStr">
        <is>
          <t>ok</t>
        </is>
      </c>
    </row>
    <row r="699" ht="18" customHeight="1">
      <c r="A699" s="60" t="inlineStr">
        <is>
          <t>Donacor</t>
        </is>
      </c>
      <c r="B699" s="60" t="inlineStr">
        <is>
          <t>1/2/3 Cabide Para Calças Roupas Multiuso Reforçado Adulto Saias Camisetas</t>
        </is>
      </c>
      <c r="C699" s="60" t="inlineStr">
        <is>
          <t>2 Unidades,Preto</t>
        </is>
      </c>
      <c r="D699" s="60" t="inlineStr">
        <is>
          <t>CABIDE,MULTIFUNCIONAL-PRETO-2UN</t>
        </is>
      </c>
      <c r="E699" s="60" t="n">
        <v>22197769530</v>
      </c>
      <c r="F699" s="60" t="n">
        <v>405554415509</v>
      </c>
      <c r="G699" s="60" t="inlineStr">
        <is>
          <t>NORMAL</t>
        </is>
      </c>
      <c r="H699" s="91" t="n">
        <v>49.9</v>
      </c>
      <c r="I699" s="91" t="n">
        <v>49.9</v>
      </c>
      <c r="J699" s="62" t="inlineStr">
        <is>
          <t>NÃO</t>
        </is>
      </c>
      <c r="K699" s="60" t="inlineStr">
        <is>
          <t> </t>
        </is>
      </c>
      <c r="L699" s="87" t="n">
        <v>49.9</v>
      </c>
      <c r="M699" s="88" t="n">
        <v>2</v>
      </c>
      <c r="N699" s="89" t="n">
        <v>4.51</v>
      </c>
      <c r="O699" s="89">
        <f>ROUND(M699*N699,2)</f>
        <v/>
      </c>
      <c r="P699" s="92">
        <f>IF($O699="","",L699-O699-(L699*IF(L699&lt;=79.99,20%,14%)+IF(L699&lt;=79.99,4,IF(L699&lt;=99.99,16,IF(L699&lt;=199.99,20,IF(L699&lt;=499.99,26,28)))))-L699*1.3%-L699*6%-(L699-O699)*9.25%-L699*3%-L699*3%-1)</f>
        <v/>
      </c>
      <c r="Q699" s="60" t="inlineStr">
        <is>
          <t> </t>
        </is>
      </c>
      <c r="R699" s="60" t="inlineStr">
        <is>
          <t> </t>
        </is>
      </c>
      <c r="S699" s="60" t="inlineStr">
        <is>
          <t> </t>
        </is>
      </c>
      <c r="T699" s="60" t="inlineStr">
        <is>
          <t> </t>
        </is>
      </c>
      <c r="U699" s="60" t="n">
        <v>101253</v>
      </c>
      <c r="V699" t="inlineStr">
        <is>
          <t>214150</t>
        </is>
      </c>
      <c r="W699" t="inlineStr">
        <is>
          <t>venda casada (2 pedidos) · custo do KIT 214154 (2× 214150)</t>
        </is>
      </c>
      <c r="X699" t="n">
        <v>2</v>
      </c>
      <c r="Y699" t="inlineStr">
        <is>
          <t>ok</t>
        </is>
      </c>
    </row>
    <row r="700" ht="18" customHeight="1">
      <c r="A700" s="54" t="inlineStr">
        <is>
          <t>Donacor</t>
        </is>
      </c>
      <c r="B700" s="54" t="inlineStr">
        <is>
          <t>1/2/3 Cabide Para Calças Roupas Multiuso Reforçado Adulto Saias Camisetas</t>
        </is>
      </c>
      <c r="C700" s="54" t="inlineStr">
        <is>
          <t>3 Unidades,Branco</t>
        </is>
      </c>
      <c r="D700" s="54" t="inlineStr">
        <is>
          <t>CABIDE,MULTIFUNCIONAL-BRANCO-3UN</t>
        </is>
      </c>
      <c r="E700" s="54" t="n">
        <v>22197769530</v>
      </c>
      <c r="F700" s="54" t="n">
        <v>405554415512</v>
      </c>
      <c r="G700" s="54" t="inlineStr">
        <is>
          <t>NORMAL</t>
        </is>
      </c>
      <c r="H700" s="86" t="n">
        <v>59.9</v>
      </c>
      <c r="I700" s="86" t="n">
        <v>44.9</v>
      </c>
      <c r="J700" s="56" t="inlineStr">
        <is>
          <t>SIM</t>
        </is>
      </c>
      <c r="K700" s="86" t="n">
        <v>44.9</v>
      </c>
      <c r="L700" s="87" t="n">
        <v>44.9</v>
      </c>
      <c r="M700" s="88" t="n">
        <v>3</v>
      </c>
      <c r="N700" s="89" t="n">
        <v>4.51</v>
      </c>
      <c r="O700" s="89">
        <f>ROUND(M700*N700,2)</f>
        <v/>
      </c>
      <c r="P700" s="90">
        <f>IF($O700="","",L700-O700-(L700*IF(L700&lt;=79.99,20%,14%)+IF(L700&lt;=79.99,4,IF(L700&lt;=99.99,16,IF(L700&lt;=199.99,20,IF(L700&lt;=499.99,26,28)))))-L700*1.3%-L700*6%-(L700-O700)*9.25%-L700*3%-L700*3%-1)</f>
        <v/>
      </c>
      <c r="Q700" s="58" t="n">
        <v>0.25</v>
      </c>
      <c r="R700" s="54" t="inlineStr">
        <is>
          <t>478840979931317, 484945860710786</t>
        </is>
      </c>
      <c r="S700" s="59" t="n">
        <v>46227.73958333334</v>
      </c>
      <c r="T700" s="59" t="n">
        <v>46248.99930555555</v>
      </c>
      <c r="U700" s="54" t="n">
        <v>101253</v>
      </c>
      <c r="V700" t="inlineStr">
        <is>
          <t>214149</t>
        </is>
      </c>
      <c r="W700" t="inlineStr">
        <is>
          <t>venda casada (7 pedidos) · custo do KIT 214155 (3× 214149)</t>
        </is>
      </c>
      <c r="X700" t="n">
        <v>7</v>
      </c>
      <c r="Y700" t="inlineStr">
        <is>
          <t>ok</t>
        </is>
      </c>
    </row>
    <row r="701" ht="18" customHeight="1">
      <c r="A701" s="60" t="inlineStr">
        <is>
          <t>Donacor</t>
        </is>
      </c>
      <c r="B701" s="60" t="inlineStr">
        <is>
          <t>1/2/3 Cabide Para Calças Roupas Multiuso Reforçado Adulto Saias Camisetas</t>
        </is>
      </c>
      <c r="C701" s="60" t="inlineStr">
        <is>
          <t>3 Unidades,Preto</t>
        </is>
      </c>
      <c r="D701" s="60" t="inlineStr">
        <is>
          <t>CABIDE,MULTIFUNCIONAL-PRETO-3UN</t>
        </is>
      </c>
      <c r="E701" s="60" t="n">
        <v>22197769530</v>
      </c>
      <c r="F701" s="60" t="n">
        <v>405554415511</v>
      </c>
      <c r="G701" s="60" t="inlineStr">
        <is>
          <t>NORMAL</t>
        </is>
      </c>
      <c r="H701" s="91" t="n">
        <v>59.9</v>
      </c>
      <c r="I701" s="91" t="n">
        <v>59.9</v>
      </c>
      <c r="J701" s="62" t="inlineStr">
        <is>
          <t>NÃO</t>
        </is>
      </c>
      <c r="K701" s="60" t="inlineStr">
        <is>
          <t> </t>
        </is>
      </c>
      <c r="L701" s="87" t="n">
        <v>59.9</v>
      </c>
      <c r="M701" s="88" t="n">
        <v>3</v>
      </c>
      <c r="N701" s="89" t="n">
        <v>4.51</v>
      </c>
      <c r="O701" s="89">
        <f>ROUND(M701*N701,2)</f>
        <v/>
      </c>
      <c r="P701" s="92">
        <f>IF($O701="","",L701-O701-(L701*IF(L701&lt;=79.99,20%,14%)+IF(L701&lt;=79.99,4,IF(L701&lt;=99.99,16,IF(L701&lt;=199.99,20,IF(L701&lt;=499.99,26,28)))))-L701*1.3%-L701*6%-(L701-O701)*9.25%-L701*3%-L701*3%-1)</f>
        <v/>
      </c>
      <c r="Q701" s="60" t="inlineStr">
        <is>
          <t> </t>
        </is>
      </c>
      <c r="R701" s="60" t="inlineStr">
        <is>
          <t> </t>
        </is>
      </c>
      <c r="S701" s="60" t="inlineStr">
        <is>
          <t> </t>
        </is>
      </c>
      <c r="T701" s="60" t="inlineStr">
        <is>
          <t> </t>
        </is>
      </c>
      <c r="U701" s="60" t="n">
        <v>101253</v>
      </c>
      <c r="V701" t="inlineStr">
        <is>
          <t>214150</t>
        </is>
      </c>
      <c r="W701" t="inlineStr">
        <is>
          <t>venda casada (1 pedido) · custo do KIT 214156 (3× 214150)</t>
        </is>
      </c>
      <c r="X701" t="n">
        <v>1</v>
      </c>
      <c r="Y701" t="inlineStr">
        <is>
          <t>⚠ evidência fraca (1 pedido)</t>
        </is>
      </c>
    </row>
    <row r="702" ht="18" customHeight="1">
      <c r="A702" s="54" t="inlineStr">
        <is>
          <t>Donacor</t>
        </is>
      </c>
      <c r="B702" s="54" t="inlineStr">
        <is>
          <t>2 Rolos Removedor De Pelos Pet de Gato e Cachorro Removedor de pelos</t>
        </is>
      </c>
      <c r="C702" s="54" t="inlineStr">
        <is>
          <t>1 Unidade</t>
        </is>
      </c>
      <c r="D702" s="54" t="inlineStr">
        <is>
          <t>Rolo Removedor de Pelo / 1</t>
        </is>
      </c>
      <c r="E702" s="54" t="n">
        <v>22293272615</v>
      </c>
      <c r="F702" s="54" t="n">
        <v>238772649019</v>
      </c>
      <c r="G702" s="54" t="inlineStr">
        <is>
          <t>NORMAL</t>
        </is>
      </c>
      <c r="H702" s="86" t="n">
        <v>39.9</v>
      </c>
      <c r="I702" s="86" t="n">
        <v>23.9</v>
      </c>
      <c r="J702" s="56" t="inlineStr">
        <is>
          <t>SIM</t>
        </is>
      </c>
      <c r="K702" s="86" t="n">
        <v>23.9</v>
      </c>
      <c r="L702" s="87" t="n">
        <v>23.9</v>
      </c>
      <c r="M702" s="88" t="n">
        <v>1</v>
      </c>
      <c r="N702" s="89" t="n">
        <v>9.550000000000001</v>
      </c>
      <c r="O702" s="89">
        <f>ROUND(M702*N702,2)</f>
        <v/>
      </c>
      <c r="P702" s="90">
        <f>IF($O702="","",L702-O702-(L702*IF(L702&lt;=79.99,20%,14%)+IF(L702&lt;=79.99,4,IF(L702&lt;=99.99,16,IF(L702&lt;=199.99,20,IF(L702&lt;=499.99,26,28)))))-L702*1.3%-L702*6%-(L702-O702)*9.25%-L702*3%-L702*3%-1)</f>
        <v/>
      </c>
      <c r="Q702" s="58" t="n">
        <v>0.401</v>
      </c>
      <c r="R702" s="54" t="inlineStr">
        <is>
          <t>478840979931317, 484945860710786</t>
        </is>
      </c>
      <c r="S702" s="59" t="n">
        <v>46227.73958333334</v>
      </c>
      <c r="T702" s="59" t="n">
        <v>46248.99930555555</v>
      </c>
      <c r="U702" s="54" t="n">
        <v>100929</v>
      </c>
      <c r="V702" t="inlineStr">
        <is>
          <t>214093</t>
        </is>
      </c>
      <c r="W702" t="inlineStr">
        <is>
          <t>venda casada (6 pedidos) · custo do KIT 214099 (1× 214093)</t>
        </is>
      </c>
      <c r="X702" t="n">
        <v>6</v>
      </c>
      <c r="Y702" t="inlineStr">
        <is>
          <t>ok</t>
        </is>
      </c>
    </row>
    <row r="703" ht="18" customHeight="1">
      <c r="A703" s="60" t="inlineStr">
        <is>
          <t>Donacor</t>
        </is>
      </c>
      <c r="B703" s="60" t="inlineStr">
        <is>
          <t>2 Rolos Removedor De Pelos Pet de Gato e Cachorro Removedor de pelos</t>
        </is>
      </c>
      <c r="C703" s="60" t="inlineStr">
        <is>
          <t>2 Unidades</t>
        </is>
      </c>
      <c r="D703" s="60" t="inlineStr">
        <is>
          <t>Rolo Removedor de Pelo / 2</t>
        </is>
      </c>
      <c r="E703" s="60" t="n">
        <v>22293272615</v>
      </c>
      <c r="F703" s="60" t="n">
        <v>238772649020</v>
      </c>
      <c r="G703" s="60" t="inlineStr">
        <is>
          <t>NORMAL</t>
        </is>
      </c>
      <c r="H703" s="91" t="n">
        <v>59.9</v>
      </c>
      <c r="I703" s="91" t="n">
        <v>39.9</v>
      </c>
      <c r="J703" s="65" t="inlineStr">
        <is>
          <t>SIM</t>
        </is>
      </c>
      <c r="K703" s="91" t="n">
        <v>39.9</v>
      </c>
      <c r="L703" s="87" t="n">
        <v>39.9</v>
      </c>
      <c r="M703" s="88" t="n">
        <v>2</v>
      </c>
      <c r="N703" s="89" t="n">
        <v>9.550000000000001</v>
      </c>
      <c r="O703" s="89">
        <f>ROUND(M703*N703,2)</f>
        <v/>
      </c>
      <c r="P703" s="92">
        <f>IF($O703="","",L703-O703-(L703*IF(L703&lt;=79.99,20%,14%)+IF(L703&lt;=79.99,4,IF(L703&lt;=99.99,16,IF(L703&lt;=199.99,20,IF(L703&lt;=499.99,26,28)))))-L703*1.3%-L703*6%-(L703-O703)*9.25%-L703*3%-L703*3%-1)</f>
        <v/>
      </c>
      <c r="Q703" s="67" t="n">
        <v>0.334</v>
      </c>
      <c r="R703" s="60" t="inlineStr">
        <is>
          <t>478840979931317, 484945860710786</t>
        </is>
      </c>
      <c r="S703" s="68" t="n">
        <v>46227.73958333334</v>
      </c>
      <c r="T703" s="68" t="n">
        <v>46248.99930555555</v>
      </c>
      <c r="U703" s="60" t="n">
        <v>100929</v>
      </c>
      <c r="V703" t="inlineStr">
        <is>
          <t>214093</t>
        </is>
      </c>
      <c r="W703" t="inlineStr">
        <is>
          <t>venda casada (4 pedidos) · custo do KIT 214102 (2× 214093)</t>
        </is>
      </c>
      <c r="X703" t="n">
        <v>4</v>
      </c>
      <c r="Y703" t="inlineStr">
        <is>
          <t>ok</t>
        </is>
      </c>
    </row>
    <row r="704" ht="18" customHeight="1">
      <c r="A704" s="54" t="inlineStr">
        <is>
          <t>Donacor</t>
        </is>
      </c>
      <c r="B704" s="54" t="inlineStr">
        <is>
          <t>2x Tapete Higiênico Fralda Pet Good Pad 60x60 60un</t>
        </is>
      </c>
      <c r="C704" s="54" t="inlineStr">
        <is>
          <t>Sem variação</t>
        </is>
      </c>
      <c r="D704" s="54" t="n">
        <v>714</v>
      </c>
      <c r="E704" s="54" t="n">
        <v>22693011002</v>
      </c>
      <c r="F704" s="54" t="n">
        <v>0</v>
      </c>
      <c r="G704" s="54" t="inlineStr">
        <is>
          <t>NORMAL</t>
        </is>
      </c>
      <c r="H704" s="86" t="n">
        <v>299.8</v>
      </c>
      <c r="I704" s="86" t="n">
        <v>79.90000000000001</v>
      </c>
      <c r="J704" s="56" t="inlineStr">
        <is>
          <t>SIM</t>
        </is>
      </c>
      <c r="K704" s="86" t="n">
        <v>79.90000000000001</v>
      </c>
      <c r="L704" s="87" t="n">
        <v>79.90000000000001</v>
      </c>
      <c r="M704" s="88" t="n">
        <v>2</v>
      </c>
      <c r="N704" s="89" t="n">
        <v>18.75</v>
      </c>
      <c r="O704" s="89">
        <f>ROUND(M704*N704,2)</f>
        <v/>
      </c>
      <c r="P704" s="90">
        <f>IF($O704="","",L704-O704-(L704*IF(L704&lt;=79.99,20%,14%)+IF(L704&lt;=79.99,4,IF(L704&lt;=99.99,16,IF(L704&lt;=199.99,20,IF(L704&lt;=499.99,26,28)))))-L704*1.3%-L704*6%-(L704-O704)*9.25%-L704*3%-L704*3%-1)</f>
        <v/>
      </c>
      <c r="Q704" s="58" t="n">
        <v>0.733</v>
      </c>
      <c r="R704" s="54" t="inlineStr">
        <is>
          <t>478840979931317, 484945860710786</t>
        </is>
      </c>
      <c r="S704" s="59" t="n">
        <v>46227.73958333334</v>
      </c>
      <c r="T704" s="59" t="n">
        <v>46248.99930555555</v>
      </c>
      <c r="U704" s="54" t="n">
        <v>100926</v>
      </c>
      <c r="V704" t="inlineStr">
        <is>
          <t>212960</t>
        </is>
      </c>
      <c r="W704" t="inlineStr">
        <is>
          <t>venda casada (1 pedido) · custo do KIT 213831 (2× 212960)</t>
        </is>
      </c>
      <c r="X704" t="n">
        <v>1</v>
      </c>
      <c r="Y704" t="inlineStr">
        <is>
          <t>⚠ evidência fraca (1 pedido)</t>
        </is>
      </c>
    </row>
    <row r="705" ht="18" customHeight="1">
      <c r="A705" s="60" t="inlineStr">
        <is>
          <t>Donacor</t>
        </is>
      </c>
      <c r="B705" s="60" t="inlineStr">
        <is>
          <t>3 Rolos Removedor De Pelos Pet de Gato e Cachorro Removedor de pelos</t>
        </is>
      </c>
      <c r="C705" s="60" t="inlineStr">
        <is>
          <t>1 Unidade</t>
        </is>
      </c>
      <c r="D705" s="60" t="inlineStr">
        <is>
          <t>Rolo Removedor de Pelo / 1</t>
        </is>
      </c>
      <c r="E705" s="60" t="n">
        <v>22193272657</v>
      </c>
      <c r="F705" s="60" t="n">
        <v>209166215692</v>
      </c>
      <c r="G705" s="60" t="inlineStr">
        <is>
          <t>NORMAL</t>
        </is>
      </c>
      <c r="H705" s="91" t="n">
        <v>39.9</v>
      </c>
      <c r="I705" s="91" t="n">
        <v>24.9</v>
      </c>
      <c r="J705" s="65" t="inlineStr">
        <is>
          <t>SIM</t>
        </is>
      </c>
      <c r="K705" s="91" t="n">
        <v>24.9</v>
      </c>
      <c r="L705" s="87" t="n">
        <v>24.9</v>
      </c>
      <c r="M705" s="88" t="n">
        <v>1</v>
      </c>
      <c r="N705" s="89" t="n">
        <v>9.550000000000001</v>
      </c>
      <c r="O705" s="89">
        <f>ROUND(M705*N705,2)</f>
        <v/>
      </c>
      <c r="P705" s="92">
        <f>IF($O705="","",L705-O705-(L705*IF(L705&lt;=79.99,20%,14%)+IF(L705&lt;=79.99,4,IF(L705&lt;=99.99,16,IF(L705&lt;=199.99,20,IF(L705&lt;=499.99,26,28)))))-L705*1.3%-L705*6%-(L705-O705)*9.25%-L705*3%-L705*3%-1)</f>
        <v/>
      </c>
      <c r="Q705" s="67" t="n">
        <v>0.376</v>
      </c>
      <c r="R705" s="60" t="inlineStr">
        <is>
          <t>478840979931317, 484945860710786</t>
        </is>
      </c>
      <c r="S705" s="68" t="n">
        <v>46227.73958333334</v>
      </c>
      <c r="T705" s="68" t="n">
        <v>46248.99930555555</v>
      </c>
      <c r="U705" s="60" t="n">
        <v>100929</v>
      </c>
      <c r="V705" t="inlineStr">
        <is>
          <t>214093</t>
        </is>
      </c>
      <c r="W705" t="inlineStr">
        <is>
          <t>venda casada (17 pedidos) · custo do KIT 214099 (1× 214093)</t>
        </is>
      </c>
      <c r="X705" t="n">
        <v>17</v>
      </c>
      <c r="Y705" t="inlineStr">
        <is>
          <t>ok</t>
        </is>
      </c>
    </row>
    <row r="706" ht="18" customHeight="1">
      <c r="A706" s="54" t="inlineStr">
        <is>
          <t>Donacor</t>
        </is>
      </c>
      <c r="B706" s="54" t="inlineStr">
        <is>
          <t>3 Rolos Removedor De Pelos Pet de Gato e Cachorro Removedor de pelos</t>
        </is>
      </c>
      <c r="C706" s="54" t="inlineStr">
        <is>
          <t>2 Unidades</t>
        </is>
      </c>
      <c r="D706" s="54" t="inlineStr">
        <is>
          <t>Rolo Removedor de Pelo / 2</t>
        </is>
      </c>
      <c r="E706" s="54" t="n">
        <v>22193272657</v>
      </c>
      <c r="F706" s="54" t="n">
        <v>209166215693</v>
      </c>
      <c r="G706" s="54" t="inlineStr">
        <is>
          <t>NORMAL</t>
        </is>
      </c>
      <c r="H706" s="86" t="n">
        <v>69.90000000000001</v>
      </c>
      <c r="I706" s="86" t="n">
        <v>37.9</v>
      </c>
      <c r="J706" s="56" t="inlineStr">
        <is>
          <t>SIM</t>
        </is>
      </c>
      <c r="K706" s="86" t="n">
        <v>37.9</v>
      </c>
      <c r="L706" s="87" t="n">
        <v>37.9</v>
      </c>
      <c r="M706" s="88" t="n">
        <v>2</v>
      </c>
      <c r="N706" s="89" t="n">
        <v>9.550000000000001</v>
      </c>
      <c r="O706" s="89">
        <f>ROUND(M706*N706,2)</f>
        <v/>
      </c>
      <c r="P706" s="90">
        <f>IF($O706="","",L706-O706-(L706*IF(L706&lt;=79.99,20%,14%)+IF(L706&lt;=79.99,4,IF(L706&lt;=99.99,16,IF(L706&lt;=199.99,20,IF(L706&lt;=499.99,26,28)))))-L706*1.3%-L706*6%-(L706-O706)*9.25%-L706*3%-L706*3%-1)</f>
        <v/>
      </c>
      <c r="Q706" s="58" t="n">
        <v>0.458</v>
      </c>
      <c r="R706" s="54" t="inlineStr">
        <is>
          <t>478840979931317, 484945860710786</t>
        </is>
      </c>
      <c r="S706" s="59" t="n">
        <v>46227.73958333334</v>
      </c>
      <c r="T706" s="59" t="n">
        <v>46248.99930555555</v>
      </c>
      <c r="U706" s="54" t="n">
        <v>100929</v>
      </c>
      <c r="V706" t="inlineStr">
        <is>
          <t>214093</t>
        </is>
      </c>
      <c r="W706" t="inlineStr">
        <is>
          <t>venda casada (3 pedidos) · custo do KIT 214102 (2× 214093)</t>
        </is>
      </c>
      <c r="X706" t="n">
        <v>3</v>
      </c>
      <c r="Y706" t="inlineStr">
        <is>
          <t>ok</t>
        </is>
      </c>
    </row>
    <row r="707" ht="18" customHeight="1">
      <c r="A707" s="60" t="inlineStr">
        <is>
          <t>Donacor</t>
        </is>
      </c>
      <c r="B707" s="60" t="inlineStr">
        <is>
          <t>3 Rolos Removedor De Pelos Pet de Gato e Cachorro Removedor de pelos</t>
        </is>
      </c>
      <c r="C707" s="60" t="inlineStr">
        <is>
          <t>3 Unidades</t>
        </is>
      </c>
      <c r="D707" s="60" t="inlineStr">
        <is>
          <t>Rolo Removedor de Pelo / 3</t>
        </is>
      </c>
      <c r="E707" s="60" t="n">
        <v>22193272657</v>
      </c>
      <c r="F707" s="60" t="n">
        <v>209166215694</v>
      </c>
      <c r="G707" s="60" t="inlineStr">
        <is>
          <t>NORMAL</t>
        </is>
      </c>
      <c r="H707" s="91" t="n">
        <v>89.90000000000001</v>
      </c>
      <c r="I707" s="91" t="n">
        <v>54.9</v>
      </c>
      <c r="J707" s="65" t="inlineStr">
        <is>
          <t>SIM</t>
        </is>
      </c>
      <c r="K707" s="91" t="n">
        <v>54.9</v>
      </c>
      <c r="L707" s="87" t="n">
        <v>54.9</v>
      </c>
      <c r="M707" s="88" t="n">
        <v>3</v>
      </c>
      <c r="N707" s="89" t="n">
        <v>9.550000000000001</v>
      </c>
      <c r="O707" s="89">
        <f>ROUND(M707*N707,2)</f>
        <v/>
      </c>
      <c r="P707" s="92">
        <f>IF($O707="","",L707-O707-(L707*IF(L707&lt;=79.99,20%,14%)+IF(L707&lt;=79.99,4,IF(L707&lt;=99.99,16,IF(L707&lt;=199.99,20,IF(L707&lt;=499.99,26,28)))))-L707*1.3%-L707*6%-(L707-O707)*9.25%-L707*3%-L707*3%-1)</f>
        <v/>
      </c>
      <c r="Q707" s="67" t="n">
        <v>0.389</v>
      </c>
      <c r="R707" s="60" t="inlineStr">
        <is>
          <t>484945860710786, 478840979931317</t>
        </is>
      </c>
      <c r="S707" s="68" t="n">
        <v>46227.73958333334</v>
      </c>
      <c r="T707" s="68" t="n">
        <v>46248.99930555555</v>
      </c>
      <c r="U707" s="60" t="n">
        <v>100929</v>
      </c>
      <c r="V707" t="inlineStr">
        <is>
          <t>214093</t>
        </is>
      </c>
      <c r="W707" t="inlineStr">
        <is>
          <t>venda casada (7 pedidos) · custo do KIT 214105 (3× 214093)</t>
        </is>
      </c>
      <c r="X707" t="n">
        <v>7</v>
      </c>
      <c r="Y707" t="inlineStr">
        <is>
          <t>ok</t>
        </is>
      </c>
    </row>
    <row r="708" ht="18" customHeight="1">
      <c r="A708" s="54" t="inlineStr">
        <is>
          <t>Donacor</t>
        </is>
      </c>
      <c r="B708" s="54" t="inlineStr">
        <is>
          <t>3 X Colageno Dog Tabs 72g Organnact 72 G</t>
        </is>
      </c>
      <c r="C708" s="54" t="inlineStr">
        <is>
          <t>Sem variação</t>
        </is>
      </c>
      <c r="D708" s="54" t="n">
        <v>869</v>
      </c>
      <c r="E708" s="54" t="n">
        <v>23197507393</v>
      </c>
      <c r="F708" s="54" t="n">
        <v>0</v>
      </c>
      <c r="G708" s="54" t="inlineStr">
        <is>
          <t>NORMAL</t>
        </is>
      </c>
      <c r="H708" s="86" t="n">
        <v>449.8</v>
      </c>
      <c r="I708" s="86" t="n">
        <v>449.8</v>
      </c>
      <c r="J708" s="69" t="inlineStr">
        <is>
          <t>NÃO</t>
        </is>
      </c>
      <c r="K708" s="54" t="n"/>
      <c r="L708" s="87" t="n">
        <v>449.8</v>
      </c>
      <c r="P708" s="90">
        <f>IF($O708="","",L708-O708-(L708*IF(L708&lt;=79.99,20%,14%)+IF(L708&lt;=79.99,4,IF(L708&lt;=99.99,16,IF(L708&lt;=199.99,20,IF(L708&lt;=499.99,26,28)))))-L708*1.3%-L708*6%-(L708-O708)*9.25%-L708*3%-L708*3%-1)</f>
        <v/>
      </c>
      <c r="Q708" s="54">
        <f>IF(AND(K708&lt;&gt;"",H708&gt;0),(H708-K708)/H708,"")</f>
        <v/>
      </c>
      <c r="R708" s="54" t="n"/>
      <c r="S708" s="54" t="n"/>
      <c r="T708" s="54" t="n"/>
      <c r="U708" s="54" t="n">
        <v>100944</v>
      </c>
      <c r="W708" t="inlineStr">
        <is>
          <t>sem correspondência</t>
        </is>
      </c>
      <c r="Y708" t="inlineStr"/>
    </row>
    <row r="709" ht="18" customHeight="1">
      <c r="A709" s="60" t="inlineStr">
        <is>
          <t>Donacor</t>
        </is>
      </c>
      <c r="B709" s="60" t="inlineStr">
        <is>
          <t>AMINOMIX HARAS DE 25KG</t>
        </is>
      </c>
      <c r="C709" s="60" t="inlineStr">
        <is>
          <t>Sem variação</t>
        </is>
      </c>
      <c r="D709" s="60" t="n">
        <v>33</v>
      </c>
      <c r="E709" s="60" t="n">
        <v>23197507425</v>
      </c>
      <c r="F709" s="60" t="n">
        <v>0</v>
      </c>
      <c r="G709" s="60" t="inlineStr">
        <is>
          <t>NORMAL</t>
        </is>
      </c>
      <c r="H709" s="91" t="n">
        <v>1183.8</v>
      </c>
      <c r="I709" s="91" t="n">
        <v>1183.8</v>
      </c>
      <c r="J709" s="62" t="inlineStr">
        <is>
          <t>NÃO</t>
        </is>
      </c>
      <c r="K709" s="60" t="inlineStr">
        <is>
          <t> </t>
        </is>
      </c>
      <c r="L709" s="87" t="n">
        <v>1183.8</v>
      </c>
      <c r="P709" s="92">
        <f>IF($O709="","",L709-O709-(L709*IF(L709&lt;=79.99,20%,14%)+IF(L709&lt;=79.99,4,IF(L709&lt;=99.99,16,IF(L709&lt;=199.99,20,IF(L709&lt;=499.99,26,28)))))-L709*1.3%-L709*6%-(L709-O709)*9.25%-L709*3%-L709*3%-1)</f>
        <v/>
      </c>
      <c r="Q709" s="60" t="inlineStr">
        <is>
          <t> </t>
        </is>
      </c>
      <c r="R709" s="60" t="inlineStr">
        <is>
          <t> </t>
        </is>
      </c>
      <c r="S709" s="60" t="inlineStr">
        <is>
          <t> </t>
        </is>
      </c>
      <c r="T709" s="60" t="inlineStr">
        <is>
          <t> </t>
        </is>
      </c>
      <c r="U709" s="60" t="n">
        <v>100944</v>
      </c>
      <c r="W709" t="inlineStr">
        <is>
          <t>sem correspondência</t>
        </is>
      </c>
      <c r="Y709" t="inlineStr"/>
    </row>
    <row r="710" ht="18" customHeight="1">
      <c r="A710" s="54" t="inlineStr">
        <is>
          <t>Donacor</t>
        </is>
      </c>
      <c r="B710" s="54" t="inlineStr">
        <is>
          <t>Areia Higiênica Biodegradável Espaço do Bicho Grãos Finos 4kg – Milho e Mandioca (100% Natural)</t>
        </is>
      </c>
      <c r="C710" s="54" t="inlineStr">
        <is>
          <t>12Kg,Grãos Finos</t>
        </is>
      </c>
      <c r="D710" s="54" t="n"/>
      <c r="E710" s="54" t="n">
        <v>55715414748</v>
      </c>
      <c r="F710" s="54" t="n">
        <v>331320381894</v>
      </c>
      <c r="G710" s="54" t="inlineStr">
        <is>
          <t>NORMAL</t>
        </is>
      </c>
      <c r="H710" s="86" t="n">
        <v>199.9</v>
      </c>
      <c r="I710" s="86" t="n">
        <v>149.89</v>
      </c>
      <c r="J710" s="56" t="inlineStr">
        <is>
          <t>SIM</t>
        </is>
      </c>
      <c r="K710" s="86" t="n">
        <v>149.89</v>
      </c>
      <c r="L710" s="87" t="n">
        <v>149.89</v>
      </c>
      <c r="M710" s="88" t="n">
        <v>3</v>
      </c>
      <c r="N710" s="89" t="n">
        <v>28.27</v>
      </c>
      <c r="O710" s="89">
        <f>ROUND(M710*N710,2)</f>
        <v/>
      </c>
      <c r="P710" s="90">
        <f>IF($O710="","",L710-O710-(L710*IF(L710&lt;=79.99,20%,14%)+IF(L710&lt;=79.99,4,IF(L710&lt;=99.99,16,IF(L710&lt;=199.99,20,IF(L710&lt;=499.99,26,28)))))-L710*1.3%-L710*6%-(L710-O710)*9.25%-L710*3%-L710*3%-1)</f>
        <v/>
      </c>
      <c r="Q710" s="58" t="n">
        <v>0.25</v>
      </c>
      <c r="R710" s="54" t="n">
        <v>492080438919432</v>
      </c>
      <c r="S710" s="59" t="n">
        <v>46248</v>
      </c>
      <c r="T710" s="59" t="n">
        <v>46249</v>
      </c>
      <c r="U710" s="54" t="n">
        <v>100923</v>
      </c>
      <c r="V710" t="inlineStr">
        <is>
          <t>215511</t>
        </is>
      </c>
      <c r="W710" t="inlineStr">
        <is>
          <t>venda casada (2 pedidos) · custo do KIT 215516 (3× 215511)</t>
        </is>
      </c>
      <c r="X710" t="n">
        <v>2</v>
      </c>
      <c r="Y710" t="inlineStr">
        <is>
          <t>ok</t>
        </is>
      </c>
    </row>
    <row r="711" ht="18" customHeight="1">
      <c r="A711" s="60" t="inlineStr">
        <is>
          <t>Donacor</t>
        </is>
      </c>
      <c r="B711" s="60" t="inlineStr">
        <is>
          <t>Areia Higiênica Biodegradável Espaço do Bicho Grãos Finos 4kg – Milho e Mandioca (100% Natural)</t>
        </is>
      </c>
      <c r="C711" s="60" t="inlineStr">
        <is>
          <t>12Kg,Grãos Grossos</t>
        </is>
      </c>
      <c r="D711" s="60" t="inlineStr">
        <is>
          <t> </t>
        </is>
      </c>
      <c r="E711" s="60" t="n">
        <v>55715414748</v>
      </c>
      <c r="F711" s="60" t="n">
        <v>331320381895</v>
      </c>
      <c r="G711" s="60" t="inlineStr">
        <is>
          <t>NORMAL</t>
        </is>
      </c>
      <c r="H711" s="91" t="n">
        <v>199.9</v>
      </c>
      <c r="I711" s="91" t="n">
        <v>149.89</v>
      </c>
      <c r="J711" s="65" t="inlineStr">
        <is>
          <t>SIM</t>
        </is>
      </c>
      <c r="K711" s="91" t="n">
        <v>149.89</v>
      </c>
      <c r="L711" s="87" t="n">
        <v>149.89</v>
      </c>
      <c r="P711" s="92">
        <f>IF($O711="","",L711-O711-(L711*IF(L711&lt;=79.99,20%,14%)+IF(L711&lt;=79.99,4,IF(L711&lt;=99.99,16,IF(L711&lt;=199.99,20,IF(L711&lt;=499.99,26,28)))))-L711*1.3%-L711*6%-(L711-O711)*9.25%-L711*3%-L711*3%-1)</f>
        <v/>
      </c>
      <c r="Q711" s="67" t="n">
        <v>0.25</v>
      </c>
      <c r="R711" s="60" t="n">
        <v>492080438919432</v>
      </c>
      <c r="S711" s="68" t="n">
        <v>46248</v>
      </c>
      <c r="T711" s="68" t="n">
        <v>46249</v>
      </c>
      <c r="U711" s="60" t="n">
        <v>100923</v>
      </c>
      <c r="W711" t="inlineStr">
        <is>
          <t>sem correspondência</t>
        </is>
      </c>
      <c r="Y711" t="inlineStr"/>
    </row>
    <row r="712" ht="18" customHeight="1">
      <c r="A712" s="54" t="inlineStr">
        <is>
          <t>Donacor</t>
        </is>
      </c>
      <c r="B712" s="54" t="inlineStr">
        <is>
          <t>Areia Higiênica Biodegradável Espaço do Bicho Grãos Finos 4kg – Milho e Mandioca (100% Natural)</t>
        </is>
      </c>
      <c r="C712" s="54" t="inlineStr">
        <is>
          <t>16Kg,Grãos Finos</t>
        </is>
      </c>
      <c r="D712" s="54" t="n"/>
      <c r="E712" s="54" t="n">
        <v>55715414748</v>
      </c>
      <c r="F712" s="54" t="n">
        <v>331320381896</v>
      </c>
      <c r="G712" s="54" t="inlineStr">
        <is>
          <t>NORMAL</t>
        </is>
      </c>
      <c r="H712" s="86" t="n">
        <v>239.9</v>
      </c>
      <c r="I712" s="86" t="n">
        <v>199.89</v>
      </c>
      <c r="J712" s="56" t="inlineStr">
        <is>
          <t>SIM</t>
        </is>
      </c>
      <c r="K712" s="86" t="n">
        <v>199.89</v>
      </c>
      <c r="L712" s="87" t="n">
        <v>199.89</v>
      </c>
      <c r="M712" s="88" t="n">
        <v>4</v>
      </c>
      <c r="N712" s="89" t="n">
        <v>28.27</v>
      </c>
      <c r="O712" s="89">
        <f>ROUND(M712*N712,2)</f>
        <v/>
      </c>
      <c r="P712" s="90">
        <f>IF($O712="","",L712-O712-(L712*IF(L712&lt;=79.99,20%,14%)+IF(L712&lt;=79.99,4,IF(L712&lt;=99.99,16,IF(L712&lt;=199.99,20,IF(L712&lt;=499.99,26,28)))))-L712*1.3%-L712*6%-(L712-O712)*9.25%-L712*3%-L712*3%-1)</f>
        <v/>
      </c>
      <c r="Q712" s="58" t="n">
        <v>0.167</v>
      </c>
      <c r="R712" s="54" t="n">
        <v>492080438919432</v>
      </c>
      <c r="S712" s="59" t="n">
        <v>46248</v>
      </c>
      <c r="T712" s="59" t="n">
        <v>46249</v>
      </c>
      <c r="U712" s="54" t="n">
        <v>100923</v>
      </c>
      <c r="V712" t="inlineStr">
        <is>
          <t>215511</t>
        </is>
      </c>
      <c r="W712" t="inlineStr">
        <is>
          <t>venda casada (5 pedidos) · custo do KIT 215517 (4× 215511)</t>
        </is>
      </c>
      <c r="X712" t="n">
        <v>5</v>
      </c>
      <c r="Y712" t="inlineStr">
        <is>
          <t>ok</t>
        </is>
      </c>
    </row>
    <row r="713" ht="18" customHeight="1">
      <c r="A713" s="60" t="inlineStr">
        <is>
          <t>Donacor</t>
        </is>
      </c>
      <c r="B713" s="60" t="inlineStr">
        <is>
          <t>Areia Higiênica Biodegradável Espaço do Bicho Grãos Finos 4kg – Milho e Mandioca (100% Natural)</t>
        </is>
      </c>
      <c r="C713" s="60" t="inlineStr">
        <is>
          <t>16Kg,Grãos Grossos</t>
        </is>
      </c>
      <c r="D713" s="60" t="inlineStr">
        <is>
          <t> </t>
        </is>
      </c>
      <c r="E713" s="60" t="n">
        <v>55715414748</v>
      </c>
      <c r="F713" s="60" t="n">
        <v>331320381897</v>
      </c>
      <c r="G713" s="60" t="inlineStr">
        <is>
          <t>NORMAL</t>
        </is>
      </c>
      <c r="H713" s="91" t="n">
        <v>239.9</v>
      </c>
      <c r="I713" s="91" t="n">
        <v>199.89</v>
      </c>
      <c r="J713" s="65" t="inlineStr">
        <is>
          <t>SIM</t>
        </is>
      </c>
      <c r="K713" s="91" t="n">
        <v>199.89</v>
      </c>
      <c r="L713" s="87" t="n">
        <v>199.89</v>
      </c>
      <c r="P713" s="92">
        <f>IF($O713="","",L713-O713-(L713*IF(L713&lt;=79.99,20%,14%)+IF(L713&lt;=79.99,4,IF(L713&lt;=99.99,16,IF(L713&lt;=199.99,20,IF(L713&lt;=499.99,26,28)))))-L713*1.3%-L713*6%-(L713-O713)*9.25%-L713*3%-L713*3%-1)</f>
        <v/>
      </c>
      <c r="Q713" s="67" t="n">
        <v>0.167</v>
      </c>
      <c r="R713" s="60" t="n">
        <v>492080438919432</v>
      </c>
      <c r="S713" s="68" t="n">
        <v>46248</v>
      </c>
      <c r="T713" s="68" t="n">
        <v>46249</v>
      </c>
      <c r="U713" s="60" t="n">
        <v>100923</v>
      </c>
      <c r="W713" t="inlineStr">
        <is>
          <t>sem correspondência</t>
        </is>
      </c>
      <c r="Y713" t="inlineStr"/>
    </row>
    <row r="714" ht="18" customHeight="1">
      <c r="A714" s="54" t="inlineStr">
        <is>
          <t>Donacor</t>
        </is>
      </c>
      <c r="B714" s="54" t="inlineStr">
        <is>
          <t>Areia Higiênica Biodegradável Espaço do Bicho Grãos Finos 4kg – Milho e Mandioca (100% Natural)</t>
        </is>
      </c>
      <c r="C714" s="54" t="inlineStr">
        <is>
          <t>20Kg,Grãos Finos</t>
        </is>
      </c>
      <c r="D714" s="54" t="n"/>
      <c r="E714" s="54" t="n">
        <v>55715414748</v>
      </c>
      <c r="F714" s="54" t="n">
        <v>331320381898</v>
      </c>
      <c r="G714" s="54" t="inlineStr">
        <is>
          <t>NORMAL</t>
        </is>
      </c>
      <c r="H714" s="86" t="n">
        <v>299.9</v>
      </c>
      <c r="I714" s="86" t="n">
        <v>249.89</v>
      </c>
      <c r="J714" s="56" t="inlineStr">
        <is>
          <t>SIM</t>
        </is>
      </c>
      <c r="K714" s="86" t="n">
        <v>249.89</v>
      </c>
      <c r="L714" s="87" t="n">
        <v>249.89</v>
      </c>
      <c r="M714" s="88" t="n">
        <v>5</v>
      </c>
      <c r="N714" s="89" t="n">
        <v>28.27</v>
      </c>
      <c r="O714" s="89">
        <f>ROUND(M714*N714,2)</f>
        <v/>
      </c>
      <c r="P714" s="90">
        <f>IF($O714="","",L714-O714-(L714*IF(L714&lt;=79.99,20%,14%)+IF(L714&lt;=79.99,4,IF(L714&lt;=99.99,16,IF(L714&lt;=199.99,20,IF(L714&lt;=499.99,26,28)))))-L714*1.3%-L714*6%-(L714-O714)*9.25%-L714*3%-L714*3%-1)</f>
        <v/>
      </c>
      <c r="Q714" s="58" t="n">
        <v>0.167</v>
      </c>
      <c r="R714" s="54" t="n">
        <v>492080438919432</v>
      </c>
      <c r="S714" s="59" t="n">
        <v>46248</v>
      </c>
      <c r="T714" s="59" t="n">
        <v>46249</v>
      </c>
      <c r="U714" s="54" t="n">
        <v>100923</v>
      </c>
      <c r="V714" t="inlineStr">
        <is>
          <t>215511</t>
        </is>
      </c>
      <c r="W714" t="inlineStr">
        <is>
          <t>venda casada (4 pedidos) · custo do KIT 215518 (5× 215511)</t>
        </is>
      </c>
      <c r="X714" t="n">
        <v>4</v>
      </c>
      <c r="Y714" t="inlineStr">
        <is>
          <t>ok</t>
        </is>
      </c>
    </row>
    <row r="715" ht="18" customHeight="1">
      <c r="A715" s="60" t="inlineStr">
        <is>
          <t>Donacor</t>
        </is>
      </c>
      <c r="B715" s="60" t="inlineStr">
        <is>
          <t>Areia Higiênica Biodegradável Espaço do Bicho Grãos Finos 4kg – Milho e Mandioca (100% Natural)</t>
        </is>
      </c>
      <c r="C715" s="60" t="inlineStr">
        <is>
          <t>20Kg,Grãos Grossos</t>
        </is>
      </c>
      <c r="D715" s="60" t="inlineStr">
        <is>
          <t> </t>
        </is>
      </c>
      <c r="E715" s="60" t="n">
        <v>55715414748</v>
      </c>
      <c r="F715" s="60" t="n">
        <v>331320381899</v>
      </c>
      <c r="G715" s="60" t="inlineStr">
        <is>
          <t>NORMAL</t>
        </is>
      </c>
      <c r="H715" s="91" t="n">
        <v>299.9</v>
      </c>
      <c r="I715" s="91" t="n">
        <v>249.89</v>
      </c>
      <c r="J715" s="65" t="inlineStr">
        <is>
          <t>SIM</t>
        </is>
      </c>
      <c r="K715" s="91" t="n">
        <v>249.89</v>
      </c>
      <c r="L715" s="87" t="n">
        <v>249.89</v>
      </c>
      <c r="M715" s="88" t="n">
        <v>5</v>
      </c>
      <c r="N715" s="89" t="n">
        <v>22.36</v>
      </c>
      <c r="O715" s="89">
        <f>ROUND(M715*N715,2)</f>
        <v/>
      </c>
      <c r="P715" s="92">
        <f>IF($O715="","",L715-O715-(L715*IF(L715&lt;=79.99,20%,14%)+IF(L715&lt;=79.99,4,IF(L715&lt;=99.99,16,IF(L715&lt;=199.99,20,IF(L715&lt;=499.99,26,28)))))-L715*1.3%-L715*6%-(L715-O715)*9.25%-L715*3%-L715*3%-1)</f>
        <v/>
      </c>
      <c r="Q715" s="67" t="n">
        <v>0.167</v>
      </c>
      <c r="R715" s="60" t="n">
        <v>492080438919432</v>
      </c>
      <c r="S715" s="68" t="n">
        <v>46248</v>
      </c>
      <c r="T715" s="68" t="n">
        <v>46249</v>
      </c>
      <c r="U715" s="60" t="n">
        <v>100923</v>
      </c>
      <c r="V715" t="inlineStr">
        <is>
          <t>215512</t>
        </is>
      </c>
      <c r="W715" t="inlineStr">
        <is>
          <t>venda casada (1 pedido) · custo do KIT 215523 (5× 215512)</t>
        </is>
      </c>
      <c r="X715" t="n">
        <v>1</v>
      </c>
      <c r="Y715" t="inlineStr">
        <is>
          <t>⚠ evidência fraca (1 pedido)</t>
        </is>
      </c>
    </row>
    <row r="716" ht="18" customHeight="1">
      <c r="A716" s="54" t="inlineStr">
        <is>
          <t>Donacor</t>
        </is>
      </c>
      <c r="B716" s="54" t="inlineStr">
        <is>
          <t>Areia Higiênica Biodegradável Espaço do Bicho Grãos Finos 4kg – Milho e Mandioca (100% Natural)</t>
        </is>
      </c>
      <c r="C716" s="54" t="inlineStr">
        <is>
          <t>4Kg,Grãos Finos</t>
        </is>
      </c>
      <c r="D716" s="54" t="n"/>
      <c r="E716" s="54" t="n">
        <v>55715414748</v>
      </c>
      <c r="F716" s="54" t="n">
        <v>331320381890</v>
      </c>
      <c r="G716" s="54" t="inlineStr">
        <is>
          <t>NORMAL</t>
        </is>
      </c>
      <c r="H716" s="86" t="n">
        <v>79.90000000000001</v>
      </c>
      <c r="I716" s="86" t="n">
        <v>49.89</v>
      </c>
      <c r="J716" s="56" t="inlineStr">
        <is>
          <t>SIM</t>
        </is>
      </c>
      <c r="K716" s="86" t="n">
        <v>49.89</v>
      </c>
      <c r="L716" s="87" t="n">
        <v>49.89</v>
      </c>
      <c r="M716" s="88" t="n">
        <v>1</v>
      </c>
      <c r="N716" s="89" t="n">
        <v>28.27</v>
      </c>
      <c r="O716" s="89">
        <f>ROUND(M716*N716,2)</f>
        <v/>
      </c>
      <c r="P716" s="90">
        <f>IF($O716="","",L716-O716-(L716*IF(L716&lt;=79.99,20%,14%)+IF(L716&lt;=79.99,4,IF(L716&lt;=99.99,16,IF(L716&lt;=199.99,20,IF(L716&lt;=499.99,26,28)))))-L716*1.3%-L716*6%-(L716-O716)*9.25%-L716*3%-L716*3%-1)</f>
        <v/>
      </c>
      <c r="Q716" s="58" t="n">
        <v>0.376</v>
      </c>
      <c r="R716" s="54" t="n">
        <v>492080438919432</v>
      </c>
      <c r="S716" s="59" t="n">
        <v>46248</v>
      </c>
      <c r="T716" s="59" t="n">
        <v>46249</v>
      </c>
      <c r="U716" s="54" t="n">
        <v>100923</v>
      </c>
      <c r="V716" t="inlineStr">
        <is>
          <t>215511</t>
        </is>
      </c>
      <c r="W716" t="inlineStr">
        <is>
          <t>venda casada (2 pedidos) · custo do KIT 215514 (1× 215511)</t>
        </is>
      </c>
      <c r="X716" t="n">
        <v>2</v>
      </c>
      <c r="Y716" t="inlineStr">
        <is>
          <t>ok</t>
        </is>
      </c>
    </row>
    <row r="717" ht="18" customHeight="1">
      <c r="A717" s="60" t="inlineStr">
        <is>
          <t>Donacor</t>
        </is>
      </c>
      <c r="B717" s="60" t="inlineStr">
        <is>
          <t>Areia Higiênica Biodegradável Espaço do Bicho Grãos Finos 4kg – Milho e Mandioca (100% Natural)</t>
        </is>
      </c>
      <c r="C717" s="60" t="inlineStr">
        <is>
          <t>4Kg,Grãos Grossos</t>
        </is>
      </c>
      <c r="D717" s="60" t="inlineStr">
        <is>
          <t> </t>
        </is>
      </c>
      <c r="E717" s="60" t="n">
        <v>55715414748</v>
      </c>
      <c r="F717" s="60" t="n">
        <v>331320381891</v>
      </c>
      <c r="G717" s="60" t="inlineStr">
        <is>
          <t>NORMAL</t>
        </is>
      </c>
      <c r="H717" s="91" t="n">
        <v>79.90000000000001</v>
      </c>
      <c r="I717" s="91" t="n">
        <v>49.89</v>
      </c>
      <c r="J717" s="65" t="inlineStr">
        <is>
          <t>SIM</t>
        </is>
      </c>
      <c r="K717" s="91" t="n">
        <v>49.89</v>
      </c>
      <c r="L717" s="87" t="n">
        <v>49.89</v>
      </c>
      <c r="P717" s="92">
        <f>IF($O717="","",L717-O717-(L717*IF(L717&lt;=79.99,20%,14%)+IF(L717&lt;=79.99,4,IF(L717&lt;=99.99,16,IF(L717&lt;=199.99,20,IF(L717&lt;=499.99,26,28)))))-L717*1.3%-L717*6%-(L717-O717)*9.25%-L717*3%-L717*3%-1)</f>
        <v/>
      </c>
      <c r="Q717" s="67" t="n">
        <v>0.376</v>
      </c>
      <c r="R717" s="60" t="n">
        <v>492080438919432</v>
      </c>
      <c r="S717" s="68" t="n">
        <v>46248</v>
      </c>
      <c r="T717" s="68" t="n">
        <v>46249</v>
      </c>
      <c r="U717" s="60" t="n">
        <v>100923</v>
      </c>
      <c r="W717" t="inlineStr">
        <is>
          <t>sem correspondência</t>
        </is>
      </c>
      <c r="Y717" t="inlineStr"/>
    </row>
    <row r="718" ht="18" customHeight="1">
      <c r="A718" s="54" t="inlineStr">
        <is>
          <t>Donacor</t>
        </is>
      </c>
      <c r="B718" s="54" t="inlineStr">
        <is>
          <t>Areia Higiênica Biodegradável Espaço do Bicho Grãos Finos 4kg – Milho e Mandioca (100% Natural)</t>
        </is>
      </c>
      <c r="C718" s="54" t="inlineStr">
        <is>
          <t>8Kg,Grãos Finos</t>
        </is>
      </c>
      <c r="D718" s="54" t="n"/>
      <c r="E718" s="54" t="n">
        <v>55715414748</v>
      </c>
      <c r="F718" s="54" t="n">
        <v>331320381892</v>
      </c>
      <c r="G718" s="54" t="inlineStr">
        <is>
          <t>NORMAL</t>
        </is>
      </c>
      <c r="H718" s="86" t="n">
        <v>129.9</v>
      </c>
      <c r="I718" s="86" t="n">
        <v>99.89</v>
      </c>
      <c r="J718" s="56" t="inlineStr">
        <is>
          <t>SIM</t>
        </is>
      </c>
      <c r="K718" s="86" t="n">
        <v>99.89</v>
      </c>
      <c r="L718" s="87" t="n">
        <v>99.89</v>
      </c>
      <c r="P718" s="90">
        <f>IF($O718="","",L718-O718-(L718*IF(L718&lt;=79.99,20%,14%)+IF(L718&lt;=79.99,4,IF(L718&lt;=99.99,16,IF(L718&lt;=199.99,20,IF(L718&lt;=499.99,26,28)))))-L718*1.3%-L718*6%-(L718-O718)*9.25%-L718*3%-L718*3%-1)</f>
        <v/>
      </c>
      <c r="Q718" s="58" t="n">
        <v>0.231</v>
      </c>
      <c r="R718" s="54" t="n">
        <v>492080438919432</v>
      </c>
      <c r="S718" s="59" t="n">
        <v>46248</v>
      </c>
      <c r="T718" s="59" t="n">
        <v>46249</v>
      </c>
      <c r="U718" s="54" t="n">
        <v>100923</v>
      </c>
      <c r="W718" t="inlineStr">
        <is>
          <t>sem correspondência</t>
        </is>
      </c>
      <c r="Y718" t="inlineStr"/>
    </row>
    <row r="719" ht="18" customHeight="1">
      <c r="A719" s="60" t="inlineStr">
        <is>
          <t>Donacor</t>
        </is>
      </c>
      <c r="B719" s="60" t="inlineStr">
        <is>
          <t>Areia Higiênica Biodegradável Espaço do Bicho Grãos Finos 4kg – Milho e Mandioca (100% Natural)</t>
        </is>
      </c>
      <c r="C719" s="60" t="inlineStr">
        <is>
          <t>8Kg,Grãos Grossos</t>
        </is>
      </c>
      <c r="D719" s="60" t="inlineStr">
        <is>
          <t> </t>
        </is>
      </c>
      <c r="E719" s="60" t="n">
        <v>55715414748</v>
      </c>
      <c r="F719" s="60" t="n">
        <v>331320381893</v>
      </c>
      <c r="G719" s="60" t="inlineStr">
        <is>
          <t>NORMAL</t>
        </is>
      </c>
      <c r="H719" s="91" t="n">
        <v>129.9</v>
      </c>
      <c r="I719" s="91" t="n">
        <v>99.89</v>
      </c>
      <c r="J719" s="65" t="inlineStr">
        <is>
          <t>SIM</t>
        </is>
      </c>
      <c r="K719" s="91" t="n">
        <v>99.89</v>
      </c>
      <c r="L719" s="87" t="n">
        <v>99.89</v>
      </c>
      <c r="P719" s="92">
        <f>IF($O719="","",L719-O719-(L719*IF(L719&lt;=79.99,20%,14%)+IF(L719&lt;=79.99,4,IF(L719&lt;=99.99,16,IF(L719&lt;=199.99,20,IF(L719&lt;=499.99,26,28)))))-L719*1.3%-L719*6%-(L719-O719)*9.25%-L719*3%-L719*3%-1)</f>
        <v/>
      </c>
      <c r="Q719" s="67" t="n">
        <v>0.231</v>
      </c>
      <c r="R719" s="60" t="n">
        <v>492080438919432</v>
      </c>
      <c r="S719" s="68" t="n">
        <v>46248</v>
      </c>
      <c r="T719" s="68" t="n">
        <v>46249</v>
      </c>
      <c r="U719" s="60" t="n">
        <v>100923</v>
      </c>
      <c r="W719" t="inlineStr">
        <is>
          <t>sem correspondência</t>
        </is>
      </c>
      <c r="Y719" t="inlineStr"/>
    </row>
    <row r="720" ht="18" customHeight="1">
      <c r="A720" s="54" t="inlineStr">
        <is>
          <t>Donacor</t>
        </is>
      </c>
      <c r="B720" s="54" t="inlineStr">
        <is>
          <t>Árvore De Natal Pinheiro Canadense Luxo Base de Ferro 1,50m 1,80m 2,10m 2,40m Galhos Super Cheios Com Hastes Flexíveis</t>
        </is>
      </c>
      <c r="C720" s="54" t="inlineStr">
        <is>
          <t>150CM | 650 GALHOS | VERDE</t>
        </is>
      </c>
      <c r="D720" s="54" t="inlineStr">
        <is>
          <t>ARVORE-DE-NATAL-1,5MTS</t>
        </is>
      </c>
      <c r="E720" s="54" t="n">
        <v>41167670583</v>
      </c>
      <c r="F720" s="54" t="n">
        <v>266454891548</v>
      </c>
      <c r="G720" s="54" t="inlineStr">
        <is>
          <t>NORMAL</t>
        </is>
      </c>
      <c r="H720" s="86" t="n">
        <v>299.9</v>
      </c>
      <c r="I720" s="86" t="n">
        <v>179.9</v>
      </c>
      <c r="J720" s="56" t="inlineStr">
        <is>
          <t>SIM</t>
        </is>
      </c>
      <c r="K720" s="86" t="n">
        <v>179.9</v>
      </c>
      <c r="L720" s="87" t="n">
        <v>179.9</v>
      </c>
      <c r="M720" s="88" t="n">
        <v>1</v>
      </c>
      <c r="N720" s="89" t="n">
        <v>69.48999999999999</v>
      </c>
      <c r="O720" s="89">
        <f>ROUND(M720*N720,2)</f>
        <v/>
      </c>
      <c r="P720" s="90">
        <f>IF($O720="","",L720-O720-(L720*IF(L720&lt;=79.99,20%,14%)+IF(L720&lt;=79.99,4,IF(L720&lt;=99.99,16,IF(L720&lt;=199.99,20,IF(L720&lt;=499.99,26,28)))))-L720*1.3%-L720*6%-(L720-O720)*9.25%-L720*3%-L720*3%-1)</f>
        <v/>
      </c>
      <c r="Q720" s="58" t="n">
        <v>0.4</v>
      </c>
      <c r="R720" s="54" t="n">
        <v>484945860710786</v>
      </c>
      <c r="S720" s="59" t="n">
        <v>46227.73958333334</v>
      </c>
      <c r="T720" s="59" t="n">
        <v>46405.45833333334</v>
      </c>
      <c r="U720" s="54" t="n">
        <v>101270</v>
      </c>
      <c r="V720" t="inlineStr">
        <is>
          <t>214121</t>
        </is>
      </c>
      <c r="W720" t="inlineStr">
        <is>
          <t>venda casada (10 pedidos)</t>
        </is>
      </c>
      <c r="X720" t="n">
        <v>10</v>
      </c>
      <c r="Y720" t="inlineStr">
        <is>
          <t>ok</t>
        </is>
      </c>
    </row>
    <row r="721" ht="18" customHeight="1">
      <c r="A721" s="60" t="inlineStr">
        <is>
          <t>Donacor</t>
        </is>
      </c>
      <c r="B721" s="60" t="inlineStr">
        <is>
          <t>Árvore De Natal Pinheiro Canadense Luxo Base de Ferro 1,50m 1,80m 2,10m 2,40m Galhos Super Cheios Com Hastes Flexíveis</t>
        </is>
      </c>
      <c r="C721" s="60" t="inlineStr">
        <is>
          <t>180CM | 850 GALHOS | VERDE</t>
        </is>
      </c>
      <c r="D721" s="60" t="inlineStr">
        <is>
          <t>ARVORE-DE-NATAL-1,8MTS</t>
        </is>
      </c>
      <c r="E721" s="60" t="n">
        <v>41167670583</v>
      </c>
      <c r="F721" s="60" t="n">
        <v>266454891549</v>
      </c>
      <c r="G721" s="60" t="inlineStr">
        <is>
          <t>NORMAL</t>
        </is>
      </c>
      <c r="H721" s="91" t="n">
        <v>399.9</v>
      </c>
      <c r="I721" s="91" t="n">
        <v>399.9</v>
      </c>
      <c r="J721" s="62" t="inlineStr">
        <is>
          <t>NÃO</t>
        </is>
      </c>
      <c r="K721" s="60" t="inlineStr">
        <is>
          <t> </t>
        </is>
      </c>
      <c r="L721" s="87" t="n">
        <v>399.9</v>
      </c>
      <c r="P721" s="92">
        <f>IF($O721="","",L721-O721-(L721*IF(L721&lt;=79.99,20%,14%)+IF(L721&lt;=79.99,4,IF(L721&lt;=99.99,16,IF(L721&lt;=199.99,20,IF(L721&lt;=499.99,26,28)))))-L721*1.3%-L721*6%-(L721-O721)*9.25%-L721*3%-L721*3%-1)</f>
        <v/>
      </c>
      <c r="Q721" s="60" t="inlineStr">
        <is>
          <t> </t>
        </is>
      </c>
      <c r="R721" s="60" t="inlineStr">
        <is>
          <t> </t>
        </is>
      </c>
      <c r="S721" s="60" t="inlineStr">
        <is>
          <t> </t>
        </is>
      </c>
      <c r="T721" s="60" t="inlineStr">
        <is>
          <t> </t>
        </is>
      </c>
      <c r="U721" s="60" t="n">
        <v>101270</v>
      </c>
      <c r="V721" t="inlineStr">
        <is>
          <t>ARVORE-DE-NATAL-1,8MTS</t>
        </is>
      </c>
      <c r="W721" t="inlineStr">
        <is>
          <t>SKU idêntico na Olist · CUSTO ZERADO na Olist (conferido hoje)</t>
        </is>
      </c>
      <c r="Y721" t="inlineStr">
        <is>
          <t>ok</t>
        </is>
      </c>
    </row>
    <row r="722" ht="18" customHeight="1">
      <c r="A722" s="54" t="inlineStr">
        <is>
          <t>Donacor</t>
        </is>
      </c>
      <c r="B722" s="54" t="inlineStr">
        <is>
          <t>Árvore De Natal Pinheiro Canadense Luxo Base de Ferro 1,50m 1,80m 2,10m 2,40m Galhos Super Cheios Com Hastes Flexíveis</t>
        </is>
      </c>
      <c r="C722" s="54" t="inlineStr">
        <is>
          <t>210CM | 850 GALHOS | VERDE</t>
        </is>
      </c>
      <c r="D722" s="54" t="inlineStr">
        <is>
          <t>ARVORE-DE-NATAL-2,1MTS</t>
        </is>
      </c>
      <c r="E722" s="54" t="n">
        <v>41167670583</v>
      </c>
      <c r="F722" s="54" t="n">
        <v>266454891550</v>
      </c>
      <c r="G722" s="54" t="inlineStr">
        <is>
          <t>NORMAL</t>
        </is>
      </c>
      <c r="H722" s="86" t="n">
        <v>499.9</v>
      </c>
      <c r="I722" s="86" t="n">
        <v>219.9</v>
      </c>
      <c r="J722" s="56" t="inlineStr">
        <is>
          <t>SIM</t>
        </is>
      </c>
      <c r="K722" s="86" t="n">
        <v>219.9</v>
      </c>
      <c r="L722" s="87" t="n">
        <v>219.9</v>
      </c>
      <c r="M722" s="88" t="n">
        <v>1</v>
      </c>
      <c r="N722" s="89" t="n">
        <v>101.45</v>
      </c>
      <c r="O722" s="89">
        <f>ROUND(M722*N722,2)</f>
        <v/>
      </c>
      <c r="P722" s="90">
        <f>IF($O722="","",L722-O722-(L722*IF(L722&lt;=79.99,20%,14%)+IF(L722&lt;=79.99,4,IF(L722&lt;=99.99,16,IF(L722&lt;=199.99,20,IF(L722&lt;=499.99,26,28)))))-L722*1.3%-L722*6%-(L722-O722)*9.25%-L722*3%-L722*3%-1)</f>
        <v/>
      </c>
      <c r="Q722" s="58" t="n">
        <v>0.5600000000000001</v>
      </c>
      <c r="R722" s="54" t="n">
        <v>478840979931317</v>
      </c>
      <c r="S722" s="59" t="n">
        <v>46248</v>
      </c>
      <c r="T722" s="59" t="n">
        <v>46248.99930555555</v>
      </c>
      <c r="U722" s="54" t="n">
        <v>101270</v>
      </c>
      <c r="V722" t="inlineStr">
        <is>
          <t>214123</t>
        </is>
      </c>
      <c r="W722" t="inlineStr">
        <is>
          <t>venda casada (45 pedidos)</t>
        </is>
      </c>
      <c r="X722" t="n">
        <v>45</v>
      </c>
      <c r="Y722" t="inlineStr">
        <is>
          <t>ok</t>
        </is>
      </c>
    </row>
    <row r="723" ht="18" customHeight="1">
      <c r="A723" s="60" t="inlineStr">
        <is>
          <t>Donacor</t>
        </is>
      </c>
      <c r="B723" s="60" t="inlineStr">
        <is>
          <t>Assento Sanitário Almofadado Tampa Vaso Oval Universal Redondo Deca Celite Icasa Logasa Incepa Slim</t>
        </is>
      </c>
      <c r="C723" s="60" t="inlineStr">
        <is>
          <t>BRANCO</t>
        </is>
      </c>
      <c r="D723" s="60" t="inlineStr">
        <is>
          <t>ASSENTO_BRANCO</t>
        </is>
      </c>
      <c r="E723" s="60" t="n">
        <v>22197924025</v>
      </c>
      <c r="F723" s="60" t="n">
        <v>276144352032</v>
      </c>
      <c r="G723" s="60" t="inlineStr">
        <is>
          <t>NORMAL</t>
        </is>
      </c>
      <c r="H723" s="91" t="n">
        <v>69.90000000000001</v>
      </c>
      <c r="I723" s="91" t="n">
        <v>37.89</v>
      </c>
      <c r="J723" s="65" t="inlineStr">
        <is>
          <t>SIM</t>
        </is>
      </c>
      <c r="K723" s="91" t="n">
        <v>37.89</v>
      </c>
      <c r="L723" s="87" t="n">
        <v>37.89</v>
      </c>
      <c r="M723" s="88" t="n">
        <v>1</v>
      </c>
      <c r="N723" s="89" t="n">
        <v>15.26</v>
      </c>
      <c r="O723" s="89">
        <f>ROUND(M723*N723,2)</f>
        <v/>
      </c>
      <c r="P723" s="92">
        <f>IF($O723="","",L723-O723-(L723*IF(L723&lt;=79.99,20%,14%)+IF(L723&lt;=79.99,4,IF(L723&lt;=99.99,16,IF(L723&lt;=199.99,20,IF(L723&lt;=499.99,26,28)))))-L723*1.3%-L723*6%-(L723-O723)*9.25%-L723*3%-L723*3%-1)</f>
        <v/>
      </c>
      <c r="Q723" s="67" t="n">
        <v>0.458</v>
      </c>
      <c r="R723" s="60" t="inlineStr">
        <is>
          <t>478840979931317, 492080438919432</t>
        </is>
      </c>
      <c r="S723" s="68" t="n">
        <v>46248</v>
      </c>
      <c r="T723" s="68" t="n">
        <v>46248.99930555555</v>
      </c>
      <c r="U723" s="60" t="n">
        <v>101131</v>
      </c>
      <c r="V723" t="inlineStr">
        <is>
          <t>213988</t>
        </is>
      </c>
      <c r="W723" t="inlineStr">
        <is>
          <t>venda casada (4211 pedidos)</t>
        </is>
      </c>
      <c r="X723" t="n">
        <v>4211</v>
      </c>
      <c r="Y723" t="inlineStr">
        <is>
          <t>ok</t>
        </is>
      </c>
    </row>
    <row r="724" ht="18" customHeight="1">
      <c r="A724" s="54" t="inlineStr">
        <is>
          <t>Donacor</t>
        </is>
      </c>
      <c r="B724" s="54" t="inlineStr">
        <is>
          <t>Assento Sanitário Almofadado Tampa Vaso Oval Universal Redondo Deca Celite Icasa Logasa Incepa Slim</t>
        </is>
      </c>
      <c r="C724" s="54" t="inlineStr">
        <is>
          <t>CINZA</t>
        </is>
      </c>
      <c r="D724" s="54" t="inlineStr">
        <is>
          <t>ASSENTO_CINZA</t>
        </is>
      </c>
      <c r="E724" s="54" t="n">
        <v>22197924025</v>
      </c>
      <c r="F724" s="54" t="n">
        <v>325119819172</v>
      </c>
      <c r="G724" s="54" t="inlineStr">
        <is>
          <t>NORMAL</t>
        </is>
      </c>
      <c r="H724" s="86" t="n">
        <v>79.90000000000001</v>
      </c>
      <c r="I724" s="86" t="n">
        <v>44.89</v>
      </c>
      <c r="J724" s="56" t="inlineStr">
        <is>
          <t>SIM</t>
        </is>
      </c>
      <c r="K724" s="86" t="n">
        <v>44.89</v>
      </c>
      <c r="L724" s="87" t="n">
        <v>44.89</v>
      </c>
      <c r="M724" s="88" t="n">
        <v>1</v>
      </c>
      <c r="N724" s="89" t="n">
        <v>15.26</v>
      </c>
      <c r="O724" s="89">
        <f>ROUND(M724*N724,2)</f>
        <v/>
      </c>
      <c r="P724" s="90">
        <f>IF($O724="","",L724-O724-(L724*IF(L724&lt;=79.99,20%,14%)+IF(L724&lt;=79.99,4,IF(L724&lt;=99.99,16,IF(L724&lt;=199.99,20,IF(L724&lt;=499.99,26,28)))))-L724*1.3%-L724*6%-(L724-O724)*9.25%-L724*3%-L724*3%-1)</f>
        <v/>
      </c>
      <c r="Q724" s="58" t="n">
        <v>0.438</v>
      </c>
      <c r="R724" s="54" t="n">
        <v>492080438919432</v>
      </c>
      <c r="S724" s="59" t="n">
        <v>46248</v>
      </c>
      <c r="T724" s="59" t="n">
        <v>46249</v>
      </c>
      <c r="U724" s="54" t="n">
        <v>101131</v>
      </c>
      <c r="V724" t="inlineStr">
        <is>
          <t>213989</t>
        </is>
      </c>
      <c r="W724" t="inlineStr">
        <is>
          <t>venda casada (221 pedidos)</t>
        </is>
      </c>
      <c r="X724" t="n">
        <v>221</v>
      </c>
      <c r="Y724" t="inlineStr">
        <is>
          <t>ok</t>
        </is>
      </c>
    </row>
    <row r="725" ht="18" customHeight="1">
      <c r="A725" s="60" t="inlineStr">
        <is>
          <t>Donacor</t>
        </is>
      </c>
      <c r="B725" s="60" t="inlineStr">
        <is>
          <t>Assento Sanitário Almofadado Tampa Vaso Oval Universal Redondo Deca Celite Icasa Logasa Incepa Slim</t>
        </is>
      </c>
      <c r="C725" s="60" t="inlineStr">
        <is>
          <t>PRETO</t>
        </is>
      </c>
      <c r="D725" s="60" t="inlineStr">
        <is>
          <t>ASSENTO_PRETO</t>
        </is>
      </c>
      <c r="E725" s="60" t="n">
        <v>22197924025</v>
      </c>
      <c r="F725" s="60" t="n">
        <v>325119819173</v>
      </c>
      <c r="G725" s="60" t="inlineStr">
        <is>
          <t>NORMAL</t>
        </is>
      </c>
      <c r="H725" s="91" t="n">
        <v>79.90000000000001</v>
      </c>
      <c r="I725" s="91" t="n">
        <v>37.89</v>
      </c>
      <c r="J725" s="65" t="inlineStr">
        <is>
          <t>SIM</t>
        </is>
      </c>
      <c r="K725" s="91" t="n">
        <v>37.89</v>
      </c>
      <c r="L725" s="87" t="n">
        <v>37.89</v>
      </c>
      <c r="M725" s="88" t="n">
        <v>1</v>
      </c>
      <c r="N725" s="89" t="n">
        <v>15.26</v>
      </c>
      <c r="O725" s="89">
        <f>ROUND(M725*N725,2)</f>
        <v/>
      </c>
      <c r="P725" s="92">
        <f>IF($O725="","",L725-O725-(L725*IF(L725&lt;=79.99,20%,14%)+IF(L725&lt;=79.99,4,IF(L725&lt;=99.99,16,IF(L725&lt;=199.99,20,IF(L725&lt;=499.99,26,28)))))-L725*1.3%-L725*6%-(L725-O725)*9.25%-L725*3%-L725*3%-1)</f>
        <v/>
      </c>
      <c r="Q725" s="67" t="n">
        <v>0.526</v>
      </c>
      <c r="R725" s="60" t="n">
        <v>478840979931317</v>
      </c>
      <c r="S725" s="68" t="n">
        <v>46248</v>
      </c>
      <c r="T725" s="68" t="n">
        <v>46248.99930555555</v>
      </c>
      <c r="U725" s="60" t="n">
        <v>101131</v>
      </c>
      <c r="V725" t="inlineStr">
        <is>
          <t>213990</t>
        </is>
      </c>
      <c r="W725" t="inlineStr">
        <is>
          <t>venda casada (349 pedidos)</t>
        </is>
      </c>
      <c r="X725" t="n">
        <v>349</v>
      </c>
      <c r="Y725" t="inlineStr">
        <is>
          <t>ok</t>
        </is>
      </c>
    </row>
    <row r="726" ht="18" customHeight="1">
      <c r="A726" s="54" t="inlineStr">
        <is>
          <t>Donacor</t>
        </is>
      </c>
      <c r="B726" s="54" t="inlineStr">
        <is>
          <t>Balança Corporal Transparente Quadrada Digital Até 180kg Com Vidro Temperado Premium - OliverHome</t>
        </is>
      </c>
      <c r="C726" s="54" t="inlineStr">
        <is>
          <t>Balança Bioimpedância</t>
        </is>
      </c>
      <c r="D726" s="54" t="inlineStr">
        <is>
          <t>BALANÇAS-BIOIMPEDANCIA</t>
        </is>
      </c>
      <c r="E726" s="54" t="n">
        <v>50602409494</v>
      </c>
      <c r="F726" s="54" t="n">
        <v>415234682081</v>
      </c>
      <c r="G726" s="54" t="inlineStr">
        <is>
          <t>NORMAL</t>
        </is>
      </c>
      <c r="H726" s="86" t="n">
        <v>84.90000000000001</v>
      </c>
      <c r="I726" s="86" t="n">
        <v>29.9</v>
      </c>
      <c r="J726" s="56" t="inlineStr">
        <is>
          <t>SIM</t>
        </is>
      </c>
      <c r="K726" s="86" t="n">
        <v>29.9</v>
      </c>
      <c r="L726" s="87" t="n">
        <v>29.9</v>
      </c>
      <c r="M726" s="88" t="n">
        <v>1</v>
      </c>
      <c r="N726" s="89" t="n">
        <v>17.16</v>
      </c>
      <c r="O726" s="89">
        <f>ROUND(M726*N726,2)</f>
        <v/>
      </c>
      <c r="P726" s="90">
        <f>IF($O726="","",L726-O726-(L726*IF(L726&lt;=79.99,20%,14%)+IF(L726&lt;=79.99,4,IF(L726&lt;=99.99,16,IF(L726&lt;=199.99,20,IF(L726&lt;=499.99,26,28)))))-L726*1.3%-L726*6%-(L726-O726)*9.25%-L726*3%-L726*3%-1)</f>
        <v/>
      </c>
      <c r="Q726" s="58" t="n">
        <v>0.648</v>
      </c>
      <c r="R726" s="54" t="inlineStr">
        <is>
          <t>478840979931317, 492080438919432</t>
        </is>
      </c>
      <c r="S726" s="59" t="n">
        <v>46248</v>
      </c>
      <c r="T726" s="59" t="n">
        <v>46248.99930555555</v>
      </c>
      <c r="U726" s="54" t="n">
        <v>100122</v>
      </c>
      <c r="V726" t="inlineStr">
        <is>
          <t>213282</t>
        </is>
      </c>
      <c r="W726" t="inlineStr">
        <is>
          <t>venda casada (1513 pedidos) · custo do KIT 213992 (1× 213282)</t>
        </is>
      </c>
      <c r="X726" t="n">
        <v>1513</v>
      </c>
      <c r="Y726" t="inlineStr">
        <is>
          <t>ok</t>
        </is>
      </c>
    </row>
    <row r="727" ht="18" customHeight="1">
      <c r="A727" s="60" t="inlineStr">
        <is>
          <t>Donacor</t>
        </is>
      </c>
      <c r="B727" s="60" t="inlineStr">
        <is>
          <t>Balança Corporal Transparente Quadrada Digital Até 180kg Com Vidro Temperado Premium - OliverHome</t>
        </is>
      </c>
      <c r="C727" s="60" t="inlineStr">
        <is>
          <t>Balança Digital</t>
        </is>
      </c>
      <c r="D727" s="60" t="inlineStr">
        <is>
          <t>BALANÇA-DIGITAL-180KG</t>
        </is>
      </c>
      <c r="E727" s="60" t="n">
        <v>50602409494</v>
      </c>
      <c r="F727" s="60" t="n">
        <v>415234682080</v>
      </c>
      <c r="G727" s="60" t="inlineStr">
        <is>
          <t>NORMAL</t>
        </is>
      </c>
      <c r="H727" s="91" t="n">
        <v>89.90000000000001</v>
      </c>
      <c r="I727" s="91" t="n">
        <v>29.9</v>
      </c>
      <c r="J727" s="65" t="inlineStr">
        <is>
          <t>SIM</t>
        </is>
      </c>
      <c r="K727" s="91" t="n">
        <v>29.9</v>
      </c>
      <c r="L727" s="87" t="n">
        <v>29.9</v>
      </c>
      <c r="M727" s="88" t="n">
        <v>1</v>
      </c>
      <c r="N727" s="89" t="n">
        <v>14.6</v>
      </c>
      <c r="O727" s="89">
        <f>ROUND(M727*N727,2)</f>
        <v/>
      </c>
      <c r="P727" s="92">
        <f>IF($O727="","",L727-O727-(L727*IF(L727&lt;=79.99,20%,14%)+IF(L727&lt;=79.99,4,IF(L727&lt;=99.99,16,IF(L727&lt;=199.99,20,IF(L727&lt;=499.99,26,28)))))-L727*1.3%-L727*6%-(L727-O727)*9.25%-L727*3%-L727*3%-1)</f>
        <v/>
      </c>
      <c r="Q727" s="67" t="n">
        <v>0.667</v>
      </c>
      <c r="R727" s="60" t="inlineStr">
        <is>
          <t>492080438919432, 478840979931317</t>
        </is>
      </c>
      <c r="S727" s="68" t="n">
        <v>46248</v>
      </c>
      <c r="T727" s="68" t="n">
        <v>46248.99930555555</v>
      </c>
      <c r="U727" s="60" t="n">
        <v>100122</v>
      </c>
      <c r="V727" t="inlineStr">
        <is>
          <t>213449</t>
        </is>
      </c>
      <c r="W727" t="inlineStr">
        <is>
          <t>venda casada (6424 pedidos) · custo do KIT 213993 (1× 213449)</t>
        </is>
      </c>
      <c r="X727" t="n">
        <v>6424</v>
      </c>
      <c r="Y727" t="inlineStr">
        <is>
          <t>ok</t>
        </is>
      </c>
    </row>
    <row r="728" ht="18" customHeight="1">
      <c r="A728" s="54" t="inlineStr">
        <is>
          <t>Donacor</t>
        </is>
      </c>
      <c r="B728" s="54" t="inlineStr">
        <is>
          <t>Balanca De Cozinha Digital Alta Precisao 10kg Com Pilhas Inclusas AA OliverHome</t>
        </is>
      </c>
      <c r="C728" s="54" t="inlineStr">
        <is>
          <t>Sem variação</t>
        </is>
      </c>
      <c r="D728" s="54" t="inlineStr">
        <is>
          <t>BALANÇA-DIGITAL</t>
        </is>
      </c>
      <c r="E728" s="54" t="n">
        <v>42262316021</v>
      </c>
      <c r="F728" s="54" t="n">
        <v>0</v>
      </c>
      <c r="G728" s="54" t="inlineStr">
        <is>
          <t>NORMAL</t>
        </is>
      </c>
      <c r="H728" s="86" t="n">
        <v>39.9</v>
      </c>
      <c r="I728" s="86" t="n">
        <v>19.9</v>
      </c>
      <c r="J728" s="56" t="inlineStr">
        <is>
          <t>SIM</t>
        </is>
      </c>
      <c r="K728" s="86" t="n">
        <v>19.9</v>
      </c>
      <c r="L728" s="87" t="n">
        <v>19.9</v>
      </c>
      <c r="M728" s="88" t="n">
        <v>1</v>
      </c>
      <c r="N728" s="89" t="n">
        <v>6.26</v>
      </c>
      <c r="O728" s="89">
        <f>ROUND(M728*N728,2)</f>
        <v/>
      </c>
      <c r="P728" s="90">
        <f>IF($O728="","",L728-O728-(L728*IF(L728&lt;=79.99,20%,14%)+IF(L728&lt;=79.99,4,IF(L728&lt;=99.99,16,IF(L728&lt;=199.99,20,IF(L728&lt;=499.99,26,28)))))-L728*1.3%-L728*6%-(L728-O728)*9.25%-L728*3%-L728*3%-1)</f>
        <v/>
      </c>
      <c r="Q728" s="58" t="n">
        <v>0.501</v>
      </c>
      <c r="R728" s="54" t="inlineStr">
        <is>
          <t>478840979931317, 492080438919432</t>
        </is>
      </c>
      <c r="S728" s="59" t="n">
        <v>46248</v>
      </c>
      <c r="T728" s="59" t="n">
        <v>46248.99930555555</v>
      </c>
      <c r="U728" s="54" t="n">
        <v>101234</v>
      </c>
      <c r="V728" t="inlineStr">
        <is>
          <t>213242</t>
        </is>
      </c>
      <c r="W728" t="inlineStr">
        <is>
          <t>venda casada (1008 pedidos) · custo do KIT 213991 (1× 213242)</t>
        </is>
      </c>
      <c r="X728" t="n">
        <v>1008</v>
      </c>
      <c r="Y728" t="inlineStr">
        <is>
          <t>ok</t>
        </is>
      </c>
    </row>
    <row r="729" ht="18" customHeight="1">
      <c r="A729" s="60" t="inlineStr">
        <is>
          <t>Donacor</t>
        </is>
      </c>
      <c r="B729" s="60" t="inlineStr">
        <is>
          <t>Balança Digital Medidora Corporal Bioimpedância até 180kg</t>
        </is>
      </c>
      <c r="C729" s="60" t="inlineStr">
        <is>
          <t>Balança Bioimpedância</t>
        </is>
      </c>
      <c r="D729" s="60" t="inlineStr">
        <is>
          <t>BALANÇAS-BIOIMPEDANCIA</t>
        </is>
      </c>
      <c r="E729" s="60" t="n">
        <v>19299611186</v>
      </c>
      <c r="F729" s="60" t="n">
        <v>147919461406</v>
      </c>
      <c r="G729" s="60" t="inlineStr">
        <is>
          <t>NORMAL</t>
        </is>
      </c>
      <c r="H729" s="91" t="n">
        <v>69.90000000000001</v>
      </c>
      <c r="I729" s="91" t="n">
        <v>29.9</v>
      </c>
      <c r="J729" s="65" t="inlineStr">
        <is>
          <t>SIM</t>
        </is>
      </c>
      <c r="K729" s="91" t="n">
        <v>29.9</v>
      </c>
      <c r="L729" s="87" t="n">
        <v>29.9</v>
      </c>
      <c r="M729" s="88" t="n">
        <v>1</v>
      </c>
      <c r="N729" s="89" t="n">
        <v>17.16</v>
      </c>
      <c r="O729" s="89">
        <f>ROUND(M729*N729,2)</f>
        <v/>
      </c>
      <c r="P729" s="92">
        <f>IF($O729="","",L729-O729-(L729*IF(L729&lt;=79.99,20%,14%)+IF(L729&lt;=79.99,4,IF(L729&lt;=99.99,16,IF(L729&lt;=199.99,20,IF(L729&lt;=499.99,26,28)))))-L729*1.3%-L729*6%-(L729-O729)*9.25%-L729*3%-L729*3%-1)</f>
        <v/>
      </c>
      <c r="Q729" s="67" t="n">
        <v>0.572</v>
      </c>
      <c r="R729" s="60" t="inlineStr">
        <is>
          <t>478840979931317, 492080438919432</t>
        </is>
      </c>
      <c r="S729" s="68" t="n">
        <v>46248</v>
      </c>
      <c r="T729" s="68" t="n">
        <v>46248.99930555555</v>
      </c>
      <c r="U729" s="60" t="n">
        <v>100122</v>
      </c>
      <c r="V729" t="inlineStr">
        <is>
          <t>213282</t>
        </is>
      </c>
      <c r="W729" t="inlineStr">
        <is>
          <t>venda casada (226 pedidos) · custo do KIT 213992 (1× 213282)</t>
        </is>
      </c>
      <c r="X729" t="n">
        <v>226</v>
      </c>
      <c r="Y729" t="inlineStr">
        <is>
          <t>ok</t>
        </is>
      </c>
    </row>
    <row r="730" ht="18" customHeight="1">
      <c r="A730" s="54" t="inlineStr">
        <is>
          <t>Donacor</t>
        </is>
      </c>
      <c r="B730" s="54" t="inlineStr">
        <is>
          <t>Balança Digital Medidora Corporal Bioimpedância até 180kg</t>
        </is>
      </c>
      <c r="C730" s="54" t="inlineStr">
        <is>
          <t>Balança Digital</t>
        </is>
      </c>
      <c r="D730" s="54" t="inlineStr">
        <is>
          <t>BALANÇA-DIGITAL-180KG</t>
        </is>
      </c>
      <c r="E730" s="54" t="n">
        <v>19299611186</v>
      </c>
      <c r="F730" s="54" t="n">
        <v>440240149181</v>
      </c>
      <c r="G730" s="54" t="inlineStr">
        <is>
          <t>NORMAL</t>
        </is>
      </c>
      <c r="H730" s="86" t="n">
        <v>79.90000000000001</v>
      </c>
      <c r="I730" s="86" t="n">
        <v>29.9</v>
      </c>
      <c r="J730" s="56" t="inlineStr">
        <is>
          <t>SIM</t>
        </is>
      </c>
      <c r="K730" s="86" t="n">
        <v>29.9</v>
      </c>
      <c r="L730" s="87" t="n">
        <v>29.9</v>
      </c>
      <c r="M730" s="88" t="n">
        <v>1</v>
      </c>
      <c r="N730" s="89" t="n">
        <v>14.6</v>
      </c>
      <c r="O730" s="89">
        <f>ROUND(M730*N730,2)</f>
        <v/>
      </c>
      <c r="P730" s="90">
        <f>IF($O730="","",L730-O730-(L730*IF(L730&lt;=79.99,20%,14%)+IF(L730&lt;=79.99,4,IF(L730&lt;=99.99,16,IF(L730&lt;=199.99,20,IF(L730&lt;=499.99,26,28)))))-L730*1.3%-L730*6%-(L730-O730)*9.25%-L730*3%-L730*3%-1)</f>
        <v/>
      </c>
      <c r="Q730" s="58" t="n">
        <v>0.626</v>
      </c>
      <c r="R730" s="54" t="inlineStr">
        <is>
          <t>478840979931317, 492080438919432</t>
        </is>
      </c>
      <c r="S730" s="59" t="n">
        <v>46248</v>
      </c>
      <c r="T730" s="59" t="n">
        <v>46248.99930555555</v>
      </c>
      <c r="U730" s="54" t="n">
        <v>100122</v>
      </c>
      <c r="V730" t="inlineStr">
        <is>
          <t>213449</t>
        </is>
      </c>
      <c r="W730" t="inlineStr">
        <is>
          <t>venda casada (10 pedidos) · custo do KIT 213993 (1× 213449)</t>
        </is>
      </c>
      <c r="X730" t="n">
        <v>10</v>
      </c>
      <c r="Y730" t="inlineStr">
        <is>
          <t>ok</t>
        </is>
      </c>
    </row>
    <row r="731" ht="18" customHeight="1">
      <c r="A731" s="60" t="inlineStr">
        <is>
          <t>Donacor</t>
        </is>
      </c>
      <c r="B731" s="60" t="inlineStr">
        <is>
          <t>Bebedouro Automático 3 Litros Cães E Gatos Prático Alvorada</t>
        </is>
      </c>
      <c r="C731" s="60" t="inlineStr">
        <is>
          <t>AZUL</t>
        </is>
      </c>
      <c r="D731" s="60" t="inlineStr">
        <is>
          <t>BEBEDOURO-ALVO-AZUL</t>
        </is>
      </c>
      <c r="E731" s="60" t="n">
        <v>23397507334</v>
      </c>
      <c r="F731" s="60" t="n">
        <v>238767813389</v>
      </c>
      <c r="G731" s="60" t="inlineStr">
        <is>
          <t>NORMAL</t>
        </is>
      </c>
      <c r="H731" s="91" t="n">
        <v>39.9</v>
      </c>
      <c r="I731" s="91" t="n">
        <v>39.9</v>
      </c>
      <c r="J731" s="62" t="inlineStr">
        <is>
          <t>NÃO</t>
        </is>
      </c>
      <c r="K731" s="60" t="inlineStr">
        <is>
          <t> </t>
        </is>
      </c>
      <c r="L731" s="87" t="n">
        <v>39.9</v>
      </c>
      <c r="P731" s="92">
        <f>IF($O731="","",L731-O731-(L731*IF(L731&lt;=79.99,20%,14%)+IF(L731&lt;=79.99,4,IF(L731&lt;=99.99,16,IF(L731&lt;=199.99,20,IF(L731&lt;=499.99,26,28)))))-L731*1.3%-L731*6%-(L731-O731)*9.25%-L731*3%-L731*3%-1)</f>
        <v/>
      </c>
      <c r="Q731" s="60" t="inlineStr">
        <is>
          <t> </t>
        </is>
      </c>
      <c r="R731" s="60" t="inlineStr">
        <is>
          <t> </t>
        </is>
      </c>
      <c r="S731" s="60" t="inlineStr">
        <is>
          <t> </t>
        </is>
      </c>
      <c r="T731" s="60" t="inlineStr">
        <is>
          <t> </t>
        </is>
      </c>
      <c r="U731" s="60" t="n">
        <v>100916</v>
      </c>
      <c r="W731" t="inlineStr">
        <is>
          <t>sem correspondência</t>
        </is>
      </c>
      <c r="Y731" t="inlineStr"/>
    </row>
    <row r="732" ht="18" customHeight="1">
      <c r="A732" s="54" t="inlineStr">
        <is>
          <t>Donacor</t>
        </is>
      </c>
      <c r="B732" s="54" t="inlineStr">
        <is>
          <t>Bebedouro Automático 3 Litros Cães E Gatos Prático Alvorada</t>
        </is>
      </c>
      <c r="C732" s="54" t="inlineStr">
        <is>
          <t>LILAS</t>
        </is>
      </c>
      <c r="D732" s="54" t="inlineStr">
        <is>
          <t>BEBEDOURO-ALVO-LILAS</t>
        </is>
      </c>
      <c r="E732" s="54" t="n">
        <v>23397507334</v>
      </c>
      <c r="F732" s="54" t="n">
        <v>238767813387</v>
      </c>
      <c r="G732" s="54" t="inlineStr">
        <is>
          <t>NORMAL</t>
        </is>
      </c>
      <c r="H732" s="86" t="n">
        <v>39.9</v>
      </c>
      <c r="I732" s="86" t="n">
        <v>39.9</v>
      </c>
      <c r="J732" s="69" t="inlineStr">
        <is>
          <t>NÃO</t>
        </is>
      </c>
      <c r="K732" s="54" t="n"/>
      <c r="L732" s="87" t="n">
        <v>39.9</v>
      </c>
      <c r="P732" s="90">
        <f>IF($O732="","",L732-O732-(L732*IF(L732&lt;=79.99,20%,14%)+IF(L732&lt;=79.99,4,IF(L732&lt;=99.99,16,IF(L732&lt;=199.99,20,IF(L732&lt;=499.99,26,28)))))-L732*1.3%-L732*6%-(L732-O732)*9.25%-L732*3%-L732*3%-1)</f>
        <v/>
      </c>
      <c r="Q732" s="54">
        <f>IF(AND(K732&lt;&gt;"",H732&gt;0),(H732-K732)/H732,"")</f>
        <v/>
      </c>
      <c r="R732" s="54" t="n"/>
      <c r="S732" s="54" t="n"/>
      <c r="T732" s="54" t="n"/>
      <c r="U732" s="54" t="n">
        <v>100916</v>
      </c>
      <c r="W732" t="inlineStr">
        <is>
          <t>sem correspondência</t>
        </is>
      </c>
      <c r="Y732" t="inlineStr"/>
    </row>
    <row r="733" ht="18" customHeight="1">
      <c r="A733" s="60" t="inlineStr">
        <is>
          <t>Donacor</t>
        </is>
      </c>
      <c r="B733" s="60" t="inlineStr">
        <is>
          <t>Bebedouro Automático 3 Litros Cães E Gatos Prático Alvorada</t>
        </is>
      </c>
      <c r="C733" s="60" t="inlineStr">
        <is>
          <t>PRETO</t>
        </is>
      </c>
      <c r="D733" s="60" t="inlineStr">
        <is>
          <t>BEBEDOURO-ALVO-PRETO</t>
        </is>
      </c>
      <c r="E733" s="60" t="n">
        <v>23397507334</v>
      </c>
      <c r="F733" s="60" t="n">
        <v>238767813388</v>
      </c>
      <c r="G733" s="60" t="inlineStr">
        <is>
          <t>NORMAL</t>
        </is>
      </c>
      <c r="H733" s="91" t="n">
        <v>39.9</v>
      </c>
      <c r="I733" s="91" t="n">
        <v>39.9</v>
      </c>
      <c r="J733" s="62" t="inlineStr">
        <is>
          <t>NÃO</t>
        </is>
      </c>
      <c r="K733" s="60" t="inlineStr">
        <is>
          <t> </t>
        </is>
      </c>
      <c r="L733" s="87" t="n">
        <v>39.9</v>
      </c>
      <c r="P733" s="92">
        <f>IF($O733="","",L733-O733-(L733*IF(L733&lt;=79.99,20%,14%)+IF(L733&lt;=79.99,4,IF(L733&lt;=99.99,16,IF(L733&lt;=199.99,20,IF(L733&lt;=499.99,26,28)))))-L733*1.3%-L733*6%-(L733-O733)*9.25%-L733*3%-L733*3%-1)</f>
        <v/>
      </c>
      <c r="Q733" s="60" t="inlineStr">
        <is>
          <t> </t>
        </is>
      </c>
      <c r="R733" s="60" t="inlineStr">
        <is>
          <t> </t>
        </is>
      </c>
      <c r="S733" s="60" t="inlineStr">
        <is>
          <t> </t>
        </is>
      </c>
      <c r="T733" s="60" t="inlineStr">
        <is>
          <t> </t>
        </is>
      </c>
      <c r="U733" s="60" t="n">
        <v>100916</v>
      </c>
      <c r="W733" t="inlineStr">
        <is>
          <t>sem correspondência</t>
        </is>
      </c>
      <c r="Y733" t="inlineStr"/>
    </row>
    <row r="734" ht="18" customHeight="1">
      <c r="A734" s="54" t="inlineStr">
        <is>
          <t>Donacor</t>
        </is>
      </c>
      <c r="B734" s="54" t="inlineStr">
        <is>
          <t>Bebedouro Automático 3 Litros Cães E Gatos Prático Alvorada</t>
        </is>
      </c>
      <c r="C734" s="54" t="inlineStr">
        <is>
          <t>ROSA</t>
        </is>
      </c>
      <c r="D734" s="54" t="inlineStr">
        <is>
          <t>BEBEDOURO-ALVO-ROSA</t>
        </is>
      </c>
      <c r="E734" s="54" t="n">
        <v>23397507334</v>
      </c>
      <c r="F734" s="54" t="n">
        <v>238767813386</v>
      </c>
      <c r="G734" s="54" t="inlineStr">
        <is>
          <t>NORMAL</t>
        </is>
      </c>
      <c r="H734" s="86" t="n">
        <v>39.9</v>
      </c>
      <c r="I734" s="86" t="n">
        <v>39.9</v>
      </c>
      <c r="J734" s="69" t="inlineStr">
        <is>
          <t>NÃO</t>
        </is>
      </c>
      <c r="K734" s="54" t="n"/>
      <c r="L734" s="87" t="n">
        <v>39.9</v>
      </c>
      <c r="P734" s="90">
        <f>IF($O734="","",L734-O734-(L734*IF(L734&lt;=79.99,20%,14%)+IF(L734&lt;=79.99,4,IF(L734&lt;=99.99,16,IF(L734&lt;=199.99,20,IF(L734&lt;=499.99,26,28)))))-L734*1.3%-L734*6%-(L734-O734)*9.25%-L734*3%-L734*3%-1)</f>
        <v/>
      </c>
      <c r="Q734" s="54">
        <f>IF(AND(K734&lt;&gt;"",H734&gt;0),(H734-K734)/H734,"")</f>
        <v/>
      </c>
      <c r="R734" s="54" t="n"/>
      <c r="S734" s="54" t="n"/>
      <c r="T734" s="54" t="n"/>
      <c r="U734" s="54" t="n">
        <v>100916</v>
      </c>
      <c r="W734" t="inlineStr">
        <is>
          <t>sem correspondência</t>
        </is>
      </c>
      <c r="Y734" t="inlineStr"/>
    </row>
    <row r="735" ht="18" customHeight="1">
      <c r="A735" s="60" t="inlineStr">
        <is>
          <t>Donacor</t>
        </is>
      </c>
      <c r="B735" s="60" t="inlineStr">
        <is>
          <t>Bebedouro Automático 3 Litros Cães E Gatos Prático Alvorada</t>
        </is>
      </c>
      <c r="C735" s="60" t="inlineStr">
        <is>
          <t>VERMELHO</t>
        </is>
      </c>
      <c r="D735" s="60" t="inlineStr">
        <is>
          <t>BEBEDOURO-ALVO-VERMELHO</t>
        </is>
      </c>
      <c r="E735" s="60" t="n">
        <v>23397507334</v>
      </c>
      <c r="F735" s="60" t="n">
        <v>238767813390</v>
      </c>
      <c r="G735" s="60" t="inlineStr">
        <is>
          <t>NORMAL</t>
        </is>
      </c>
      <c r="H735" s="91" t="n">
        <v>39.9</v>
      </c>
      <c r="I735" s="91" t="n">
        <v>39.9</v>
      </c>
      <c r="J735" s="62" t="inlineStr">
        <is>
          <t>NÃO</t>
        </is>
      </c>
      <c r="K735" s="60" t="inlineStr">
        <is>
          <t> </t>
        </is>
      </c>
      <c r="L735" s="87" t="n">
        <v>39.9</v>
      </c>
      <c r="P735" s="92">
        <f>IF($O735="","",L735-O735-(L735*IF(L735&lt;=79.99,20%,14%)+IF(L735&lt;=79.99,4,IF(L735&lt;=99.99,16,IF(L735&lt;=199.99,20,IF(L735&lt;=499.99,26,28)))))-L735*1.3%-L735*6%-(L735-O735)*9.25%-L735*3%-L735*3%-1)</f>
        <v/>
      </c>
      <c r="Q735" s="60" t="inlineStr">
        <is>
          <t> </t>
        </is>
      </c>
      <c r="R735" s="60" t="inlineStr">
        <is>
          <t> </t>
        </is>
      </c>
      <c r="S735" s="60" t="inlineStr">
        <is>
          <t> </t>
        </is>
      </c>
      <c r="T735" s="60" t="inlineStr">
        <is>
          <t> </t>
        </is>
      </c>
      <c r="U735" s="60" t="n">
        <v>100916</v>
      </c>
      <c r="W735" t="inlineStr">
        <is>
          <t>sem correspondência</t>
        </is>
      </c>
      <c r="Y735" t="inlineStr"/>
    </row>
    <row r="736" ht="18" customHeight="1">
      <c r="A736" s="54" t="inlineStr">
        <is>
          <t>Donacor</t>
        </is>
      </c>
      <c r="B736" s="54" t="inlineStr">
        <is>
          <t>Bebedouro Automático para Cães Agua Truqys - Galão 2 litros</t>
        </is>
      </c>
      <c r="C736" s="54" t="inlineStr">
        <is>
          <t>Azul</t>
        </is>
      </c>
      <c r="D736" s="54" t="inlineStr">
        <is>
          <t>b01</t>
        </is>
      </c>
      <c r="E736" s="54" t="n">
        <v>18599257849</v>
      </c>
      <c r="F736" s="54" t="n">
        <v>129645215683</v>
      </c>
      <c r="G736" s="54" t="inlineStr">
        <is>
          <t>NORMAL</t>
        </is>
      </c>
      <c r="H736" s="86" t="n">
        <v>41.9</v>
      </c>
      <c r="I736" s="86" t="n">
        <v>41.9</v>
      </c>
      <c r="J736" s="69" t="inlineStr">
        <is>
          <t>NÃO</t>
        </is>
      </c>
      <c r="K736" s="54" t="n"/>
      <c r="L736" s="87" t="n">
        <v>41.9</v>
      </c>
      <c r="P736" s="90">
        <f>IF($O736="","",L736-O736-(L736*IF(L736&lt;=79.99,20%,14%)+IF(L736&lt;=79.99,4,IF(L736&lt;=99.99,16,IF(L736&lt;=199.99,20,IF(L736&lt;=499.99,26,28)))))-L736*1.3%-L736*6%-(L736-O736)*9.25%-L736*3%-L736*3%-1)</f>
        <v/>
      </c>
      <c r="Q736" s="54">
        <f>IF(AND(K736&lt;&gt;"",H736&gt;0),(H736-K736)/H736,"")</f>
        <v/>
      </c>
      <c r="R736" s="54" t="n"/>
      <c r="S736" s="54" t="n"/>
      <c r="T736" s="54" t="n"/>
      <c r="U736" s="54" t="n">
        <v>100916</v>
      </c>
      <c r="W736" t="inlineStr">
        <is>
          <t>sem correspondência</t>
        </is>
      </c>
      <c r="Y736" t="inlineStr"/>
    </row>
    <row r="737" ht="18" customHeight="1">
      <c r="A737" s="60" t="inlineStr">
        <is>
          <t>Donacor</t>
        </is>
      </c>
      <c r="B737" s="60" t="inlineStr">
        <is>
          <t>Bebedouro Automático para Cães Agua Truqys - Galão 2 litros</t>
        </is>
      </c>
      <c r="C737" s="60" t="inlineStr">
        <is>
          <t>Preto</t>
        </is>
      </c>
      <c r="D737" s="60" t="inlineStr">
        <is>
          <t>b04</t>
        </is>
      </c>
      <c r="E737" s="60" t="n">
        <v>18599257849</v>
      </c>
      <c r="F737" s="60" t="n">
        <v>129645215686</v>
      </c>
      <c r="G737" s="60" t="inlineStr">
        <is>
          <t>NORMAL</t>
        </is>
      </c>
      <c r="H737" s="91" t="n">
        <v>41.9</v>
      </c>
      <c r="I737" s="91" t="n">
        <v>41.9</v>
      </c>
      <c r="J737" s="62" t="inlineStr">
        <is>
          <t>NÃO</t>
        </is>
      </c>
      <c r="K737" s="60" t="inlineStr">
        <is>
          <t> </t>
        </is>
      </c>
      <c r="L737" s="87" t="n">
        <v>41.9</v>
      </c>
      <c r="P737" s="92">
        <f>IF($O737="","",L737-O737-(L737*IF(L737&lt;=79.99,20%,14%)+IF(L737&lt;=79.99,4,IF(L737&lt;=99.99,16,IF(L737&lt;=199.99,20,IF(L737&lt;=499.99,26,28)))))-L737*1.3%-L737*6%-(L737-O737)*9.25%-L737*3%-L737*3%-1)</f>
        <v/>
      </c>
      <c r="Q737" s="60" t="inlineStr">
        <is>
          <t> </t>
        </is>
      </c>
      <c r="R737" s="60" t="inlineStr">
        <is>
          <t> </t>
        </is>
      </c>
      <c r="S737" s="60" t="inlineStr">
        <is>
          <t> </t>
        </is>
      </c>
      <c r="T737" s="60" t="inlineStr">
        <is>
          <t> </t>
        </is>
      </c>
      <c r="U737" s="60" t="n">
        <v>100916</v>
      </c>
      <c r="W737" t="inlineStr">
        <is>
          <t>sem correspondência</t>
        </is>
      </c>
      <c r="Y737" t="inlineStr"/>
    </row>
    <row r="738" ht="18" customHeight="1">
      <c r="A738" s="54" t="inlineStr">
        <is>
          <t>Donacor</t>
        </is>
      </c>
      <c r="B738" s="54" t="inlineStr">
        <is>
          <t>Bebedouro Automático para Cães Agua Truqys - Galão 2 litros</t>
        </is>
      </c>
      <c r="C738" s="54" t="inlineStr">
        <is>
          <t>Rosa</t>
        </is>
      </c>
      <c r="D738" s="54" t="inlineStr">
        <is>
          <t>b03</t>
        </is>
      </c>
      <c r="E738" s="54" t="n">
        <v>18599257849</v>
      </c>
      <c r="F738" s="54" t="n">
        <v>129645215685</v>
      </c>
      <c r="G738" s="54" t="inlineStr">
        <is>
          <t>NORMAL</t>
        </is>
      </c>
      <c r="H738" s="86" t="n">
        <v>41.9</v>
      </c>
      <c r="I738" s="86" t="n">
        <v>41.9</v>
      </c>
      <c r="J738" s="69" t="inlineStr">
        <is>
          <t>NÃO</t>
        </is>
      </c>
      <c r="K738" s="54" t="n"/>
      <c r="L738" s="87" t="n">
        <v>41.9</v>
      </c>
      <c r="P738" s="90">
        <f>IF($O738="","",L738-O738-(L738*IF(L738&lt;=79.99,20%,14%)+IF(L738&lt;=79.99,4,IF(L738&lt;=99.99,16,IF(L738&lt;=199.99,20,IF(L738&lt;=499.99,26,28)))))-L738*1.3%-L738*6%-(L738-O738)*9.25%-L738*3%-L738*3%-1)</f>
        <v/>
      </c>
      <c r="Q738" s="54">
        <f>IF(AND(K738&lt;&gt;"",H738&gt;0),(H738-K738)/H738,"")</f>
        <v/>
      </c>
      <c r="R738" s="54" t="n"/>
      <c r="S738" s="54" t="n"/>
      <c r="T738" s="54" t="n"/>
      <c r="U738" s="54" t="n">
        <v>100916</v>
      </c>
      <c r="W738" t="inlineStr">
        <is>
          <t>sem correspondência</t>
        </is>
      </c>
      <c r="Y738" t="inlineStr"/>
    </row>
    <row r="739" ht="18" customHeight="1">
      <c r="A739" s="60" t="inlineStr">
        <is>
          <t>Donacor</t>
        </is>
      </c>
      <c r="B739" s="60" t="inlineStr">
        <is>
          <t>Bebedouro Automático para Cães Agua Truqys - Galão 2 litros</t>
        </is>
      </c>
      <c r="C739" s="60" t="inlineStr">
        <is>
          <t>Vermelho</t>
        </is>
      </c>
      <c r="D739" s="60" t="inlineStr">
        <is>
          <t>b02</t>
        </is>
      </c>
      <c r="E739" s="60" t="n">
        <v>18599257849</v>
      </c>
      <c r="F739" s="60" t="n">
        <v>129645215684</v>
      </c>
      <c r="G739" s="60" t="inlineStr">
        <is>
          <t>NORMAL</t>
        </is>
      </c>
      <c r="H739" s="91" t="n">
        <v>41.9</v>
      </c>
      <c r="I739" s="91" t="n">
        <v>41.9</v>
      </c>
      <c r="J739" s="62" t="inlineStr">
        <is>
          <t>NÃO</t>
        </is>
      </c>
      <c r="K739" s="60" t="inlineStr">
        <is>
          <t> </t>
        </is>
      </c>
      <c r="L739" s="87" t="n">
        <v>41.9</v>
      </c>
      <c r="P739" s="92">
        <f>IF($O739="","",L739-O739-(L739*IF(L739&lt;=79.99,20%,14%)+IF(L739&lt;=79.99,4,IF(L739&lt;=99.99,16,IF(L739&lt;=199.99,20,IF(L739&lt;=499.99,26,28)))))-L739*1.3%-L739*6%-(L739-O739)*9.25%-L739*3%-L739*3%-1)</f>
        <v/>
      </c>
      <c r="Q739" s="60" t="inlineStr">
        <is>
          <t> </t>
        </is>
      </c>
      <c r="R739" s="60" t="inlineStr">
        <is>
          <t> </t>
        </is>
      </c>
      <c r="S739" s="60" t="inlineStr">
        <is>
          <t> </t>
        </is>
      </c>
      <c r="T739" s="60" t="inlineStr">
        <is>
          <t> </t>
        </is>
      </c>
      <c r="U739" s="60" t="n">
        <v>100916</v>
      </c>
      <c r="W739" t="inlineStr">
        <is>
          <t>sem correspondência</t>
        </is>
      </c>
      <c r="Y739" t="inlineStr"/>
    </row>
    <row r="740" ht="18" customHeight="1">
      <c r="A740" s="54" t="inlineStr">
        <is>
          <t>Donacor</t>
        </is>
      </c>
      <c r="B740" s="54" t="inlineStr">
        <is>
          <t>Bebedouro Beija Flor Luxo com chapéu e poleiro - Jelplast Sortido</t>
        </is>
      </c>
      <c r="C740" s="54" t="inlineStr">
        <is>
          <t>Sem variação</t>
        </is>
      </c>
      <c r="D740" s="54" t="n">
        <v>64</v>
      </c>
      <c r="E740" s="54" t="n">
        <v>19499257070</v>
      </c>
      <c r="F740" s="54" t="n">
        <v>0</v>
      </c>
      <c r="G740" s="54" t="inlineStr">
        <is>
          <t>NORMAL</t>
        </is>
      </c>
      <c r="H740" s="86" t="n">
        <v>29.9</v>
      </c>
      <c r="I740" s="86" t="n">
        <v>24.9</v>
      </c>
      <c r="J740" s="56" t="inlineStr">
        <is>
          <t>SIM</t>
        </is>
      </c>
      <c r="K740" s="86" t="n">
        <v>24.9</v>
      </c>
      <c r="L740" s="87" t="n">
        <v>24.9</v>
      </c>
      <c r="P740" s="90">
        <f>IF($O740="","",L740-O740-(L740*IF(L740&lt;=79.99,20%,14%)+IF(L740&lt;=79.99,4,IF(L740&lt;=99.99,16,IF(L740&lt;=199.99,20,IF(L740&lt;=499.99,26,28)))))-L740*1.3%-L740*6%-(L740-O740)*9.25%-L740*3%-L740*3%-1)</f>
        <v/>
      </c>
      <c r="Q740" s="58" t="n">
        <v>0.167</v>
      </c>
      <c r="R740" s="54" t="inlineStr">
        <is>
          <t>478840979931317, 484946028474774</t>
        </is>
      </c>
      <c r="S740" s="59" t="n">
        <v>46227.74097222222</v>
      </c>
      <c r="T740" s="59" t="n">
        <v>46248.99930555555</v>
      </c>
      <c r="U740" s="54" t="n">
        <v>100916</v>
      </c>
      <c r="V740" t="inlineStr">
        <is>
          <t>64</t>
        </is>
      </c>
      <c r="W740" t="inlineStr">
        <is>
          <t>SKU idêntico na Olist · CUSTO ZERADO na Olist (conferido hoje)</t>
        </is>
      </c>
      <c r="Y740" t="inlineStr">
        <is>
          <t>ok</t>
        </is>
      </c>
    </row>
    <row r="741" ht="18" customHeight="1">
      <c r="A741" s="60" t="inlineStr">
        <is>
          <t>Donacor</t>
        </is>
      </c>
      <c r="B741" s="60" t="inlineStr">
        <is>
          <t>Bermuda Max Core Lupo Sport com Tecnologia Termica Sem Costura Seamless Dry Short para Corrida Fit</t>
        </is>
      </c>
      <c r="C741" s="60" t="inlineStr">
        <is>
          <t>Marinho,G</t>
        </is>
      </c>
      <c r="D741" s="60" t="inlineStr">
        <is>
          <t>BERMUDA-MAX-MARINHO-G</t>
        </is>
      </c>
      <c r="E741" s="60" t="n">
        <v>52858898028</v>
      </c>
      <c r="F741" s="60" t="n">
        <v>340789409445</v>
      </c>
      <c r="G741" s="60" t="inlineStr">
        <is>
          <t>NORMAL</t>
        </is>
      </c>
      <c r="H741" s="91" t="n">
        <v>129.9</v>
      </c>
      <c r="I741" s="91" t="n">
        <v>129.9</v>
      </c>
      <c r="J741" s="62" t="inlineStr">
        <is>
          <t>NÃO</t>
        </is>
      </c>
      <c r="K741" s="60" t="inlineStr">
        <is>
          <t> </t>
        </is>
      </c>
      <c r="L741" s="87" t="n">
        <v>129.9</v>
      </c>
      <c r="M741" s="88" t="n">
        <v>1</v>
      </c>
      <c r="N741" s="89" t="n">
        <v>35.04</v>
      </c>
      <c r="O741" s="89">
        <f>ROUND(M741*N741,2)</f>
        <v/>
      </c>
      <c r="P741" s="92">
        <f>IF($O741="","",L741-O741-(L741*IF(L741&lt;=79.99,20%,14%)+IF(L741&lt;=79.99,4,IF(L741&lt;=99.99,16,IF(L741&lt;=199.99,20,IF(L741&lt;=499.99,26,28)))))-L741*1.3%-L741*6%-(L741-O741)*9.25%-L741*3%-L741*3%-1)</f>
        <v/>
      </c>
      <c r="Q741" s="60" t="inlineStr">
        <is>
          <t> </t>
        </is>
      </c>
      <c r="R741" s="60" t="inlineStr">
        <is>
          <t> </t>
        </is>
      </c>
      <c r="S741" s="60" t="inlineStr">
        <is>
          <t> </t>
        </is>
      </c>
      <c r="T741" s="60" t="inlineStr">
        <is>
          <t> </t>
        </is>
      </c>
      <c r="U741" s="60" t="n">
        <v>101313</v>
      </c>
      <c r="V741" t="inlineStr">
        <is>
          <t>214787</t>
        </is>
      </c>
      <c r="W741" t="inlineStr">
        <is>
          <t>herdado do anúncio</t>
        </is>
      </c>
      <c r="Y741" t="inlineStr">
        <is>
          <t>ok</t>
        </is>
      </c>
    </row>
    <row r="742" ht="18" customHeight="1">
      <c r="A742" s="54" t="inlineStr">
        <is>
          <t>Donacor</t>
        </is>
      </c>
      <c r="B742" s="54" t="inlineStr">
        <is>
          <t>Bermuda Max Core Lupo Sport com Tecnologia Termica Sem Costura Seamless Dry Short para Corrida Fit</t>
        </is>
      </c>
      <c r="C742" s="54" t="inlineStr">
        <is>
          <t>Marinho,GG</t>
        </is>
      </c>
      <c r="D742" s="54" t="inlineStr">
        <is>
          <t>BERMUDA-MAX-MARINHO-GG</t>
        </is>
      </c>
      <c r="E742" s="54" t="n">
        <v>52858898028</v>
      </c>
      <c r="F742" s="54" t="n">
        <v>340789409446</v>
      </c>
      <c r="G742" s="54" t="inlineStr">
        <is>
          <t>NORMAL</t>
        </is>
      </c>
      <c r="H742" s="86" t="n">
        <v>129.9</v>
      </c>
      <c r="I742" s="86" t="n">
        <v>129.9</v>
      </c>
      <c r="J742" s="69" t="inlineStr">
        <is>
          <t>NÃO</t>
        </is>
      </c>
      <c r="K742" s="54" t="n"/>
      <c r="L742" s="87" t="n">
        <v>129.9</v>
      </c>
      <c r="M742" s="88" t="n">
        <v>1</v>
      </c>
      <c r="N742" s="89" t="n">
        <v>35.04</v>
      </c>
      <c r="O742" s="89">
        <f>ROUND(M742*N742,2)</f>
        <v/>
      </c>
      <c r="P742" s="90">
        <f>IF($O742="","",L742-O742-(L742*IF(L742&lt;=79.99,20%,14%)+IF(L742&lt;=79.99,4,IF(L742&lt;=99.99,16,IF(L742&lt;=199.99,20,IF(L742&lt;=499.99,26,28)))))-L742*1.3%-L742*6%-(L742-O742)*9.25%-L742*3%-L742*3%-1)</f>
        <v/>
      </c>
      <c r="Q742" s="54">
        <f>IF(AND(K742&lt;&gt;"",H742&gt;0),(H742-K742)/H742,"")</f>
        <v/>
      </c>
      <c r="R742" s="54" t="n"/>
      <c r="S742" s="54" t="n"/>
      <c r="T742" s="54" t="n"/>
      <c r="U742" s="54" t="n">
        <v>101313</v>
      </c>
      <c r="V742" t="inlineStr">
        <is>
          <t>214787</t>
        </is>
      </c>
      <c r="W742" t="inlineStr">
        <is>
          <t>herdado do anúncio</t>
        </is>
      </c>
      <c r="Y742" t="inlineStr">
        <is>
          <t>ok</t>
        </is>
      </c>
    </row>
    <row r="743" ht="18" customHeight="1">
      <c r="A743" s="60" t="inlineStr">
        <is>
          <t>Donacor</t>
        </is>
      </c>
      <c r="B743" s="60" t="inlineStr">
        <is>
          <t>Bermuda Max Core Lupo Sport com Tecnologia Termica Sem Costura Seamless Dry Short para Corrida Fit</t>
        </is>
      </c>
      <c r="C743" s="60" t="inlineStr">
        <is>
          <t>Marinho,M</t>
        </is>
      </c>
      <c r="D743" s="60" t="inlineStr">
        <is>
          <t>BERMUDA-MAX-MARINHO-M</t>
        </is>
      </c>
      <c r="E743" s="60" t="n">
        <v>52858898028</v>
      </c>
      <c r="F743" s="60" t="n">
        <v>340789409444</v>
      </c>
      <c r="G743" s="60" t="inlineStr">
        <is>
          <t>NORMAL</t>
        </is>
      </c>
      <c r="H743" s="91" t="n">
        <v>129.9</v>
      </c>
      <c r="I743" s="91" t="n">
        <v>129.9</v>
      </c>
      <c r="J743" s="62" t="inlineStr">
        <is>
          <t>NÃO</t>
        </is>
      </c>
      <c r="K743" s="60" t="inlineStr">
        <is>
          <t> </t>
        </is>
      </c>
      <c r="L743" s="87" t="n">
        <v>129.9</v>
      </c>
      <c r="M743" s="88" t="n">
        <v>1</v>
      </c>
      <c r="N743" s="89" t="n">
        <v>35.04</v>
      </c>
      <c r="O743" s="89">
        <f>ROUND(M743*N743,2)</f>
        <v/>
      </c>
      <c r="P743" s="92">
        <f>IF($O743="","",L743-O743-(L743*IF(L743&lt;=79.99,20%,14%)+IF(L743&lt;=79.99,4,IF(L743&lt;=99.99,16,IF(L743&lt;=199.99,20,IF(L743&lt;=499.99,26,28)))))-L743*1.3%-L743*6%-(L743-O743)*9.25%-L743*3%-L743*3%-1)</f>
        <v/>
      </c>
      <c r="Q743" s="60" t="inlineStr">
        <is>
          <t> </t>
        </is>
      </c>
      <c r="R743" s="60" t="inlineStr">
        <is>
          <t> </t>
        </is>
      </c>
      <c r="S743" s="60" t="inlineStr">
        <is>
          <t> </t>
        </is>
      </c>
      <c r="T743" s="60" t="inlineStr">
        <is>
          <t> </t>
        </is>
      </c>
      <c r="U743" s="60" t="n">
        <v>101313</v>
      </c>
      <c r="V743" t="inlineStr">
        <is>
          <t>214787</t>
        </is>
      </c>
      <c r="W743" t="inlineStr">
        <is>
          <t>herdado do anúncio</t>
        </is>
      </c>
      <c r="Y743" t="inlineStr">
        <is>
          <t>ok</t>
        </is>
      </c>
    </row>
    <row r="744" ht="18" customHeight="1">
      <c r="A744" s="54" t="inlineStr">
        <is>
          <t>Donacor</t>
        </is>
      </c>
      <c r="B744" s="54" t="inlineStr">
        <is>
          <t>Bermuda Max Core Lupo Sport com Tecnologia Termica Sem Costura Seamless Dry Short para Corrida Fit</t>
        </is>
      </c>
      <c r="C744" s="54" t="inlineStr">
        <is>
          <t>Marinho,P</t>
        </is>
      </c>
      <c r="D744" s="54" t="inlineStr">
        <is>
          <t>BERMUDA-MAX-MARINHO-P</t>
        </is>
      </c>
      <c r="E744" s="54" t="n">
        <v>52858898028</v>
      </c>
      <c r="F744" s="54" t="n">
        <v>340789409443</v>
      </c>
      <c r="G744" s="54" t="inlineStr">
        <is>
          <t>NORMAL</t>
        </is>
      </c>
      <c r="H744" s="86" t="n">
        <v>129.9</v>
      </c>
      <c r="I744" s="86" t="n">
        <v>129.9</v>
      </c>
      <c r="J744" s="69" t="inlineStr">
        <is>
          <t>NÃO</t>
        </is>
      </c>
      <c r="K744" s="54" t="n"/>
      <c r="L744" s="87" t="n">
        <v>129.9</v>
      </c>
      <c r="M744" s="88" t="n">
        <v>1</v>
      </c>
      <c r="N744" s="89" t="n">
        <v>35.04</v>
      </c>
      <c r="O744" s="89">
        <f>ROUND(M744*N744,2)</f>
        <v/>
      </c>
      <c r="P744" s="90">
        <f>IF($O744="","",L744-O744-(L744*IF(L744&lt;=79.99,20%,14%)+IF(L744&lt;=79.99,4,IF(L744&lt;=99.99,16,IF(L744&lt;=199.99,20,IF(L744&lt;=499.99,26,28)))))-L744*1.3%-L744*6%-(L744-O744)*9.25%-L744*3%-L744*3%-1)</f>
        <v/>
      </c>
      <c r="Q744" s="54">
        <f>IF(AND(K744&lt;&gt;"",H744&gt;0),(H744-K744)/H744,"")</f>
        <v/>
      </c>
      <c r="R744" s="54" t="n"/>
      <c r="S744" s="54" t="n"/>
      <c r="T744" s="54" t="n"/>
      <c r="U744" s="54" t="n">
        <v>101313</v>
      </c>
      <c r="V744" t="inlineStr">
        <is>
          <t>214787</t>
        </is>
      </c>
      <c r="W744" t="inlineStr">
        <is>
          <t>herdado do anúncio</t>
        </is>
      </c>
      <c r="Y744" t="inlineStr">
        <is>
          <t>ok</t>
        </is>
      </c>
    </row>
    <row r="745" ht="18" customHeight="1">
      <c r="A745" s="60" t="inlineStr">
        <is>
          <t>Donacor</t>
        </is>
      </c>
      <c r="B745" s="60" t="inlineStr">
        <is>
          <t>Bermuda Max Core Lupo Sport com Tecnologia Termica Sem Costura Seamless Dry Short para Corrida Fit</t>
        </is>
      </c>
      <c r="C745" s="60" t="inlineStr">
        <is>
          <t>Marinho,XG</t>
        </is>
      </c>
      <c r="D745" s="60" t="inlineStr">
        <is>
          <t>BERMUDA-MAX-MARINHO-XG</t>
        </is>
      </c>
      <c r="E745" s="60" t="n">
        <v>52858898028</v>
      </c>
      <c r="F745" s="60" t="n">
        <v>340789409447</v>
      </c>
      <c r="G745" s="60" t="inlineStr">
        <is>
          <t>NORMAL</t>
        </is>
      </c>
      <c r="H745" s="91" t="n">
        <v>129.9</v>
      </c>
      <c r="I745" s="91" t="n">
        <v>129.9</v>
      </c>
      <c r="J745" s="62" t="inlineStr">
        <is>
          <t>NÃO</t>
        </is>
      </c>
      <c r="K745" s="60" t="inlineStr">
        <is>
          <t> </t>
        </is>
      </c>
      <c r="L745" s="87" t="n">
        <v>129.9</v>
      </c>
      <c r="M745" s="88" t="n">
        <v>1</v>
      </c>
      <c r="N745" s="89" t="n">
        <v>35.04</v>
      </c>
      <c r="O745" s="89">
        <f>ROUND(M745*N745,2)</f>
        <v/>
      </c>
      <c r="P745" s="92">
        <f>IF($O745="","",L745-O745-(L745*IF(L745&lt;=79.99,20%,14%)+IF(L745&lt;=79.99,4,IF(L745&lt;=99.99,16,IF(L745&lt;=199.99,20,IF(L745&lt;=499.99,26,28)))))-L745*1.3%-L745*6%-(L745-O745)*9.25%-L745*3%-L745*3%-1)</f>
        <v/>
      </c>
      <c r="Q745" s="60" t="inlineStr">
        <is>
          <t> </t>
        </is>
      </c>
      <c r="R745" s="60" t="inlineStr">
        <is>
          <t> </t>
        </is>
      </c>
      <c r="S745" s="60" t="inlineStr">
        <is>
          <t> </t>
        </is>
      </c>
      <c r="T745" s="60" t="inlineStr">
        <is>
          <t> </t>
        </is>
      </c>
      <c r="U745" s="60" t="n">
        <v>101313</v>
      </c>
      <c r="V745" t="inlineStr">
        <is>
          <t>214787</t>
        </is>
      </c>
      <c r="W745" t="inlineStr">
        <is>
          <t>herdado do anúncio</t>
        </is>
      </c>
      <c r="Y745" t="inlineStr">
        <is>
          <t>ok</t>
        </is>
      </c>
    </row>
    <row r="746" ht="18" customHeight="1">
      <c r="A746" s="54" t="inlineStr">
        <is>
          <t>Donacor</t>
        </is>
      </c>
      <c r="B746" s="54" t="inlineStr">
        <is>
          <t>Bermuda Max Core Lupo Sport com Tecnologia Termica Sem Costura Seamless Dry Short para Corrida Fit</t>
        </is>
      </c>
      <c r="C746" s="54" t="inlineStr">
        <is>
          <t>Preto,G</t>
        </is>
      </c>
      <c r="D746" s="54" t="inlineStr">
        <is>
          <t>BERMUDA-MAX-PRETA-G</t>
        </is>
      </c>
      <c r="E746" s="54" t="n">
        <v>52858898028</v>
      </c>
      <c r="F746" s="54" t="n">
        <v>340789409440</v>
      </c>
      <c r="G746" s="54" t="inlineStr">
        <is>
          <t>NORMAL</t>
        </is>
      </c>
      <c r="H746" s="86" t="n">
        <v>129.9</v>
      </c>
      <c r="I746" s="86" t="n">
        <v>129.9</v>
      </c>
      <c r="J746" s="69" t="inlineStr">
        <is>
          <t>NÃO</t>
        </is>
      </c>
      <c r="K746" s="54" t="n"/>
      <c r="L746" s="87" t="n">
        <v>129.9</v>
      </c>
      <c r="M746" s="88" t="n">
        <v>1</v>
      </c>
      <c r="N746" s="89" t="n">
        <v>35.04</v>
      </c>
      <c r="O746" s="89">
        <f>ROUND(M746*N746,2)</f>
        <v/>
      </c>
      <c r="P746" s="90">
        <f>IF($O746="","",L746-O746-(L746*IF(L746&lt;=79.99,20%,14%)+IF(L746&lt;=79.99,4,IF(L746&lt;=99.99,16,IF(L746&lt;=199.99,20,IF(L746&lt;=499.99,26,28)))))-L746*1.3%-L746*6%-(L746-O746)*9.25%-L746*3%-L746*3%-1)</f>
        <v/>
      </c>
      <c r="Q746" s="54">
        <f>IF(AND(K746&lt;&gt;"",H746&gt;0),(H746-K746)/H746,"")</f>
        <v/>
      </c>
      <c r="R746" s="54" t="n"/>
      <c r="S746" s="54" t="n"/>
      <c r="T746" s="54" t="n"/>
      <c r="U746" s="54" t="n">
        <v>101313</v>
      </c>
      <c r="V746" t="inlineStr">
        <is>
          <t>214787</t>
        </is>
      </c>
      <c r="W746" t="inlineStr">
        <is>
          <t>herdado do anúncio</t>
        </is>
      </c>
      <c r="Y746" t="inlineStr">
        <is>
          <t>ok</t>
        </is>
      </c>
    </row>
    <row r="747" ht="18" customHeight="1">
      <c r="A747" s="60" t="inlineStr">
        <is>
          <t>Donacor</t>
        </is>
      </c>
      <c r="B747" s="60" t="inlineStr">
        <is>
          <t>Bermuda Max Core Lupo Sport com Tecnologia Termica Sem Costura Seamless Dry Short para Corrida Fit</t>
        </is>
      </c>
      <c r="C747" s="60" t="inlineStr">
        <is>
          <t>Preto,GG</t>
        </is>
      </c>
      <c r="D747" s="60" t="inlineStr">
        <is>
          <t>BERMUDA-MAX-PRETA-GG</t>
        </is>
      </c>
      <c r="E747" s="60" t="n">
        <v>52858898028</v>
      </c>
      <c r="F747" s="60" t="n">
        <v>340789409441</v>
      </c>
      <c r="G747" s="60" t="inlineStr">
        <is>
          <t>NORMAL</t>
        </is>
      </c>
      <c r="H747" s="91" t="n">
        <v>129.9</v>
      </c>
      <c r="I747" s="91" t="n">
        <v>129.9</v>
      </c>
      <c r="J747" s="62" t="inlineStr">
        <is>
          <t>NÃO</t>
        </is>
      </c>
      <c r="K747" s="60" t="inlineStr">
        <is>
          <t> </t>
        </is>
      </c>
      <c r="L747" s="87" t="n">
        <v>129.9</v>
      </c>
      <c r="M747" s="88" t="n">
        <v>1</v>
      </c>
      <c r="N747" s="89" t="n">
        <v>35.04</v>
      </c>
      <c r="O747" s="89">
        <f>ROUND(M747*N747,2)</f>
        <v/>
      </c>
      <c r="P747" s="92">
        <f>IF($O747="","",L747-O747-(L747*IF(L747&lt;=79.99,20%,14%)+IF(L747&lt;=79.99,4,IF(L747&lt;=99.99,16,IF(L747&lt;=199.99,20,IF(L747&lt;=499.99,26,28)))))-L747*1.3%-L747*6%-(L747-O747)*9.25%-L747*3%-L747*3%-1)</f>
        <v/>
      </c>
      <c r="Q747" s="60" t="inlineStr">
        <is>
          <t> </t>
        </is>
      </c>
      <c r="R747" s="60" t="inlineStr">
        <is>
          <t> </t>
        </is>
      </c>
      <c r="S747" s="60" t="inlineStr">
        <is>
          <t> </t>
        </is>
      </c>
      <c r="T747" s="60" t="inlineStr">
        <is>
          <t> </t>
        </is>
      </c>
      <c r="U747" s="60" t="n">
        <v>101313</v>
      </c>
      <c r="V747" t="inlineStr">
        <is>
          <t>214787</t>
        </is>
      </c>
      <c r="W747" t="inlineStr">
        <is>
          <t>herdado do anúncio</t>
        </is>
      </c>
      <c r="Y747" t="inlineStr">
        <is>
          <t>ok</t>
        </is>
      </c>
    </row>
    <row r="748" ht="18" customHeight="1">
      <c r="A748" s="54" t="inlineStr">
        <is>
          <t>Donacor</t>
        </is>
      </c>
      <c r="B748" s="54" t="inlineStr">
        <is>
          <t>Bermuda Max Core Lupo Sport com Tecnologia Termica Sem Costura Seamless Dry Short para Corrida Fit</t>
        </is>
      </c>
      <c r="C748" s="54" t="inlineStr">
        <is>
          <t>Preto,M</t>
        </is>
      </c>
      <c r="D748" s="54" t="inlineStr">
        <is>
          <t>BERMUDA-MAX-PRETA-M</t>
        </is>
      </c>
      <c r="E748" s="54" t="n">
        <v>52858898028</v>
      </c>
      <c r="F748" s="54" t="n">
        <v>340789409439</v>
      </c>
      <c r="G748" s="54" t="inlineStr">
        <is>
          <t>NORMAL</t>
        </is>
      </c>
      <c r="H748" s="86" t="n">
        <v>129.9</v>
      </c>
      <c r="I748" s="86" t="n">
        <v>129.9</v>
      </c>
      <c r="J748" s="69" t="inlineStr">
        <is>
          <t>NÃO</t>
        </is>
      </c>
      <c r="K748" s="54" t="n"/>
      <c r="L748" s="87" t="n">
        <v>129.9</v>
      </c>
      <c r="M748" s="88" t="n">
        <v>1</v>
      </c>
      <c r="N748" s="89" t="n">
        <v>35.04</v>
      </c>
      <c r="O748" s="89">
        <f>ROUND(M748*N748,2)</f>
        <v/>
      </c>
      <c r="P748" s="90">
        <f>IF($O748="","",L748-O748-(L748*IF(L748&lt;=79.99,20%,14%)+IF(L748&lt;=79.99,4,IF(L748&lt;=99.99,16,IF(L748&lt;=199.99,20,IF(L748&lt;=499.99,26,28)))))-L748*1.3%-L748*6%-(L748-O748)*9.25%-L748*3%-L748*3%-1)</f>
        <v/>
      </c>
      <c r="Q748" s="54">
        <f>IF(AND(K748&lt;&gt;"",H748&gt;0),(H748-K748)/H748,"")</f>
        <v/>
      </c>
      <c r="R748" s="54" t="n"/>
      <c r="S748" s="54" t="n"/>
      <c r="T748" s="54" t="n"/>
      <c r="U748" s="54" t="n">
        <v>101313</v>
      </c>
      <c r="V748" t="inlineStr">
        <is>
          <t>214787</t>
        </is>
      </c>
      <c r="W748" t="inlineStr">
        <is>
          <t>herdado do anúncio</t>
        </is>
      </c>
      <c r="Y748" t="inlineStr">
        <is>
          <t>ok</t>
        </is>
      </c>
    </row>
    <row r="749" ht="18" customHeight="1">
      <c r="A749" s="60" t="inlineStr">
        <is>
          <t>Donacor</t>
        </is>
      </c>
      <c r="B749" s="60" t="inlineStr">
        <is>
          <t>Bermuda Max Core Lupo Sport com Tecnologia Termica Sem Costura Seamless Dry Short para Corrida Fit</t>
        </is>
      </c>
      <c r="C749" s="60" t="inlineStr">
        <is>
          <t>Preto,P</t>
        </is>
      </c>
      <c r="D749" s="60" t="inlineStr">
        <is>
          <t>BERMUDA-MAX-PRETA-P</t>
        </is>
      </c>
      <c r="E749" s="60" t="n">
        <v>52858898028</v>
      </c>
      <c r="F749" s="60" t="n">
        <v>277540728688</v>
      </c>
      <c r="G749" s="60" t="inlineStr">
        <is>
          <t>NORMAL</t>
        </is>
      </c>
      <c r="H749" s="91" t="n">
        <v>129.9</v>
      </c>
      <c r="I749" s="91" t="n">
        <v>74.90000000000001</v>
      </c>
      <c r="J749" s="65" t="inlineStr">
        <is>
          <t>SIM</t>
        </is>
      </c>
      <c r="K749" s="91" t="n">
        <v>74.90000000000001</v>
      </c>
      <c r="L749" s="87" t="n">
        <v>74.90000000000001</v>
      </c>
      <c r="M749" s="88" t="n">
        <v>1</v>
      </c>
      <c r="N749" s="89" t="n">
        <v>35.04</v>
      </c>
      <c r="O749" s="89">
        <f>ROUND(M749*N749,2)</f>
        <v/>
      </c>
      <c r="P749" s="92">
        <f>IF($O749="","",L749-O749-(L749*IF(L749&lt;=79.99,20%,14%)+IF(L749&lt;=79.99,4,IF(L749&lt;=99.99,16,IF(L749&lt;=199.99,20,IF(L749&lt;=499.99,26,28)))))-L749*1.3%-L749*6%-(L749-O749)*9.25%-L749*3%-L749*3%-1)</f>
        <v/>
      </c>
      <c r="Q749" s="67" t="n">
        <v>0.423</v>
      </c>
      <c r="R749" s="60" t="inlineStr">
        <is>
          <t>478840979931317, 484945860710786</t>
        </is>
      </c>
      <c r="S749" s="68" t="n">
        <v>46227.73958333334</v>
      </c>
      <c r="T749" s="68" t="n">
        <v>46248.99930555555</v>
      </c>
      <c r="U749" s="60" t="n">
        <v>101313</v>
      </c>
      <c r="V749" t="inlineStr">
        <is>
          <t>214787</t>
        </is>
      </c>
      <c r="W749" t="inlineStr">
        <is>
          <t>venda casada (7 pedidos)</t>
        </is>
      </c>
      <c r="X749" t="n">
        <v>7</v>
      </c>
      <c r="Y749" t="inlineStr">
        <is>
          <t>ok</t>
        </is>
      </c>
    </row>
    <row r="750" ht="18" customHeight="1">
      <c r="A750" s="54" t="inlineStr">
        <is>
          <t>Donacor</t>
        </is>
      </c>
      <c r="B750" s="54" t="inlineStr">
        <is>
          <t>Bermuda Max Core Lupo Sport com Tecnologia Termica Sem Costura Seamless Dry Short para Corrida Fit</t>
        </is>
      </c>
      <c r="C750" s="54" t="inlineStr">
        <is>
          <t>Preto,XG</t>
        </is>
      </c>
      <c r="D750" s="54" t="inlineStr">
        <is>
          <t>BERMUDA-MAX-PRETA-XG</t>
        </is>
      </c>
      <c r="E750" s="54" t="n">
        <v>52858898028</v>
      </c>
      <c r="F750" s="54" t="n">
        <v>340789409442</v>
      </c>
      <c r="G750" s="54" t="inlineStr">
        <is>
          <t>NORMAL</t>
        </is>
      </c>
      <c r="H750" s="86" t="n">
        <v>129.9</v>
      </c>
      <c r="I750" s="86" t="n">
        <v>129.9</v>
      </c>
      <c r="J750" s="69" t="inlineStr">
        <is>
          <t>NÃO</t>
        </is>
      </c>
      <c r="K750" s="54" t="n"/>
      <c r="L750" s="87" t="n">
        <v>129.9</v>
      </c>
      <c r="M750" s="88" t="n">
        <v>1</v>
      </c>
      <c r="N750" s="89" t="n">
        <v>35.04</v>
      </c>
      <c r="O750" s="89">
        <f>ROUND(M750*N750,2)</f>
        <v/>
      </c>
      <c r="P750" s="90">
        <f>IF($O750="","",L750-O750-(L750*IF(L750&lt;=79.99,20%,14%)+IF(L750&lt;=79.99,4,IF(L750&lt;=99.99,16,IF(L750&lt;=199.99,20,IF(L750&lt;=499.99,26,28)))))-L750*1.3%-L750*6%-(L750-O750)*9.25%-L750*3%-L750*3%-1)</f>
        <v/>
      </c>
      <c r="Q750" s="54">
        <f>IF(AND(K750&lt;&gt;"",H750&gt;0),(H750-K750)/H750,"")</f>
        <v/>
      </c>
      <c r="R750" s="54" t="n"/>
      <c r="S750" s="54" t="n"/>
      <c r="T750" s="54" t="n"/>
      <c r="U750" s="54" t="n">
        <v>101313</v>
      </c>
      <c r="V750" t="inlineStr">
        <is>
          <t>214787</t>
        </is>
      </c>
      <c r="W750" t="inlineStr">
        <is>
          <t>herdado do anúncio</t>
        </is>
      </c>
      <c r="Y750" t="inlineStr">
        <is>
          <t>ok</t>
        </is>
      </c>
    </row>
    <row r="751" ht="18" customHeight="1">
      <c r="A751" s="60" t="inlineStr">
        <is>
          <t>Donacor</t>
        </is>
      </c>
      <c r="B751" s="60" t="inlineStr">
        <is>
          <t>Biothon Cães Suplemento para cães - cartela Com 10 comprimidos</t>
        </is>
      </c>
      <c r="C751" s="60" t="inlineStr">
        <is>
          <t>Sem variação</t>
        </is>
      </c>
      <c r="D751" s="60" t="inlineStr">
        <is>
          <t>BIOTHON-10</t>
        </is>
      </c>
      <c r="E751" s="60" t="n">
        <v>23593010356</v>
      </c>
      <c r="F751" s="60" t="n">
        <v>0</v>
      </c>
      <c r="G751" s="60" t="inlineStr">
        <is>
          <t>NORMAL</t>
        </is>
      </c>
      <c r="H751" s="91" t="n">
        <v>63.8</v>
      </c>
      <c r="I751" s="91" t="n">
        <v>63.8</v>
      </c>
      <c r="J751" s="62" t="inlineStr">
        <is>
          <t>NÃO</t>
        </is>
      </c>
      <c r="K751" s="60" t="inlineStr">
        <is>
          <t> </t>
        </is>
      </c>
      <c r="L751" s="87" t="n">
        <v>63.8</v>
      </c>
      <c r="P751" s="92">
        <f>IF($O751="","",L751-O751-(L751*IF(L751&lt;=79.99,20%,14%)+IF(L751&lt;=79.99,4,IF(L751&lt;=99.99,16,IF(L751&lt;=199.99,20,IF(L751&lt;=499.99,26,28)))))-L751*1.3%-L751*6%-(L751-O751)*9.25%-L751*3%-L751*3%-1)</f>
        <v/>
      </c>
      <c r="Q751" s="60" t="inlineStr">
        <is>
          <t> </t>
        </is>
      </c>
      <c r="R751" s="60" t="inlineStr">
        <is>
          <t> </t>
        </is>
      </c>
      <c r="S751" s="60" t="inlineStr">
        <is>
          <t> </t>
        </is>
      </c>
      <c r="T751" s="60" t="inlineStr">
        <is>
          <t> </t>
        </is>
      </c>
      <c r="U751" s="60" t="n">
        <v>100944</v>
      </c>
      <c r="W751" t="inlineStr">
        <is>
          <t>sem correspondência</t>
        </is>
      </c>
      <c r="Y751" t="inlineStr"/>
    </row>
    <row r="752" ht="18" customHeight="1">
      <c r="A752" s="54" t="inlineStr">
        <is>
          <t>Donacor</t>
        </is>
      </c>
      <c r="B752" s="54" t="inlineStr">
        <is>
          <t>Bomba Submersa 1000 L/h Ideal Para Aquários Piscinas Fontes</t>
        </is>
      </c>
      <c r="C752" s="54" t="inlineStr">
        <is>
          <t>110V</t>
        </is>
      </c>
      <c r="D752" s="54" t="inlineStr">
        <is>
          <t>BOMBA-1000L-110V</t>
        </is>
      </c>
      <c r="E752" s="54" t="n">
        <v>22497974868</v>
      </c>
      <c r="F752" s="54" t="n">
        <v>209600093819</v>
      </c>
      <c r="G752" s="54" t="inlineStr">
        <is>
          <t>NORMAL</t>
        </is>
      </c>
      <c r="H752" s="86" t="n">
        <v>109.9</v>
      </c>
      <c r="I752" s="86" t="n">
        <v>72.90000000000001</v>
      </c>
      <c r="J752" s="56" t="inlineStr">
        <is>
          <t>SIM</t>
        </is>
      </c>
      <c r="K752" s="86" t="n">
        <v>72.90000000000001</v>
      </c>
      <c r="L752" s="87" t="n">
        <v>72.90000000000001</v>
      </c>
      <c r="M752" s="88" t="n">
        <v>1</v>
      </c>
      <c r="N752" s="89" t="n">
        <v>19.01</v>
      </c>
      <c r="O752" s="89">
        <f>ROUND(M752*N752,2)</f>
        <v/>
      </c>
      <c r="P752" s="90">
        <f>IF($O752="","",L752-O752-(L752*IF(L752&lt;=79.99,20%,14%)+IF(L752&lt;=79.99,4,IF(L752&lt;=99.99,16,IF(L752&lt;=199.99,20,IF(L752&lt;=499.99,26,28)))))-L752*1.3%-L752*6%-(L752-O752)*9.25%-L752*3%-L752*3%-1)</f>
        <v/>
      </c>
      <c r="Q752" s="58" t="n">
        <v>0.337</v>
      </c>
      <c r="R752" s="54" t="n">
        <v>484945860710786</v>
      </c>
      <c r="S752" s="59" t="n">
        <v>46227.73958333334</v>
      </c>
      <c r="T752" s="59" t="n">
        <v>46405.45833333334</v>
      </c>
      <c r="U752" s="54" t="n">
        <v>100921</v>
      </c>
      <c r="V752" t="inlineStr">
        <is>
          <t>214110</t>
        </is>
      </c>
      <c r="W752" t="inlineStr">
        <is>
          <t>venda casada (1 pedido)</t>
        </is>
      </c>
      <c r="X752" t="n">
        <v>1</v>
      </c>
      <c r="Y752" t="inlineStr">
        <is>
          <t>⚠ evidência fraca (1 pedido)</t>
        </is>
      </c>
    </row>
    <row r="753" ht="18" customHeight="1">
      <c r="A753" s="60" t="inlineStr">
        <is>
          <t>Donacor</t>
        </is>
      </c>
      <c r="B753" s="60" t="inlineStr">
        <is>
          <t>Bomba Submersa 1000 L/h Ideal Para Aquários Piscinas Fontes</t>
        </is>
      </c>
      <c r="C753" s="60" t="inlineStr">
        <is>
          <t>220V</t>
        </is>
      </c>
      <c r="D753" s="60" t="inlineStr">
        <is>
          <t>BOMBA-1000L-220V</t>
        </is>
      </c>
      <c r="E753" s="60" t="n">
        <v>22497974868</v>
      </c>
      <c r="F753" s="60" t="n">
        <v>209600093820</v>
      </c>
      <c r="G753" s="60" t="inlineStr">
        <is>
          <t>NORMAL</t>
        </is>
      </c>
      <c r="H753" s="91" t="n">
        <v>109.9</v>
      </c>
      <c r="I753" s="91" t="n">
        <v>72.90000000000001</v>
      </c>
      <c r="J753" s="65" t="inlineStr">
        <is>
          <t>SIM</t>
        </is>
      </c>
      <c r="K753" s="91" t="n">
        <v>72.90000000000001</v>
      </c>
      <c r="L753" s="87" t="n">
        <v>72.90000000000001</v>
      </c>
      <c r="M753" s="88" t="n">
        <v>1</v>
      </c>
      <c r="N753" s="89" t="n">
        <v>19.01</v>
      </c>
      <c r="O753" s="89">
        <f>ROUND(M753*N753,2)</f>
        <v/>
      </c>
      <c r="P753" s="92">
        <f>IF($O753="","",L753-O753-(L753*IF(L753&lt;=79.99,20%,14%)+IF(L753&lt;=79.99,4,IF(L753&lt;=99.99,16,IF(L753&lt;=199.99,20,IF(L753&lt;=499.99,26,28)))))-L753*1.3%-L753*6%-(L753-O753)*9.25%-L753*3%-L753*3%-1)</f>
        <v/>
      </c>
      <c r="Q753" s="67" t="n">
        <v>0.337</v>
      </c>
      <c r="R753" s="60" t="n">
        <v>484945860710786</v>
      </c>
      <c r="S753" s="68" t="n">
        <v>46227.73958333334</v>
      </c>
      <c r="T753" s="68" t="n">
        <v>46405.45833333334</v>
      </c>
      <c r="U753" s="60" t="n">
        <v>100921</v>
      </c>
      <c r="V753" t="inlineStr">
        <is>
          <t>214110</t>
        </is>
      </c>
      <c r="W753" t="inlineStr">
        <is>
          <t>herdado do anúncio</t>
        </is>
      </c>
      <c r="Y753" t="inlineStr">
        <is>
          <t>ok</t>
        </is>
      </c>
    </row>
    <row r="754" ht="18" customHeight="1">
      <c r="A754" s="54" t="inlineStr">
        <is>
          <t>Donacor</t>
        </is>
      </c>
      <c r="B754" s="54" t="inlineStr">
        <is>
          <t>Bomba Submersa 2000L/h para Lagos, Aquários e Fontes - Elevação</t>
        </is>
      </c>
      <c r="C754" s="54" t="inlineStr">
        <is>
          <t>110V</t>
        </is>
      </c>
      <c r="D754" s="54" t="inlineStr">
        <is>
          <t>BOMBA-2000L-110V</t>
        </is>
      </c>
      <c r="E754" s="54" t="n">
        <v>22497979752</v>
      </c>
      <c r="F754" s="54" t="n">
        <v>228774053988</v>
      </c>
      <c r="G754" s="54" t="inlineStr">
        <is>
          <t>NORMAL</t>
        </is>
      </c>
      <c r="H754" s="86" t="n">
        <v>139.9</v>
      </c>
      <c r="I754" s="86" t="n">
        <v>99.90000000000001</v>
      </c>
      <c r="J754" s="56" t="inlineStr">
        <is>
          <t>SIM</t>
        </is>
      </c>
      <c r="K754" s="86" t="n">
        <v>99.90000000000001</v>
      </c>
      <c r="L754" s="87" t="n">
        <v>99.90000000000001</v>
      </c>
      <c r="M754" s="88" t="n">
        <v>1</v>
      </c>
      <c r="N754" s="89" t="n">
        <v>37.76</v>
      </c>
      <c r="O754" s="89">
        <f>ROUND(M754*N754,2)</f>
        <v/>
      </c>
      <c r="P754" s="90">
        <f>IF($O754="","",L754-O754-(L754*IF(L754&lt;=79.99,20%,14%)+IF(L754&lt;=79.99,4,IF(L754&lt;=99.99,16,IF(L754&lt;=199.99,20,IF(L754&lt;=499.99,26,28)))))-L754*1.3%-L754*6%-(L754-O754)*9.25%-L754*3%-L754*3%-1)</f>
        <v/>
      </c>
      <c r="Q754" s="58" t="n">
        <v>0.286</v>
      </c>
      <c r="R754" s="54" t="n">
        <v>484945860710786</v>
      </c>
      <c r="S754" s="59" t="n">
        <v>46227.73958333334</v>
      </c>
      <c r="T754" s="59" t="n">
        <v>46405.45833333334</v>
      </c>
      <c r="U754" s="54" t="n">
        <v>100921</v>
      </c>
      <c r="V754" t="inlineStr">
        <is>
          <t>214114</t>
        </is>
      </c>
      <c r="W754" t="inlineStr">
        <is>
          <t>herdado do anúncio</t>
        </is>
      </c>
      <c r="Y754" t="inlineStr">
        <is>
          <t>ok</t>
        </is>
      </c>
    </row>
    <row r="755" ht="18" customHeight="1">
      <c r="A755" s="60" t="inlineStr">
        <is>
          <t>Donacor</t>
        </is>
      </c>
      <c r="B755" s="60" t="inlineStr">
        <is>
          <t>Bomba Submersa 2000L/h para Lagos, Aquários e Fontes - Elevação</t>
        </is>
      </c>
      <c r="C755" s="60" t="inlineStr">
        <is>
          <t>220V</t>
        </is>
      </c>
      <c r="D755" s="60" t="inlineStr">
        <is>
          <t>BOMBA-2000L-220V</t>
        </is>
      </c>
      <c r="E755" s="60" t="n">
        <v>22497979752</v>
      </c>
      <c r="F755" s="60" t="n">
        <v>228774053989</v>
      </c>
      <c r="G755" s="60" t="inlineStr">
        <is>
          <t>NORMAL</t>
        </is>
      </c>
      <c r="H755" s="91" t="n">
        <v>139.9</v>
      </c>
      <c r="I755" s="91" t="n">
        <v>99.90000000000001</v>
      </c>
      <c r="J755" s="65" t="inlineStr">
        <is>
          <t>SIM</t>
        </is>
      </c>
      <c r="K755" s="91" t="n">
        <v>99.90000000000001</v>
      </c>
      <c r="L755" s="87" t="n">
        <v>99.90000000000001</v>
      </c>
      <c r="M755" s="88" t="n">
        <v>1</v>
      </c>
      <c r="N755" s="89" t="n">
        <v>37.76</v>
      </c>
      <c r="O755" s="89">
        <f>ROUND(M755*N755,2)</f>
        <v/>
      </c>
      <c r="P755" s="92">
        <f>IF($O755="","",L755-O755-(L755*IF(L755&lt;=79.99,20%,14%)+IF(L755&lt;=79.99,4,IF(L755&lt;=99.99,16,IF(L755&lt;=199.99,20,IF(L755&lt;=499.99,26,28)))))-L755*1.3%-L755*6%-(L755-O755)*9.25%-L755*3%-L755*3%-1)</f>
        <v/>
      </c>
      <c r="Q755" s="67" t="n">
        <v>0.286</v>
      </c>
      <c r="R755" s="60" t="n">
        <v>484945860710786</v>
      </c>
      <c r="S755" s="68" t="n">
        <v>46227.73958333334</v>
      </c>
      <c r="T755" s="68" t="n">
        <v>46405.45833333334</v>
      </c>
      <c r="U755" s="60" t="n">
        <v>100921</v>
      </c>
      <c r="V755" t="inlineStr">
        <is>
          <t>214114</t>
        </is>
      </c>
      <c r="W755" t="inlineStr">
        <is>
          <t>venda casada (1 pedido)</t>
        </is>
      </c>
      <c r="X755" t="n">
        <v>1</v>
      </c>
      <c r="Y755" t="inlineStr">
        <is>
          <t>⚠ evidência fraca (1 pedido)</t>
        </is>
      </c>
    </row>
    <row r="756" ht="18" customHeight="1">
      <c r="A756" s="54" t="inlineStr">
        <is>
          <t>Donacor</t>
        </is>
      </c>
      <c r="B756" s="54" t="inlineStr">
        <is>
          <t>Bomba Submersa Bombinha Motor Para Aquário Fonte Água Bebedouro Pet 200L p/h 110 ou 220V</t>
        </is>
      </c>
      <c r="C756" s="54" t="inlineStr">
        <is>
          <t>110V</t>
        </is>
      </c>
      <c r="D756" s="54" t="inlineStr">
        <is>
          <t>BOMBA-200L-110V</t>
        </is>
      </c>
      <c r="E756" s="54" t="n">
        <v>22397974846</v>
      </c>
      <c r="F756" s="54" t="n">
        <v>149780141655</v>
      </c>
      <c r="G756" s="54" t="inlineStr">
        <is>
          <t>NORMAL</t>
        </is>
      </c>
      <c r="H756" s="86" t="n">
        <v>49.9</v>
      </c>
      <c r="I756" s="86" t="n">
        <v>21.5</v>
      </c>
      <c r="J756" s="56" t="inlineStr">
        <is>
          <t>SIM</t>
        </is>
      </c>
      <c r="K756" s="86" t="n">
        <v>21.5</v>
      </c>
      <c r="L756" s="87" t="n">
        <v>21.5</v>
      </c>
      <c r="M756" s="88" t="n">
        <v>1</v>
      </c>
      <c r="N756" s="89" t="n">
        <v>8.26</v>
      </c>
      <c r="O756" s="89">
        <f>ROUND(M756*N756,2)</f>
        <v/>
      </c>
      <c r="P756" s="90">
        <f>IF($O756="","",L756-O756-(L756*IF(L756&lt;=79.99,20%,14%)+IF(L756&lt;=79.99,4,IF(L756&lt;=99.99,16,IF(L756&lt;=199.99,20,IF(L756&lt;=499.99,26,28)))))-L756*1.3%-L756*6%-(L756-O756)*9.25%-L756*3%-L756*3%-1)</f>
        <v/>
      </c>
      <c r="Q756" s="58" t="n">
        <v>0.569</v>
      </c>
      <c r="R756" s="54" t="n">
        <v>484945860710786</v>
      </c>
      <c r="S756" s="59" t="n">
        <v>46227.73958333334</v>
      </c>
      <c r="T756" s="59" t="n">
        <v>46405.45833333334</v>
      </c>
      <c r="U756" s="54" t="n">
        <v>100921</v>
      </c>
      <c r="V756" t="inlineStr">
        <is>
          <t>214109</t>
        </is>
      </c>
      <c r="W756" t="inlineStr">
        <is>
          <t>venda casada (30 pedidos)</t>
        </is>
      </c>
      <c r="X756" t="n">
        <v>30</v>
      </c>
      <c r="Y756" t="inlineStr">
        <is>
          <t>ok</t>
        </is>
      </c>
    </row>
    <row r="757" ht="18" customHeight="1">
      <c r="A757" s="60" t="inlineStr">
        <is>
          <t>Donacor</t>
        </is>
      </c>
      <c r="B757" s="60" t="inlineStr">
        <is>
          <t>Bomba Submersa Bombinha Motor Para Aquário Fonte Água Bebedouro Pet 200L p/h 110 ou 220V</t>
        </is>
      </c>
      <c r="C757" s="60" t="inlineStr">
        <is>
          <t>220V</t>
        </is>
      </c>
      <c r="D757" s="60" t="inlineStr">
        <is>
          <t>BOMBA-200L-220V</t>
        </is>
      </c>
      <c r="E757" s="60" t="n">
        <v>22397974846</v>
      </c>
      <c r="F757" s="60" t="n">
        <v>149780141656</v>
      </c>
      <c r="G757" s="60" t="inlineStr">
        <is>
          <t>NORMAL</t>
        </is>
      </c>
      <c r="H757" s="91" t="n">
        <v>49.9</v>
      </c>
      <c r="I757" s="91" t="n">
        <v>21.5</v>
      </c>
      <c r="J757" s="65" t="inlineStr">
        <is>
          <t>SIM</t>
        </is>
      </c>
      <c r="K757" s="91" t="n">
        <v>21.5</v>
      </c>
      <c r="L757" s="87" t="n">
        <v>21.5</v>
      </c>
      <c r="M757" s="88" t="n">
        <v>1</v>
      </c>
      <c r="N757" s="89" t="n">
        <v>8.26</v>
      </c>
      <c r="O757" s="89">
        <f>ROUND(M757*N757,2)</f>
        <v/>
      </c>
      <c r="P757" s="92">
        <f>IF($O757="","",L757-O757-(L757*IF(L757&lt;=79.99,20%,14%)+IF(L757&lt;=79.99,4,IF(L757&lt;=99.99,16,IF(L757&lt;=199.99,20,IF(L757&lt;=499.99,26,28)))))-L757*1.3%-L757*6%-(L757-O757)*9.25%-L757*3%-L757*3%-1)</f>
        <v/>
      </c>
      <c r="Q757" s="67" t="n">
        <v>0.569</v>
      </c>
      <c r="R757" s="60" t="n">
        <v>484945860710786</v>
      </c>
      <c r="S757" s="68" t="n">
        <v>46227.73958333334</v>
      </c>
      <c r="T757" s="68" t="n">
        <v>46405.45833333334</v>
      </c>
      <c r="U757" s="60" t="n">
        <v>100921</v>
      </c>
      <c r="V757" t="inlineStr">
        <is>
          <t>214112</t>
        </is>
      </c>
      <c r="W757" t="inlineStr">
        <is>
          <t>venda casada (18 pedidos)</t>
        </is>
      </c>
      <c r="X757" t="n">
        <v>18</v>
      </c>
      <c r="Y757" t="inlineStr">
        <is>
          <t>ok</t>
        </is>
      </c>
    </row>
    <row r="758" ht="18" customHeight="1">
      <c r="A758" s="54" t="inlineStr">
        <is>
          <t>Donacor</t>
        </is>
      </c>
      <c r="B758" s="54" t="inlineStr">
        <is>
          <t>Brinquedo Interativo P/ Gatos Varinha Arranhador Pena Ratinho</t>
        </is>
      </c>
      <c r="C758" s="54" t="inlineStr">
        <is>
          <t>Pena</t>
        </is>
      </c>
      <c r="D758" s="54" t="inlineStr">
        <is>
          <t>BRINQUEDO-PENA</t>
        </is>
      </c>
      <c r="E758" s="54" t="n">
        <v>23993262069</v>
      </c>
      <c r="F758" s="54" t="n">
        <v>159779344184</v>
      </c>
      <c r="G758" s="54" t="inlineStr">
        <is>
          <t>NORMAL</t>
        </is>
      </c>
      <c r="H758" s="86" t="n">
        <v>19.9</v>
      </c>
      <c r="I758" s="86" t="n">
        <v>19.9</v>
      </c>
      <c r="J758" s="69" t="inlineStr">
        <is>
          <t>NÃO</t>
        </is>
      </c>
      <c r="K758" s="54" t="n"/>
      <c r="L758" s="87" t="n">
        <v>19.9</v>
      </c>
      <c r="M758" s="88" t="n">
        <v>1</v>
      </c>
      <c r="N758" s="89" t="n">
        <v>12.2</v>
      </c>
      <c r="O758" s="89">
        <f>ROUND(M758*N758,2)</f>
        <v/>
      </c>
      <c r="P758" s="90">
        <f>IF($O758="","",L758-O758-(L758*IF(L758&lt;=79.99,20%,14%)+IF(L758&lt;=79.99,4,IF(L758&lt;=99.99,16,IF(L758&lt;=199.99,20,IF(L758&lt;=499.99,26,28)))))-L758*1.3%-L758*6%-(L758-O758)*9.25%-L758*3%-L758*3%-1)</f>
        <v/>
      </c>
      <c r="Q758" s="54">
        <f>IF(AND(K758&lt;&gt;"",H758&gt;0),(H758-K758)/H758,"")</f>
        <v/>
      </c>
      <c r="R758" s="54" t="n"/>
      <c r="S758" s="54" t="n"/>
      <c r="T758" s="54" t="n"/>
      <c r="U758" s="54" t="n">
        <v>101680</v>
      </c>
      <c r="V758" t="inlineStr">
        <is>
          <t>213556</t>
        </is>
      </c>
      <c r="W758" t="inlineStr">
        <is>
          <t>SKU do de-para</t>
        </is>
      </c>
      <c r="X758" t="n">
        <v>3</v>
      </c>
      <c r="Y758" t="inlineStr">
        <is>
          <t>ok</t>
        </is>
      </c>
    </row>
    <row r="759" ht="18" customHeight="1">
      <c r="A759" s="60" t="inlineStr">
        <is>
          <t>Donacor</t>
        </is>
      </c>
      <c r="B759" s="60" t="inlineStr">
        <is>
          <t>Brinquedo Interativo P/ Gatos Varinha Arranhador Pena Ratinho</t>
        </is>
      </c>
      <c r="C759" s="60" t="inlineStr">
        <is>
          <t>Pena Cinza</t>
        </is>
      </c>
      <c r="D759" s="60" t="inlineStr">
        <is>
          <t>BRINQUEDO-PENA- CINZA</t>
        </is>
      </c>
      <c r="E759" s="60" t="n">
        <v>23993262069</v>
      </c>
      <c r="F759" s="60" t="n">
        <v>179399678818</v>
      </c>
      <c r="G759" s="60" t="inlineStr">
        <is>
          <t>NORMAL</t>
        </is>
      </c>
      <c r="H759" s="91" t="n">
        <v>19.9</v>
      </c>
      <c r="I759" s="91" t="n">
        <v>19.9</v>
      </c>
      <c r="J759" s="62" t="inlineStr">
        <is>
          <t>NÃO</t>
        </is>
      </c>
      <c r="K759" s="60" t="inlineStr">
        <is>
          <t> </t>
        </is>
      </c>
      <c r="L759" s="87" t="n">
        <v>19.9</v>
      </c>
      <c r="M759" s="88" t="n">
        <v>1</v>
      </c>
      <c r="N759" s="89" t="n">
        <v>12.2</v>
      </c>
      <c r="O759" s="89">
        <f>ROUND(M759*N759,2)</f>
        <v/>
      </c>
      <c r="P759" s="92">
        <f>IF($O759="","",L759-O759-(L759*IF(L759&lt;=79.99,20%,14%)+IF(L759&lt;=79.99,4,IF(L759&lt;=99.99,16,IF(L759&lt;=199.99,20,IF(L759&lt;=499.99,26,28)))))-L759*1.3%-L759*6%-(L759-O759)*9.25%-L759*3%-L759*3%-1)</f>
        <v/>
      </c>
      <c r="Q759" s="60" t="inlineStr">
        <is>
          <t> </t>
        </is>
      </c>
      <c r="R759" s="60" t="inlineStr">
        <is>
          <t> </t>
        </is>
      </c>
      <c r="S759" s="60" t="inlineStr">
        <is>
          <t> </t>
        </is>
      </c>
      <c r="T759" s="60" t="inlineStr">
        <is>
          <t> </t>
        </is>
      </c>
      <c r="U759" s="60" t="n">
        <v>101680</v>
      </c>
      <c r="V759" t="inlineStr">
        <is>
          <t>213556</t>
        </is>
      </c>
      <c r="W759" t="inlineStr">
        <is>
          <t>venda casada (3 pedidos)</t>
        </is>
      </c>
      <c r="X759" t="n">
        <v>3</v>
      </c>
      <c r="Y759" t="inlineStr">
        <is>
          <t>ok</t>
        </is>
      </c>
    </row>
    <row r="760" ht="18" customHeight="1">
      <c r="A760" s="54" t="inlineStr">
        <is>
          <t>Donacor</t>
        </is>
      </c>
      <c r="B760" s="54" t="inlineStr">
        <is>
          <t>Brinquedo Interativo P/ Gatos Varinha Arranhador Pena Ratinho</t>
        </is>
      </c>
      <c r="C760" s="54" t="inlineStr">
        <is>
          <t>Rato</t>
        </is>
      </c>
      <c r="D760" s="54" t="inlineStr">
        <is>
          <t>BRINQUEDO-RATO</t>
        </is>
      </c>
      <c r="E760" s="54" t="n">
        <v>23993262069</v>
      </c>
      <c r="F760" s="54" t="n">
        <v>159779344183</v>
      </c>
      <c r="G760" s="54" t="inlineStr">
        <is>
          <t>NORMAL</t>
        </is>
      </c>
      <c r="H760" s="86" t="n">
        <v>29.9</v>
      </c>
      <c r="I760" s="86" t="n">
        <v>29.9</v>
      </c>
      <c r="J760" s="69" t="inlineStr">
        <is>
          <t>NÃO</t>
        </is>
      </c>
      <c r="K760" s="54" t="n"/>
      <c r="L760" s="87" t="n">
        <v>29.9</v>
      </c>
      <c r="M760" s="88" t="n">
        <v>1</v>
      </c>
      <c r="N760" s="89" t="n">
        <v>12.2</v>
      </c>
      <c r="O760" s="89">
        <f>ROUND(M760*N760,2)</f>
        <v/>
      </c>
      <c r="P760" s="90">
        <f>IF($O760="","",L760-O760-(L760*IF(L760&lt;=79.99,20%,14%)+IF(L760&lt;=79.99,4,IF(L760&lt;=99.99,16,IF(L760&lt;=199.99,20,IF(L760&lt;=499.99,26,28)))))-L760*1.3%-L760*6%-(L760-O760)*9.25%-L760*3%-L760*3%-1)</f>
        <v/>
      </c>
      <c r="Q760" s="54">
        <f>IF(AND(K760&lt;&gt;"",H760&gt;0),(H760-K760)/H760,"")</f>
        <v/>
      </c>
      <c r="R760" s="54" t="n"/>
      <c r="S760" s="54" t="n"/>
      <c r="T760" s="54" t="n"/>
      <c r="U760" s="54" t="n">
        <v>101680</v>
      </c>
      <c r="V760" t="inlineStr">
        <is>
          <t>213555</t>
        </is>
      </c>
      <c r="W760" t="inlineStr">
        <is>
          <t>SKU do de-para</t>
        </is>
      </c>
      <c r="X760" t="n">
        <v>7</v>
      </c>
      <c r="Y760" t="inlineStr">
        <is>
          <t>ok</t>
        </is>
      </c>
    </row>
    <row r="761" ht="18" customHeight="1">
      <c r="A761" s="60" t="inlineStr">
        <is>
          <t>Donacor</t>
        </is>
      </c>
      <c r="B761" s="60" t="inlineStr">
        <is>
          <t>Brinquedo Varinha Gato Passaro Com Ventosa Fixa No Chao Penas Coloridas Qualidade Premium</t>
        </is>
      </c>
      <c r="C761" s="60" t="inlineStr">
        <is>
          <t>Preto</t>
        </is>
      </c>
      <c r="D761" s="60" t="inlineStr">
        <is>
          <t>VARA - GATO - PRETO - 1UN</t>
        </is>
      </c>
      <c r="E761" s="60" t="n">
        <v>23997763961</v>
      </c>
      <c r="F761" s="60" t="n">
        <v>209598963256</v>
      </c>
      <c r="G761" s="60" t="inlineStr">
        <is>
          <t>NORMAL</t>
        </is>
      </c>
      <c r="H761" s="91" t="n">
        <v>49.9</v>
      </c>
      <c r="I761" s="91" t="n">
        <v>29.9</v>
      </c>
      <c r="J761" s="65" t="inlineStr">
        <is>
          <t>SIM</t>
        </is>
      </c>
      <c r="K761" s="91" t="n">
        <v>29.9</v>
      </c>
      <c r="L761" s="87" t="n">
        <v>29.9</v>
      </c>
      <c r="M761" s="88" t="n">
        <v>1</v>
      </c>
      <c r="N761" s="89" t="n">
        <v>4.33</v>
      </c>
      <c r="O761" s="89">
        <f>ROUND(M761*N761,2)</f>
        <v/>
      </c>
      <c r="P761" s="92">
        <f>IF($O761="","",L761-O761-(L761*IF(L761&lt;=79.99,20%,14%)+IF(L761&lt;=79.99,4,IF(L761&lt;=99.99,16,IF(L761&lt;=199.99,20,IF(L761&lt;=499.99,26,28)))))-L761*1.3%-L761*6%-(L761-O761)*9.25%-L761*3%-L761*3%-1)</f>
        <v/>
      </c>
      <c r="Q761" s="67" t="n">
        <v>0.401</v>
      </c>
      <c r="R761" s="60" t="inlineStr">
        <is>
          <t>478840979931317, 484945860710786</t>
        </is>
      </c>
      <c r="S761" s="68" t="n">
        <v>46227.73958333334</v>
      </c>
      <c r="T761" s="68" t="n">
        <v>46248.99930555555</v>
      </c>
      <c r="U761" s="60" t="n">
        <v>101925</v>
      </c>
      <c r="V761" t="inlineStr">
        <is>
          <t>213527</t>
        </is>
      </c>
      <c r="W761" t="inlineStr">
        <is>
          <t>venda casada (1 pedido)</t>
        </is>
      </c>
      <c r="X761" t="n">
        <v>1</v>
      </c>
      <c r="Y761" t="inlineStr">
        <is>
          <t>⚠ evidência fraca (1 pedido)</t>
        </is>
      </c>
    </row>
    <row r="762" ht="18" customHeight="1">
      <c r="A762" s="54" t="inlineStr">
        <is>
          <t>Donacor</t>
        </is>
      </c>
      <c r="B762" s="54" t="inlineStr">
        <is>
          <t>Brinquedo Varinha Gato Passaro Com Ventosa Fixa No Chao Penas Coloridas Qualidade Premium</t>
        </is>
      </c>
      <c r="C762" s="54" t="inlineStr">
        <is>
          <t>Rosa</t>
        </is>
      </c>
      <c r="D762" s="54" t="inlineStr">
        <is>
          <t>VARA - GATO - ROSA - 1UN</t>
        </is>
      </c>
      <c r="E762" s="54" t="n">
        <v>23997763961</v>
      </c>
      <c r="F762" s="54" t="n">
        <v>209598963254</v>
      </c>
      <c r="G762" s="54" t="inlineStr">
        <is>
          <t>NORMAL</t>
        </is>
      </c>
      <c r="H762" s="86" t="n">
        <v>49.9</v>
      </c>
      <c r="I762" s="86" t="n">
        <v>29.9</v>
      </c>
      <c r="J762" s="56" t="inlineStr">
        <is>
          <t>SIM</t>
        </is>
      </c>
      <c r="K762" s="86" t="n">
        <v>29.9</v>
      </c>
      <c r="L762" s="87" t="n">
        <v>29.9</v>
      </c>
      <c r="M762" s="88" t="n">
        <v>1</v>
      </c>
      <c r="N762" s="89" t="n">
        <v>4.33</v>
      </c>
      <c r="O762" s="89">
        <f>ROUND(M762*N762,2)</f>
        <v/>
      </c>
      <c r="P762" s="90">
        <f>IF($O762="","",L762-O762-(L762*IF(L762&lt;=79.99,20%,14%)+IF(L762&lt;=79.99,4,IF(L762&lt;=99.99,16,IF(L762&lt;=199.99,20,IF(L762&lt;=499.99,26,28)))))-L762*1.3%-L762*6%-(L762-O762)*9.25%-L762*3%-L762*3%-1)</f>
        <v/>
      </c>
      <c r="Q762" s="58" t="n">
        <v>0.401</v>
      </c>
      <c r="R762" s="54" t="inlineStr">
        <is>
          <t>484945860710786, 478840979931317</t>
        </is>
      </c>
      <c r="S762" s="59" t="n">
        <v>46227.73958333334</v>
      </c>
      <c r="T762" s="59" t="n">
        <v>46248.99930555555</v>
      </c>
      <c r="U762" s="54" t="n">
        <v>101925</v>
      </c>
      <c r="V762" t="inlineStr">
        <is>
          <t>213528</t>
        </is>
      </c>
      <c r="W762" t="inlineStr">
        <is>
          <t>venda casada (4 pedidos)</t>
        </is>
      </c>
      <c r="X762" t="n">
        <v>4</v>
      </c>
      <c r="Y762" t="inlineStr">
        <is>
          <t>ok</t>
        </is>
      </c>
    </row>
    <row r="763" ht="18" customHeight="1">
      <c r="A763" s="60" t="inlineStr">
        <is>
          <t>Donacor</t>
        </is>
      </c>
      <c r="B763" s="60" t="inlineStr">
        <is>
          <t>Brinquedo Varinha Gato Passaro Com Ventosa Fixa No Chao Penas Coloridas Qualidade Premium</t>
        </is>
      </c>
      <c r="C763" s="60" t="inlineStr">
        <is>
          <t>Verde-Agua</t>
        </is>
      </c>
      <c r="D763" s="60" t="inlineStr">
        <is>
          <t>VARA - GATO - VERDE-AGUA - 1UN</t>
        </is>
      </c>
      <c r="E763" s="60" t="n">
        <v>23997763961</v>
      </c>
      <c r="F763" s="60" t="n">
        <v>209598963255</v>
      </c>
      <c r="G763" s="60" t="inlineStr">
        <is>
          <t>NORMAL</t>
        </is>
      </c>
      <c r="H763" s="91" t="n">
        <v>49.9</v>
      </c>
      <c r="I763" s="91" t="n">
        <v>27.9</v>
      </c>
      <c r="J763" s="65" t="inlineStr">
        <is>
          <t>SIM</t>
        </is>
      </c>
      <c r="K763" s="91" t="n">
        <v>27.9</v>
      </c>
      <c r="L763" s="87" t="n">
        <v>27.9</v>
      </c>
      <c r="M763" s="88" t="n">
        <v>1</v>
      </c>
      <c r="N763" s="89" t="n">
        <v>4.33</v>
      </c>
      <c r="O763" s="89">
        <f>ROUND(M763*N763,2)</f>
        <v/>
      </c>
      <c r="P763" s="92">
        <f>IF($O763="","",L763-O763-(L763*IF(L763&lt;=79.99,20%,14%)+IF(L763&lt;=79.99,4,IF(L763&lt;=99.99,16,IF(L763&lt;=199.99,20,IF(L763&lt;=499.99,26,28)))))-L763*1.3%-L763*6%-(L763-O763)*9.25%-L763*3%-L763*3%-1)</f>
        <v/>
      </c>
      <c r="Q763" s="67" t="n">
        <v>0.441</v>
      </c>
      <c r="R763" s="60" t="inlineStr">
        <is>
          <t>478840979931317, 484945860710786</t>
        </is>
      </c>
      <c r="S763" s="68" t="n">
        <v>46227.73958333334</v>
      </c>
      <c r="T763" s="68" t="n">
        <v>46248.99930555555</v>
      </c>
      <c r="U763" s="60" t="n">
        <v>101925</v>
      </c>
      <c r="V763" t="inlineStr">
        <is>
          <t>213529</t>
        </is>
      </c>
      <c r="W763" t="inlineStr">
        <is>
          <t>venda casada (7 pedidos)</t>
        </is>
      </c>
      <c r="X763" t="n">
        <v>7</v>
      </c>
      <c r="Y763" t="inlineStr">
        <is>
          <t>ok</t>
        </is>
      </c>
    </row>
    <row r="764" ht="18" customHeight="1">
      <c r="A764" s="54" t="inlineStr">
        <is>
          <t>Donacor</t>
        </is>
      </c>
      <c r="B764" s="54" t="inlineStr">
        <is>
          <t>Caixa De Areia F Banheiro Para Gatos + Pázinha Higiênica + Comedouro e bebedouro</t>
        </is>
      </c>
      <c r="C764" s="54" t="inlineStr">
        <is>
          <t>AZUL</t>
        </is>
      </c>
      <c r="D764" s="54" t="inlineStr">
        <is>
          <t>CAIXA-4EM1-AZUL</t>
        </is>
      </c>
      <c r="E764" s="54" t="n">
        <v>23193010856</v>
      </c>
      <c r="F764" s="54" t="n">
        <v>219595362446</v>
      </c>
      <c r="G764" s="54" t="inlineStr">
        <is>
          <t>NORMAL</t>
        </is>
      </c>
      <c r="H764" s="86" t="n">
        <v>22.9</v>
      </c>
      <c r="I764" s="86" t="n">
        <v>22.9</v>
      </c>
      <c r="J764" s="69" t="inlineStr">
        <is>
          <t>NÃO</t>
        </is>
      </c>
      <c r="K764" s="54" t="n"/>
      <c r="L764" s="87" t="n">
        <v>22.9</v>
      </c>
      <c r="P764" s="90">
        <f>IF($O764="","",L764-O764-(L764*IF(L764&lt;=79.99,20%,14%)+IF(L764&lt;=79.99,4,IF(L764&lt;=99.99,16,IF(L764&lt;=199.99,20,IF(L764&lt;=499.99,26,28)))))-L764*1.3%-L764*6%-(L764-O764)*9.25%-L764*3%-L764*3%-1)</f>
        <v/>
      </c>
      <c r="Q764" s="54">
        <f>IF(AND(K764&lt;&gt;"",H764&gt;0),(H764-K764)/H764,"")</f>
        <v/>
      </c>
      <c r="R764" s="54" t="n"/>
      <c r="S764" s="54" t="n"/>
      <c r="T764" s="54" t="n"/>
      <c r="U764" s="54" t="n">
        <v>100923</v>
      </c>
      <c r="W764" t="inlineStr">
        <is>
          <t>sem correspondência</t>
        </is>
      </c>
      <c r="Y764" t="inlineStr"/>
    </row>
    <row r="765" ht="18" customHeight="1">
      <c r="A765" s="60" t="inlineStr">
        <is>
          <t>Donacor</t>
        </is>
      </c>
      <c r="B765" s="60" t="inlineStr">
        <is>
          <t>Caixa De Areia F Banheiro Para Gatos + Pázinha Higiênica + Comedouro e bebedouro</t>
        </is>
      </c>
      <c r="C765" s="60" t="inlineStr">
        <is>
          <t>ROSA</t>
        </is>
      </c>
      <c r="D765" s="60" t="inlineStr">
        <is>
          <t>CAIXA-4EM1-ROSA</t>
        </is>
      </c>
      <c r="E765" s="60" t="n">
        <v>23193010856</v>
      </c>
      <c r="F765" s="60" t="n">
        <v>219595362445</v>
      </c>
      <c r="G765" s="60" t="inlineStr">
        <is>
          <t>NORMAL</t>
        </is>
      </c>
      <c r="H765" s="91" t="n">
        <v>22.9</v>
      </c>
      <c r="I765" s="91" t="n">
        <v>22.9</v>
      </c>
      <c r="J765" s="62" t="inlineStr">
        <is>
          <t>NÃO</t>
        </is>
      </c>
      <c r="K765" s="60" t="inlineStr">
        <is>
          <t> </t>
        </is>
      </c>
      <c r="L765" s="87" t="n">
        <v>22.9</v>
      </c>
      <c r="P765" s="92">
        <f>IF($O765="","",L765-O765-(L765*IF(L765&lt;=79.99,20%,14%)+IF(L765&lt;=79.99,4,IF(L765&lt;=99.99,16,IF(L765&lt;=199.99,20,IF(L765&lt;=499.99,26,28)))))-L765*1.3%-L765*6%-(L765-O765)*9.25%-L765*3%-L765*3%-1)</f>
        <v/>
      </c>
      <c r="Q765" s="60" t="inlineStr">
        <is>
          <t> </t>
        </is>
      </c>
      <c r="R765" s="60" t="inlineStr">
        <is>
          <t> </t>
        </is>
      </c>
      <c r="S765" s="60" t="inlineStr">
        <is>
          <t> </t>
        </is>
      </c>
      <c r="T765" s="60" t="inlineStr">
        <is>
          <t> </t>
        </is>
      </c>
      <c r="U765" s="60" t="n">
        <v>100923</v>
      </c>
      <c r="W765" t="inlineStr">
        <is>
          <t>sem correspondência</t>
        </is>
      </c>
      <c r="Y765" t="inlineStr"/>
    </row>
    <row r="766" ht="18" customHeight="1">
      <c r="A766" s="54" t="inlineStr">
        <is>
          <t>Donacor</t>
        </is>
      </c>
      <c r="B766" s="54" t="inlineStr">
        <is>
          <t>Caixa De Areia F Banheiro Para Gatos + Pázinha Higiênica + Comedouro e bebedouro</t>
        </is>
      </c>
      <c r="C766" s="54" t="inlineStr">
        <is>
          <t>VERMELHO</t>
        </is>
      </c>
      <c r="D766" s="54" t="inlineStr">
        <is>
          <t>CAIXA-4EM1-VERMELHA</t>
        </is>
      </c>
      <c r="E766" s="54" t="n">
        <v>23193010856</v>
      </c>
      <c r="F766" s="54" t="n">
        <v>219595362447</v>
      </c>
      <c r="G766" s="54" t="inlineStr">
        <is>
          <t>NORMAL</t>
        </is>
      </c>
      <c r="H766" s="86" t="n">
        <v>22.9</v>
      </c>
      <c r="I766" s="86" t="n">
        <v>22.9</v>
      </c>
      <c r="J766" s="69" t="inlineStr">
        <is>
          <t>NÃO</t>
        </is>
      </c>
      <c r="K766" s="54" t="n"/>
      <c r="L766" s="87" t="n">
        <v>22.9</v>
      </c>
      <c r="P766" s="90">
        <f>IF($O766="","",L766-O766-(L766*IF(L766&lt;=79.99,20%,14%)+IF(L766&lt;=79.99,4,IF(L766&lt;=99.99,16,IF(L766&lt;=199.99,20,IF(L766&lt;=499.99,26,28)))))-L766*1.3%-L766*6%-(L766-O766)*9.25%-L766*3%-L766*3%-1)</f>
        <v/>
      </c>
      <c r="Q766" s="54">
        <f>IF(AND(K766&lt;&gt;"",H766&gt;0),(H766-K766)/H766,"")</f>
        <v/>
      </c>
      <c r="R766" s="54" t="n"/>
      <c r="S766" s="54" t="n"/>
      <c r="T766" s="54" t="n"/>
      <c r="U766" s="54" t="n">
        <v>100923</v>
      </c>
      <c r="W766" t="inlineStr">
        <is>
          <t>sem correspondência</t>
        </is>
      </c>
      <c r="Y766" t="inlineStr"/>
    </row>
    <row r="767" ht="18" customHeight="1">
      <c r="A767" s="60" t="inlineStr">
        <is>
          <t>Donacor</t>
        </is>
      </c>
      <c r="B767" s="60" t="inlineStr">
        <is>
          <t>Caixa De Areia Funda Furba Jumbox Grande  Banheiro Para Gatos 4 Cores</t>
        </is>
      </c>
      <c r="C767" s="60" t="inlineStr">
        <is>
          <t>NUDE</t>
        </is>
      </c>
      <c r="D767" s="60" t="inlineStr">
        <is>
          <t>CAIXA-JUMBOX-NUDE</t>
        </is>
      </c>
      <c r="E767" s="60" t="n">
        <v>23497502862</v>
      </c>
      <c r="F767" s="60" t="n">
        <v>139828538937</v>
      </c>
      <c r="G767" s="60" t="inlineStr">
        <is>
          <t>NORMAL</t>
        </is>
      </c>
      <c r="H767" s="91" t="n">
        <v>150.9</v>
      </c>
      <c r="I767" s="91" t="n">
        <v>150.9</v>
      </c>
      <c r="J767" s="62" t="inlineStr">
        <is>
          <t>NÃO</t>
        </is>
      </c>
      <c r="K767" s="60" t="inlineStr">
        <is>
          <t> </t>
        </is>
      </c>
      <c r="L767" s="87" t="n">
        <v>150.9</v>
      </c>
      <c r="P767" s="92">
        <f>IF($O767="","",L767-O767-(L767*IF(L767&lt;=79.99,20%,14%)+IF(L767&lt;=79.99,4,IF(L767&lt;=99.99,16,IF(L767&lt;=199.99,20,IF(L767&lt;=499.99,26,28)))))-L767*1.3%-L767*6%-(L767-O767)*9.25%-L767*3%-L767*3%-1)</f>
        <v/>
      </c>
      <c r="Q767" s="60" t="inlineStr">
        <is>
          <t> </t>
        </is>
      </c>
      <c r="R767" s="60" t="inlineStr">
        <is>
          <t> </t>
        </is>
      </c>
      <c r="S767" s="60" t="inlineStr">
        <is>
          <t> </t>
        </is>
      </c>
      <c r="T767" s="60" t="inlineStr">
        <is>
          <t> </t>
        </is>
      </c>
      <c r="U767" s="60" t="n">
        <v>100923</v>
      </c>
      <c r="W767" t="inlineStr">
        <is>
          <t>sem correspondência</t>
        </is>
      </c>
      <c r="Y767" t="inlineStr"/>
    </row>
    <row r="768" ht="18" customHeight="1">
      <c r="A768" s="54" t="inlineStr">
        <is>
          <t>Donacor</t>
        </is>
      </c>
      <c r="B768" s="54" t="inlineStr">
        <is>
          <t>Caixa De Areia Funda Furba Jumbox Grande  Banheiro Para Gatos 4 Cores</t>
        </is>
      </c>
      <c r="C768" s="54" t="inlineStr">
        <is>
          <t>PRETO</t>
        </is>
      </c>
      <c r="D768" s="54" t="inlineStr">
        <is>
          <t>CAIXA-JUMBOX-PRETO</t>
        </is>
      </c>
      <c r="E768" s="54" t="n">
        <v>23497502862</v>
      </c>
      <c r="F768" s="54" t="n">
        <v>139828538938</v>
      </c>
      <c r="G768" s="54" t="inlineStr">
        <is>
          <t>NORMAL</t>
        </is>
      </c>
      <c r="H768" s="86" t="n">
        <v>150.9</v>
      </c>
      <c r="I768" s="86" t="n">
        <v>150.9</v>
      </c>
      <c r="J768" s="69" t="inlineStr">
        <is>
          <t>NÃO</t>
        </is>
      </c>
      <c r="K768" s="54" t="n"/>
      <c r="L768" s="87" t="n">
        <v>150.9</v>
      </c>
      <c r="P768" s="90">
        <f>IF($O768="","",L768-O768-(L768*IF(L768&lt;=79.99,20%,14%)+IF(L768&lt;=79.99,4,IF(L768&lt;=99.99,16,IF(L768&lt;=199.99,20,IF(L768&lt;=499.99,26,28)))))-L768*1.3%-L768*6%-(L768-O768)*9.25%-L768*3%-L768*3%-1)</f>
        <v/>
      </c>
      <c r="Q768" s="54">
        <f>IF(AND(K768&lt;&gt;"",H768&gt;0),(H768-K768)/H768,"")</f>
        <v/>
      </c>
      <c r="R768" s="54" t="n"/>
      <c r="S768" s="54" t="n"/>
      <c r="T768" s="54" t="n"/>
      <c r="U768" s="54" t="n">
        <v>100923</v>
      </c>
      <c r="W768" t="inlineStr">
        <is>
          <t>sem correspondência</t>
        </is>
      </c>
      <c r="Y768" t="inlineStr"/>
    </row>
    <row r="769" ht="18" customHeight="1">
      <c r="A769" s="60" t="inlineStr">
        <is>
          <t>Donacor</t>
        </is>
      </c>
      <c r="B769" s="60" t="inlineStr">
        <is>
          <t>Caixa De Areia Funda Furba Jumbox Grande  Banheiro Para Gatos 4 Cores</t>
        </is>
      </c>
      <c r="C769" s="60" t="inlineStr">
        <is>
          <t>ROSA</t>
        </is>
      </c>
      <c r="D769" s="60" t="inlineStr">
        <is>
          <t>CAIXA-JUMBOX-ROSA</t>
        </is>
      </c>
      <c r="E769" s="60" t="n">
        <v>23497502862</v>
      </c>
      <c r="F769" s="60" t="n">
        <v>139828538936</v>
      </c>
      <c r="G769" s="60" t="inlineStr">
        <is>
          <t>NORMAL</t>
        </is>
      </c>
      <c r="H769" s="91" t="n">
        <v>150.9</v>
      </c>
      <c r="I769" s="91" t="n">
        <v>150.9</v>
      </c>
      <c r="J769" s="62" t="inlineStr">
        <is>
          <t>NÃO</t>
        </is>
      </c>
      <c r="K769" s="60" t="inlineStr">
        <is>
          <t> </t>
        </is>
      </c>
      <c r="L769" s="87" t="n">
        <v>150.9</v>
      </c>
      <c r="P769" s="92">
        <f>IF($O769="","",L769-O769-(L769*IF(L769&lt;=79.99,20%,14%)+IF(L769&lt;=79.99,4,IF(L769&lt;=99.99,16,IF(L769&lt;=199.99,20,IF(L769&lt;=499.99,26,28)))))-L769*1.3%-L769*6%-(L769-O769)*9.25%-L769*3%-L769*3%-1)</f>
        <v/>
      </c>
      <c r="Q769" s="60" t="inlineStr">
        <is>
          <t> </t>
        </is>
      </c>
      <c r="R769" s="60" t="inlineStr">
        <is>
          <t> </t>
        </is>
      </c>
      <c r="S769" s="60" t="inlineStr">
        <is>
          <t> </t>
        </is>
      </c>
      <c r="T769" s="60" t="inlineStr">
        <is>
          <t> </t>
        </is>
      </c>
      <c r="U769" s="60" t="n">
        <v>100923</v>
      </c>
      <c r="W769" t="inlineStr">
        <is>
          <t>sem correspondência</t>
        </is>
      </c>
      <c r="Y769" t="inlineStr"/>
    </row>
    <row r="770" ht="18" customHeight="1">
      <c r="A770" s="54" t="inlineStr">
        <is>
          <t>Donacor</t>
        </is>
      </c>
      <c r="B770" s="54" t="inlineStr">
        <is>
          <t>Caixa De Areia Funda Furba Jumbox Grande  Banheiro Para Gatos 4 Cores</t>
        </is>
      </c>
      <c r="C770" s="54" t="inlineStr">
        <is>
          <t>VERMELHO</t>
        </is>
      </c>
      <c r="D770" s="54" t="inlineStr">
        <is>
          <t>CAIXA-JUMBOX-VERMELHO</t>
        </is>
      </c>
      <c r="E770" s="54" t="n">
        <v>23497502862</v>
      </c>
      <c r="F770" s="54" t="n">
        <v>139828538939</v>
      </c>
      <c r="G770" s="54" t="inlineStr">
        <is>
          <t>NORMAL</t>
        </is>
      </c>
      <c r="H770" s="86" t="n">
        <v>150.9</v>
      </c>
      <c r="I770" s="86" t="n">
        <v>150.9</v>
      </c>
      <c r="J770" s="69" t="inlineStr">
        <is>
          <t>NÃO</t>
        </is>
      </c>
      <c r="K770" s="54" t="n"/>
      <c r="L770" s="87" t="n">
        <v>150.9</v>
      </c>
      <c r="P770" s="90">
        <f>IF($O770="","",L770-O770-(L770*IF(L770&lt;=79.99,20%,14%)+IF(L770&lt;=79.99,4,IF(L770&lt;=99.99,16,IF(L770&lt;=199.99,20,IF(L770&lt;=499.99,26,28)))))-L770*1.3%-L770*6%-(L770-O770)*9.25%-L770*3%-L770*3%-1)</f>
        <v/>
      </c>
      <c r="Q770" s="54">
        <f>IF(AND(K770&lt;&gt;"",H770&gt;0),(H770-K770)/H770,"")</f>
        <v/>
      </c>
      <c r="R770" s="54" t="n"/>
      <c r="S770" s="54" t="n"/>
      <c r="T770" s="54" t="n"/>
      <c r="U770" s="54" t="n">
        <v>100923</v>
      </c>
      <c r="W770" t="inlineStr">
        <is>
          <t>sem correspondência</t>
        </is>
      </c>
      <c r="Y770" t="inlineStr"/>
    </row>
    <row r="771" ht="18" customHeight="1">
      <c r="A771" s="60" t="inlineStr">
        <is>
          <t>Donacor</t>
        </is>
      </c>
      <c r="B771" s="60" t="inlineStr">
        <is>
          <t>Caixa de Transporte Gaiola Transportadora Leva Pet Force Vet</t>
        </is>
      </c>
      <c r="C771" s="60" t="inlineStr">
        <is>
          <t>BACL/LILÁS</t>
        </is>
      </c>
      <c r="D771" s="60" t="inlineStr">
        <is>
          <t>LEVAPET-ARAMADO-BLACK/LILÁS</t>
        </is>
      </c>
      <c r="E771" s="60" t="n">
        <v>19297684597</v>
      </c>
      <c r="F771" s="60" t="n">
        <v>209595363068</v>
      </c>
      <c r="G771" s="60" t="inlineStr">
        <is>
          <t>NORMAL</t>
        </is>
      </c>
      <c r="H771" s="91" t="n">
        <v>299.9</v>
      </c>
      <c r="I771" s="91" t="n">
        <v>299.9</v>
      </c>
      <c r="J771" s="62" t="inlineStr">
        <is>
          <t>NÃO</t>
        </is>
      </c>
      <c r="K771" s="60" t="inlineStr">
        <is>
          <t> </t>
        </is>
      </c>
      <c r="L771" s="87" t="n">
        <v>299.9</v>
      </c>
      <c r="P771" s="92">
        <f>IF($O771="","",L771-O771-(L771*IF(L771&lt;=79.99,20%,14%)+IF(L771&lt;=79.99,4,IF(L771&lt;=99.99,16,IF(L771&lt;=199.99,20,IF(L771&lt;=499.99,26,28)))))-L771*1.3%-L771*6%-(L771-O771)*9.25%-L771*3%-L771*3%-1)</f>
        <v/>
      </c>
      <c r="Q771" s="60" t="inlineStr">
        <is>
          <t> </t>
        </is>
      </c>
      <c r="R771" s="60" t="inlineStr">
        <is>
          <t> </t>
        </is>
      </c>
      <c r="S771" s="60" t="inlineStr">
        <is>
          <t> </t>
        </is>
      </c>
      <c r="T771" s="60" t="inlineStr">
        <is>
          <t> </t>
        </is>
      </c>
      <c r="U771" s="60" t="n">
        <v>100917</v>
      </c>
      <c r="W771" t="inlineStr">
        <is>
          <t>sem correspondência</t>
        </is>
      </c>
      <c r="Y771" t="inlineStr"/>
    </row>
    <row r="772" ht="18" customHeight="1">
      <c r="A772" s="54" t="inlineStr">
        <is>
          <t>Donacor</t>
        </is>
      </c>
      <c r="B772" s="54" t="inlineStr">
        <is>
          <t>Caixa de Transporte Gaiola Transportadora Leva Pet Force Vet</t>
        </is>
      </c>
      <c r="C772" s="54" t="inlineStr">
        <is>
          <t>BALCK/AZUL</t>
        </is>
      </c>
      <c r="D772" s="54" t="inlineStr">
        <is>
          <t>LEVAPET-ARAMADO-BLACK/AZUL</t>
        </is>
      </c>
      <c r="E772" s="54" t="n">
        <v>19297684597</v>
      </c>
      <c r="F772" s="54" t="n">
        <v>209595363067</v>
      </c>
      <c r="G772" s="54" t="inlineStr">
        <is>
          <t>NORMAL</t>
        </is>
      </c>
      <c r="H772" s="86" t="n">
        <v>299.9</v>
      </c>
      <c r="I772" s="86" t="n">
        <v>299.9</v>
      </c>
      <c r="J772" s="69" t="inlineStr">
        <is>
          <t>NÃO</t>
        </is>
      </c>
      <c r="K772" s="54" t="n"/>
      <c r="L772" s="87" t="n">
        <v>299.9</v>
      </c>
      <c r="P772" s="90">
        <f>IF($O772="","",L772-O772-(L772*IF(L772&lt;=79.99,20%,14%)+IF(L772&lt;=79.99,4,IF(L772&lt;=99.99,16,IF(L772&lt;=199.99,20,IF(L772&lt;=499.99,26,28)))))-L772*1.3%-L772*6%-(L772-O772)*9.25%-L772*3%-L772*3%-1)</f>
        <v/>
      </c>
      <c r="Q772" s="54">
        <f>IF(AND(K772&lt;&gt;"",H772&gt;0),(H772-K772)/H772,"")</f>
        <v/>
      </c>
      <c r="R772" s="54" t="n"/>
      <c r="S772" s="54" t="n"/>
      <c r="T772" s="54" t="n"/>
      <c r="U772" s="54" t="n">
        <v>100917</v>
      </c>
      <c r="W772" t="inlineStr">
        <is>
          <t>sem correspondência</t>
        </is>
      </c>
      <c r="Y772" t="inlineStr"/>
    </row>
    <row r="773" ht="18" customHeight="1">
      <c r="A773" s="60" t="inlineStr">
        <is>
          <t>Donacor</t>
        </is>
      </c>
      <c r="B773" s="60" t="inlineStr">
        <is>
          <t>Caixa de Transporte Gaiola Transportadora Leva Pet Force Vet</t>
        </is>
      </c>
      <c r="C773" s="60" t="inlineStr">
        <is>
          <t>BLACL/BLACK</t>
        </is>
      </c>
      <c r="D773" s="60" t="inlineStr">
        <is>
          <t>LEVAPET-ARAMADO-BLACK/BLACK</t>
        </is>
      </c>
      <c r="E773" s="60" t="n">
        <v>19297684597</v>
      </c>
      <c r="F773" s="60" t="n">
        <v>209595363069</v>
      </c>
      <c r="G773" s="60" t="inlineStr">
        <is>
          <t>NORMAL</t>
        </is>
      </c>
      <c r="H773" s="91" t="n">
        <v>299.9</v>
      </c>
      <c r="I773" s="91" t="n">
        <v>299.9</v>
      </c>
      <c r="J773" s="62" t="inlineStr">
        <is>
          <t>NÃO</t>
        </is>
      </c>
      <c r="K773" s="60" t="inlineStr">
        <is>
          <t> </t>
        </is>
      </c>
      <c r="L773" s="87" t="n">
        <v>299.9</v>
      </c>
      <c r="P773" s="92">
        <f>IF($O773="","",L773-O773-(L773*IF(L773&lt;=79.99,20%,14%)+IF(L773&lt;=79.99,4,IF(L773&lt;=99.99,16,IF(L773&lt;=199.99,20,IF(L773&lt;=499.99,26,28)))))-L773*1.3%-L773*6%-(L773-O773)*9.25%-L773*3%-L773*3%-1)</f>
        <v/>
      </c>
      <c r="Q773" s="60" t="inlineStr">
        <is>
          <t> </t>
        </is>
      </c>
      <c r="R773" s="60" t="inlineStr">
        <is>
          <t> </t>
        </is>
      </c>
      <c r="S773" s="60" t="inlineStr">
        <is>
          <t> </t>
        </is>
      </c>
      <c r="T773" s="60" t="inlineStr">
        <is>
          <t> </t>
        </is>
      </c>
      <c r="U773" s="60" t="n">
        <v>100917</v>
      </c>
      <c r="W773" t="inlineStr">
        <is>
          <t>sem correspondência</t>
        </is>
      </c>
      <c r="Y773" t="inlineStr"/>
    </row>
    <row r="774" ht="18" customHeight="1">
      <c r="A774" s="54" t="inlineStr">
        <is>
          <t>Donacor</t>
        </is>
      </c>
      <c r="B774" s="54" t="inlineStr">
        <is>
          <t>Caixa de Transporte Gaiola Transportadora Leva Pet Force Vet</t>
        </is>
      </c>
      <c r="C774" s="54" t="inlineStr">
        <is>
          <t>BRANCO/AZUL</t>
        </is>
      </c>
      <c r="D774" s="54" t="inlineStr">
        <is>
          <t>LEVAPET-ARAMADO-BRANCO/AZUL</t>
        </is>
      </c>
      <c r="E774" s="54" t="n">
        <v>19297684597</v>
      </c>
      <c r="F774" s="54" t="n">
        <v>209595363064</v>
      </c>
      <c r="G774" s="54" t="inlineStr">
        <is>
          <t>NORMAL</t>
        </is>
      </c>
      <c r="H774" s="86" t="n">
        <v>299.9</v>
      </c>
      <c r="I774" s="86" t="n">
        <v>299.9</v>
      </c>
      <c r="J774" s="69" t="inlineStr">
        <is>
          <t>NÃO</t>
        </is>
      </c>
      <c r="K774" s="54" t="n"/>
      <c r="L774" s="87" t="n">
        <v>299.9</v>
      </c>
      <c r="P774" s="90">
        <f>IF($O774="","",L774-O774-(L774*IF(L774&lt;=79.99,20%,14%)+IF(L774&lt;=79.99,4,IF(L774&lt;=99.99,16,IF(L774&lt;=199.99,20,IF(L774&lt;=499.99,26,28)))))-L774*1.3%-L774*6%-(L774-O774)*9.25%-L774*3%-L774*3%-1)</f>
        <v/>
      </c>
      <c r="Q774" s="54">
        <f>IF(AND(K774&lt;&gt;"",H774&gt;0),(H774-K774)/H774,"")</f>
        <v/>
      </c>
      <c r="R774" s="54" t="n"/>
      <c r="S774" s="54" t="n"/>
      <c r="T774" s="54" t="n"/>
      <c r="U774" s="54" t="n">
        <v>100917</v>
      </c>
      <c r="W774" t="inlineStr">
        <is>
          <t>sem correspondência</t>
        </is>
      </c>
      <c r="Y774" t="inlineStr"/>
    </row>
    <row r="775" ht="18" customHeight="1">
      <c r="A775" s="60" t="inlineStr">
        <is>
          <t>Donacor</t>
        </is>
      </c>
      <c r="B775" s="60" t="inlineStr">
        <is>
          <t>Caixa de Transporte Gaiola Transportadora Leva Pet Force Vet</t>
        </is>
      </c>
      <c r="C775" s="60" t="inlineStr">
        <is>
          <t>BRANCO/BLACK</t>
        </is>
      </c>
      <c r="D775" s="60" t="inlineStr">
        <is>
          <t>LEVAPET-ARAMADO-BRANCO/BLACK</t>
        </is>
      </c>
      <c r="E775" s="60" t="n">
        <v>19297684597</v>
      </c>
      <c r="F775" s="60" t="n">
        <v>209595363066</v>
      </c>
      <c r="G775" s="60" t="inlineStr">
        <is>
          <t>NORMAL</t>
        </is>
      </c>
      <c r="H775" s="91" t="n">
        <v>299.9</v>
      </c>
      <c r="I775" s="91" t="n">
        <v>299.9</v>
      </c>
      <c r="J775" s="62" t="inlineStr">
        <is>
          <t>NÃO</t>
        </is>
      </c>
      <c r="K775" s="60" t="inlineStr">
        <is>
          <t> </t>
        </is>
      </c>
      <c r="L775" s="87" t="n">
        <v>299.9</v>
      </c>
      <c r="P775" s="92">
        <f>IF($O775="","",L775-O775-(L775*IF(L775&lt;=79.99,20%,14%)+IF(L775&lt;=79.99,4,IF(L775&lt;=99.99,16,IF(L775&lt;=199.99,20,IF(L775&lt;=499.99,26,28)))))-L775*1.3%-L775*6%-(L775-O775)*9.25%-L775*3%-L775*3%-1)</f>
        <v/>
      </c>
      <c r="Q775" s="60" t="inlineStr">
        <is>
          <t> </t>
        </is>
      </c>
      <c r="R775" s="60" t="inlineStr">
        <is>
          <t> </t>
        </is>
      </c>
      <c r="S775" s="60" t="inlineStr">
        <is>
          <t> </t>
        </is>
      </c>
      <c r="T775" s="60" t="inlineStr">
        <is>
          <t> </t>
        </is>
      </c>
      <c r="U775" s="60" t="n">
        <v>100917</v>
      </c>
      <c r="W775" t="inlineStr">
        <is>
          <t>sem correspondência</t>
        </is>
      </c>
      <c r="Y775" t="inlineStr"/>
    </row>
    <row r="776" ht="18" customHeight="1">
      <c r="A776" s="54" t="inlineStr">
        <is>
          <t>Donacor</t>
        </is>
      </c>
      <c r="B776" s="54" t="inlineStr">
        <is>
          <t>Caixa de Transporte Gaiola Transportadora Leva Pet Force Vet</t>
        </is>
      </c>
      <c r="C776" s="54" t="inlineStr">
        <is>
          <t>BRANCO/LILÁS</t>
        </is>
      </c>
      <c r="D776" s="54" t="inlineStr">
        <is>
          <t>LEVAPET-ARAMADO-BRANCO/LILÁS</t>
        </is>
      </c>
      <c r="E776" s="54" t="n">
        <v>19297684597</v>
      </c>
      <c r="F776" s="54" t="n">
        <v>209595363065</v>
      </c>
      <c r="G776" s="54" t="inlineStr">
        <is>
          <t>NORMAL</t>
        </is>
      </c>
      <c r="H776" s="86" t="n">
        <v>299.9</v>
      </c>
      <c r="I776" s="86" t="n">
        <v>299.9</v>
      </c>
      <c r="J776" s="69" t="inlineStr">
        <is>
          <t>NÃO</t>
        </is>
      </c>
      <c r="K776" s="54" t="n"/>
      <c r="L776" s="87" t="n">
        <v>299.9</v>
      </c>
      <c r="P776" s="90">
        <f>IF($O776="","",L776-O776-(L776*IF(L776&lt;=79.99,20%,14%)+IF(L776&lt;=79.99,4,IF(L776&lt;=99.99,16,IF(L776&lt;=199.99,20,IF(L776&lt;=499.99,26,28)))))-L776*1.3%-L776*6%-(L776-O776)*9.25%-L776*3%-L776*3%-1)</f>
        <v/>
      </c>
      <c r="Q776" s="54">
        <f>IF(AND(K776&lt;&gt;"",H776&gt;0),(H776-K776)/H776,"")</f>
        <v/>
      </c>
      <c r="R776" s="54" t="n"/>
      <c r="S776" s="54" t="n"/>
      <c r="T776" s="54" t="n"/>
      <c r="U776" s="54" t="n">
        <v>100917</v>
      </c>
      <c r="W776" t="inlineStr">
        <is>
          <t>sem correspondência</t>
        </is>
      </c>
      <c r="Y776" t="inlineStr"/>
    </row>
    <row r="777" ht="18" customHeight="1">
      <c r="A777" s="60" t="inlineStr">
        <is>
          <t>Donacor</t>
        </is>
      </c>
      <c r="B777" s="60" t="inlineStr">
        <is>
          <t>Calça Legging Gestante Lupo Grávida Loba Original Sem Costura</t>
        </is>
      </c>
      <c r="C777" s="60" t="inlineStr">
        <is>
          <t>Preto,G</t>
        </is>
      </c>
      <c r="D777" s="60" t="inlineStr">
        <is>
          <t>CALÇA-GESTANTE-PRETO-G</t>
        </is>
      </c>
      <c r="E777" s="60" t="n">
        <v>23293061532</v>
      </c>
      <c r="F777" s="60" t="n">
        <v>139828744118</v>
      </c>
      <c r="G777" s="60" t="inlineStr">
        <is>
          <t>NORMAL</t>
        </is>
      </c>
      <c r="H777" s="91" t="n">
        <v>129.9</v>
      </c>
      <c r="I777" s="91" t="n">
        <v>129.9</v>
      </c>
      <c r="J777" s="62" t="inlineStr">
        <is>
          <t>NÃO</t>
        </is>
      </c>
      <c r="K777" s="60" t="inlineStr">
        <is>
          <t> </t>
        </is>
      </c>
      <c r="L777" s="87" t="n">
        <v>129.9</v>
      </c>
      <c r="P777" s="92">
        <f>IF($O777="","",L777-O777-(L777*IF(L777&lt;=79.99,20%,14%)+IF(L777&lt;=79.99,4,IF(L777&lt;=99.99,16,IF(L777&lt;=199.99,20,IF(L777&lt;=499.99,26,28)))))-L777*1.3%-L777*6%-(L777-O777)*9.25%-L777*3%-L777*3%-1)</f>
        <v/>
      </c>
      <c r="Q777" s="60" t="inlineStr">
        <is>
          <t> </t>
        </is>
      </c>
      <c r="R777" s="60" t="inlineStr">
        <is>
          <t> </t>
        </is>
      </c>
      <c r="S777" s="60" t="inlineStr">
        <is>
          <t> </t>
        </is>
      </c>
      <c r="T777" s="60" t="inlineStr">
        <is>
          <t> </t>
        </is>
      </c>
      <c r="U777" s="60" t="n">
        <v>100398</v>
      </c>
      <c r="W777" t="inlineStr">
        <is>
          <t>sem correspondência</t>
        </is>
      </c>
      <c r="Y777" t="inlineStr"/>
    </row>
    <row r="778" ht="18" customHeight="1">
      <c r="A778" s="54" t="inlineStr">
        <is>
          <t>Donacor</t>
        </is>
      </c>
      <c r="B778" s="54" t="inlineStr">
        <is>
          <t>Calça Legging Gestante Lupo Grávida Loba Original Sem Costura</t>
        </is>
      </c>
      <c r="C778" s="54" t="inlineStr">
        <is>
          <t>Preto,GG</t>
        </is>
      </c>
      <c r="D778" s="54" t="inlineStr">
        <is>
          <t>CALÇA-GESTANTE-PRETO-GG</t>
        </is>
      </c>
      <c r="E778" s="54" t="n">
        <v>23293061532</v>
      </c>
      <c r="F778" s="54" t="n">
        <v>139828744119</v>
      </c>
      <c r="G778" s="54" t="inlineStr">
        <is>
          <t>NORMAL</t>
        </is>
      </c>
      <c r="H778" s="86" t="n">
        <v>129.9</v>
      </c>
      <c r="I778" s="86" t="n">
        <v>129.9</v>
      </c>
      <c r="J778" s="69" t="inlineStr">
        <is>
          <t>NÃO</t>
        </is>
      </c>
      <c r="K778" s="54" t="n"/>
      <c r="L778" s="87" t="n">
        <v>129.9</v>
      </c>
      <c r="P778" s="90">
        <f>IF($O778="","",L778-O778-(L778*IF(L778&lt;=79.99,20%,14%)+IF(L778&lt;=79.99,4,IF(L778&lt;=99.99,16,IF(L778&lt;=199.99,20,IF(L778&lt;=499.99,26,28)))))-L778*1.3%-L778*6%-(L778-O778)*9.25%-L778*3%-L778*3%-1)</f>
        <v/>
      </c>
      <c r="Q778" s="54">
        <f>IF(AND(K778&lt;&gt;"",H778&gt;0),(H778-K778)/H778,"")</f>
        <v/>
      </c>
      <c r="R778" s="54" t="n"/>
      <c r="S778" s="54" t="n"/>
      <c r="T778" s="54" t="n"/>
      <c r="U778" s="54" t="n">
        <v>100398</v>
      </c>
      <c r="W778" t="inlineStr">
        <is>
          <t>sem correspondência</t>
        </is>
      </c>
      <c r="Y778" t="inlineStr"/>
    </row>
    <row r="779" ht="18" customHeight="1">
      <c r="A779" s="60" t="inlineStr">
        <is>
          <t>Donacor</t>
        </is>
      </c>
      <c r="B779" s="60" t="inlineStr">
        <is>
          <t>Calça Legging Gestante Lupo Grávida Loba Original Sem Costura</t>
        </is>
      </c>
      <c r="C779" s="60" t="inlineStr">
        <is>
          <t>Preto,M</t>
        </is>
      </c>
      <c r="D779" s="60" t="inlineStr">
        <is>
          <t>CALÇA-GESTANTE-PRETO-M</t>
        </is>
      </c>
      <c r="E779" s="60" t="n">
        <v>23293061532</v>
      </c>
      <c r="F779" s="60" t="n">
        <v>139828744117</v>
      </c>
      <c r="G779" s="60" t="inlineStr">
        <is>
          <t>NORMAL</t>
        </is>
      </c>
      <c r="H779" s="91" t="n">
        <v>129.9</v>
      </c>
      <c r="I779" s="91" t="n">
        <v>129.9</v>
      </c>
      <c r="J779" s="62" t="inlineStr">
        <is>
          <t>NÃO</t>
        </is>
      </c>
      <c r="K779" s="60" t="inlineStr">
        <is>
          <t> </t>
        </is>
      </c>
      <c r="L779" s="87" t="n">
        <v>129.9</v>
      </c>
      <c r="P779" s="92">
        <f>IF($O779="","",L779-O779-(L779*IF(L779&lt;=79.99,20%,14%)+IF(L779&lt;=79.99,4,IF(L779&lt;=99.99,16,IF(L779&lt;=199.99,20,IF(L779&lt;=499.99,26,28)))))-L779*1.3%-L779*6%-(L779-O779)*9.25%-L779*3%-L779*3%-1)</f>
        <v/>
      </c>
      <c r="Q779" s="60" t="inlineStr">
        <is>
          <t> </t>
        </is>
      </c>
      <c r="R779" s="60" t="inlineStr">
        <is>
          <t> </t>
        </is>
      </c>
      <c r="S779" s="60" t="inlineStr">
        <is>
          <t> </t>
        </is>
      </c>
      <c r="T779" s="60" t="inlineStr">
        <is>
          <t> </t>
        </is>
      </c>
      <c r="U779" s="60" t="n">
        <v>100398</v>
      </c>
      <c r="W779" t="inlineStr">
        <is>
          <t>sem correspondência</t>
        </is>
      </c>
      <c r="Y779" t="inlineStr"/>
    </row>
    <row r="780" ht="18" customHeight="1">
      <c r="A780" s="54" t="inlineStr">
        <is>
          <t>Donacor</t>
        </is>
      </c>
      <c r="B780" s="54" t="inlineStr">
        <is>
          <t>Calça Legging Gestante Lupo Grávida Loba Original Sem Costura</t>
        </is>
      </c>
      <c r="C780" s="54" t="inlineStr">
        <is>
          <t>Preto,P</t>
        </is>
      </c>
      <c r="D780" s="54" t="inlineStr">
        <is>
          <t>CALÇA-GESTANTE-PRETO-P</t>
        </is>
      </c>
      <c r="E780" s="54" t="n">
        <v>23293061532</v>
      </c>
      <c r="F780" s="54" t="n">
        <v>139828744116</v>
      </c>
      <c r="G780" s="54" t="inlineStr">
        <is>
          <t>NORMAL</t>
        </is>
      </c>
      <c r="H780" s="86" t="n">
        <v>129.9</v>
      </c>
      <c r="I780" s="86" t="n">
        <v>129.9</v>
      </c>
      <c r="J780" s="69" t="inlineStr">
        <is>
          <t>NÃO</t>
        </is>
      </c>
      <c r="K780" s="54" t="n"/>
      <c r="L780" s="87" t="n">
        <v>129.9</v>
      </c>
      <c r="P780" s="90">
        <f>IF($O780="","",L780-O780-(L780*IF(L780&lt;=79.99,20%,14%)+IF(L780&lt;=79.99,4,IF(L780&lt;=99.99,16,IF(L780&lt;=199.99,20,IF(L780&lt;=499.99,26,28)))))-L780*1.3%-L780*6%-(L780-O780)*9.25%-L780*3%-L780*3%-1)</f>
        <v/>
      </c>
      <c r="Q780" s="54">
        <f>IF(AND(K780&lt;&gt;"",H780&gt;0),(H780-K780)/H780,"")</f>
        <v/>
      </c>
      <c r="R780" s="54" t="n"/>
      <c r="S780" s="54" t="n"/>
      <c r="T780" s="54" t="n"/>
      <c r="U780" s="54" t="n">
        <v>100398</v>
      </c>
      <c r="W780" t="inlineStr">
        <is>
          <t>sem correspondência</t>
        </is>
      </c>
      <c r="Y780" t="inlineStr"/>
    </row>
    <row r="781" ht="18" customHeight="1">
      <c r="A781" s="60" t="inlineStr">
        <is>
          <t>Donacor</t>
        </is>
      </c>
      <c r="B781" s="60" t="inlineStr">
        <is>
          <t>Calça Legging Lupo Act Seamless Feminina Fitness Academia Original</t>
        </is>
      </c>
      <c r="C781" s="60" t="inlineStr">
        <is>
          <t>Preto,G</t>
        </is>
      </c>
      <c r="D781" s="60" t="inlineStr">
        <is>
          <t>CALÇA-LEGING-PRETA-ACT-G</t>
        </is>
      </c>
      <c r="E781" s="60" t="n">
        <v>45112278206</v>
      </c>
      <c r="F781" s="60" t="n">
        <v>262700602000</v>
      </c>
      <c r="G781" s="60" t="inlineStr">
        <is>
          <t>NORMAL</t>
        </is>
      </c>
      <c r="H781" s="91" t="n">
        <v>299.9</v>
      </c>
      <c r="I781" s="91" t="n">
        <v>159.9</v>
      </c>
      <c r="J781" s="65" t="inlineStr">
        <is>
          <t>SIM</t>
        </is>
      </c>
      <c r="K781" s="91" t="n">
        <v>159.9</v>
      </c>
      <c r="L781" s="87" t="n">
        <v>159.9</v>
      </c>
      <c r="M781" s="88" t="n">
        <v>1</v>
      </c>
      <c r="N781" s="89" t="n">
        <v>83.23</v>
      </c>
      <c r="O781" s="89">
        <f>ROUND(M781*N781,2)</f>
        <v/>
      </c>
      <c r="P781" s="92">
        <f>IF($O781="","",L781-O781-(L781*IF(L781&lt;=79.99,20%,14%)+IF(L781&lt;=79.99,4,IF(L781&lt;=99.99,16,IF(L781&lt;=199.99,20,IF(L781&lt;=499.99,26,28)))))-L781*1.3%-L781*6%-(L781-O781)*9.25%-L781*3%-L781*3%-1)</f>
        <v/>
      </c>
      <c r="Q781" s="67" t="n">
        <v>0.467</v>
      </c>
      <c r="R781" s="60" t="inlineStr">
        <is>
          <t>478840979931317, 484945860710786</t>
        </is>
      </c>
      <c r="S781" s="68" t="n">
        <v>46227.73958333334</v>
      </c>
      <c r="T781" s="68" t="n">
        <v>46248.99930555555</v>
      </c>
      <c r="U781" s="60" t="n">
        <v>100357</v>
      </c>
      <c r="V781" t="inlineStr">
        <is>
          <t>215899</t>
        </is>
      </c>
      <c r="W781" t="inlineStr">
        <is>
          <t>herdado do anúncio</t>
        </is>
      </c>
      <c r="Y781" t="inlineStr">
        <is>
          <t>ok</t>
        </is>
      </c>
    </row>
    <row r="782" ht="18" customHeight="1">
      <c r="A782" s="54" t="inlineStr">
        <is>
          <t>Donacor</t>
        </is>
      </c>
      <c r="B782" s="54" t="inlineStr">
        <is>
          <t>Calça Legging Lupo Act Seamless Feminina Fitness Academia Original</t>
        </is>
      </c>
      <c r="C782" s="54" t="inlineStr">
        <is>
          <t>Preto,GG</t>
        </is>
      </c>
      <c r="D782" s="54" t="inlineStr">
        <is>
          <t>CALÇA-LEGING-PRETA-ACT-GG</t>
        </is>
      </c>
      <c r="E782" s="54" t="n">
        <v>45112278206</v>
      </c>
      <c r="F782" s="54" t="n">
        <v>262700602001</v>
      </c>
      <c r="G782" s="54" t="inlineStr">
        <is>
          <t>NORMAL</t>
        </is>
      </c>
      <c r="H782" s="86" t="n">
        <v>299.9</v>
      </c>
      <c r="I782" s="86" t="n">
        <v>159.9</v>
      </c>
      <c r="J782" s="56" t="inlineStr">
        <is>
          <t>SIM</t>
        </is>
      </c>
      <c r="K782" s="86" t="n">
        <v>159.9</v>
      </c>
      <c r="L782" s="87" t="n">
        <v>159.9</v>
      </c>
      <c r="M782" s="88" t="n">
        <v>1</v>
      </c>
      <c r="N782" s="89" t="n">
        <v>83.23</v>
      </c>
      <c r="O782" s="89">
        <f>ROUND(M782*N782,2)</f>
        <v/>
      </c>
      <c r="P782" s="90">
        <f>IF($O782="","",L782-O782-(L782*IF(L782&lt;=79.99,20%,14%)+IF(L782&lt;=79.99,4,IF(L782&lt;=99.99,16,IF(L782&lt;=199.99,20,IF(L782&lt;=499.99,26,28)))))-L782*1.3%-L782*6%-(L782-O782)*9.25%-L782*3%-L782*3%-1)</f>
        <v/>
      </c>
      <c r="Q782" s="58" t="n">
        <v>0.467</v>
      </c>
      <c r="R782" s="54" t="inlineStr">
        <is>
          <t>478840979931317, 484945860710786</t>
        </is>
      </c>
      <c r="S782" s="59" t="n">
        <v>46227.73958333334</v>
      </c>
      <c r="T782" s="59" t="n">
        <v>46248.99930555555</v>
      </c>
      <c r="U782" s="54" t="n">
        <v>100357</v>
      </c>
      <c r="V782" t="inlineStr">
        <is>
          <t>215899</t>
        </is>
      </c>
      <c r="W782" t="inlineStr">
        <is>
          <t>venda casada (2 pedidos)</t>
        </is>
      </c>
      <c r="X782" t="n">
        <v>2</v>
      </c>
      <c r="Y782" t="inlineStr">
        <is>
          <t>ok</t>
        </is>
      </c>
    </row>
    <row r="783" ht="18" customHeight="1">
      <c r="A783" s="60" t="inlineStr">
        <is>
          <t>Donacor</t>
        </is>
      </c>
      <c r="B783" s="60" t="inlineStr">
        <is>
          <t>Calça Legging Lupo Act Seamless Feminina Fitness Academia Original</t>
        </is>
      </c>
      <c r="C783" s="60" t="inlineStr">
        <is>
          <t>Preto,M</t>
        </is>
      </c>
      <c r="D783" s="60" t="inlineStr">
        <is>
          <t>CALÇA-LEGING-PRETA-ACT-M</t>
        </is>
      </c>
      <c r="E783" s="60" t="n">
        <v>45112278206</v>
      </c>
      <c r="F783" s="60" t="n">
        <v>262700601999</v>
      </c>
      <c r="G783" s="60" t="inlineStr">
        <is>
          <t>NORMAL</t>
        </is>
      </c>
      <c r="H783" s="91" t="n">
        <v>299.9</v>
      </c>
      <c r="I783" s="91" t="n">
        <v>159.9</v>
      </c>
      <c r="J783" s="65" t="inlineStr">
        <is>
          <t>SIM</t>
        </is>
      </c>
      <c r="K783" s="91" t="n">
        <v>159.9</v>
      </c>
      <c r="L783" s="87" t="n">
        <v>159.9</v>
      </c>
      <c r="M783" s="88" t="n">
        <v>1</v>
      </c>
      <c r="N783" s="89" t="n">
        <v>83.23</v>
      </c>
      <c r="O783" s="89">
        <f>ROUND(M783*N783,2)</f>
        <v/>
      </c>
      <c r="P783" s="92">
        <f>IF($O783="","",L783-O783-(L783*IF(L783&lt;=79.99,20%,14%)+IF(L783&lt;=79.99,4,IF(L783&lt;=99.99,16,IF(L783&lt;=199.99,20,IF(L783&lt;=499.99,26,28)))))-L783*1.3%-L783*6%-(L783-O783)*9.25%-L783*3%-L783*3%-1)</f>
        <v/>
      </c>
      <c r="Q783" s="67" t="n">
        <v>0.467</v>
      </c>
      <c r="R783" s="60" t="inlineStr">
        <is>
          <t>478840979931317, 484945860710786</t>
        </is>
      </c>
      <c r="S783" s="68" t="n">
        <v>46227.73958333334</v>
      </c>
      <c r="T783" s="68" t="n">
        <v>46248.99930555555</v>
      </c>
      <c r="U783" s="60" t="n">
        <v>100357</v>
      </c>
      <c r="V783" t="inlineStr">
        <is>
          <t>215899</t>
        </is>
      </c>
      <c r="W783" t="inlineStr">
        <is>
          <t>herdado do anúncio</t>
        </is>
      </c>
      <c r="Y783" t="inlineStr">
        <is>
          <t>ok</t>
        </is>
      </c>
    </row>
    <row r="784" ht="18" customHeight="1">
      <c r="A784" s="54" t="inlineStr">
        <is>
          <t>Donacor</t>
        </is>
      </c>
      <c r="B784" s="54" t="inlineStr">
        <is>
          <t>Calça Legging Lupo Act Seamless Feminina Fitness Academia Original</t>
        </is>
      </c>
      <c r="C784" s="54" t="inlineStr">
        <is>
          <t>Preto,P</t>
        </is>
      </c>
      <c r="D784" s="54" t="inlineStr">
        <is>
          <t>CALÇA-LEGING-PRETA-ACT-P</t>
        </is>
      </c>
      <c r="E784" s="54" t="n">
        <v>45112278206</v>
      </c>
      <c r="F784" s="54" t="n">
        <v>262700601998</v>
      </c>
      <c r="G784" s="54" t="inlineStr">
        <is>
          <t>NORMAL</t>
        </is>
      </c>
      <c r="H784" s="86" t="n">
        <v>299.9</v>
      </c>
      <c r="I784" s="86" t="n">
        <v>159.9</v>
      </c>
      <c r="J784" s="56" t="inlineStr">
        <is>
          <t>SIM</t>
        </is>
      </c>
      <c r="K784" s="86" t="n">
        <v>159.9</v>
      </c>
      <c r="L784" s="87" t="n">
        <v>159.9</v>
      </c>
      <c r="M784" s="88" t="n">
        <v>1</v>
      </c>
      <c r="N784" s="89" t="n">
        <v>83.23</v>
      </c>
      <c r="O784" s="89">
        <f>ROUND(M784*N784,2)</f>
        <v/>
      </c>
      <c r="P784" s="90">
        <f>IF($O784="","",L784-O784-(L784*IF(L784&lt;=79.99,20%,14%)+IF(L784&lt;=79.99,4,IF(L784&lt;=99.99,16,IF(L784&lt;=199.99,20,IF(L784&lt;=499.99,26,28)))))-L784*1.3%-L784*6%-(L784-O784)*9.25%-L784*3%-L784*3%-1)</f>
        <v/>
      </c>
      <c r="Q784" s="58" t="n">
        <v>0.467</v>
      </c>
      <c r="R784" s="54" t="inlineStr">
        <is>
          <t>478840979931317, 484945860710786</t>
        </is>
      </c>
      <c r="S784" s="59" t="n">
        <v>46227.73958333334</v>
      </c>
      <c r="T784" s="59" t="n">
        <v>46248.99930555555</v>
      </c>
      <c r="U784" s="54" t="n">
        <v>100357</v>
      </c>
      <c r="V784" t="inlineStr">
        <is>
          <t>215899</t>
        </is>
      </c>
      <c r="W784" t="inlineStr">
        <is>
          <t>herdado do anúncio</t>
        </is>
      </c>
      <c r="Y784" t="inlineStr">
        <is>
          <t>ok</t>
        </is>
      </c>
    </row>
    <row r="785" ht="18" customHeight="1">
      <c r="A785" s="60" t="inlineStr">
        <is>
          <t>Donacor</t>
        </is>
      </c>
      <c r="B785" s="60" t="inlineStr">
        <is>
          <t>Calça Legging Lupo Basic Sem Costura Canelada Feminina Fitness Academia Original</t>
        </is>
      </c>
      <c r="C785" s="60" t="inlineStr">
        <is>
          <t>Verde,G</t>
        </is>
      </c>
      <c r="D785" s="60" t="inlineStr">
        <is>
          <t>CALÇA-LUPO-BASIC-VERDE-G</t>
        </is>
      </c>
      <c r="E785" s="60" t="n">
        <v>47262283135</v>
      </c>
      <c r="F785" s="60" t="n">
        <v>416064354365</v>
      </c>
      <c r="G785" s="60" t="inlineStr">
        <is>
          <t>NORMAL</t>
        </is>
      </c>
      <c r="H785" s="91" t="n">
        <v>289.9</v>
      </c>
      <c r="I785" s="91" t="n">
        <v>176.9</v>
      </c>
      <c r="J785" s="65" t="inlineStr">
        <is>
          <t>SIM</t>
        </is>
      </c>
      <c r="K785" s="91" t="n">
        <v>176.9</v>
      </c>
      <c r="L785" s="87" t="n">
        <v>176.9</v>
      </c>
      <c r="M785" s="88" t="n">
        <v>1</v>
      </c>
      <c r="N785" s="89" t="n">
        <v>92.3</v>
      </c>
      <c r="O785" s="89">
        <f>ROUND(M785*N785,2)</f>
        <v/>
      </c>
      <c r="P785" s="92">
        <f>IF($O785="","",L785-O785-(L785*IF(L785&lt;=79.99,20%,14%)+IF(L785&lt;=79.99,4,IF(L785&lt;=99.99,16,IF(L785&lt;=199.99,20,IF(L785&lt;=499.99,26,28)))))-L785*1.3%-L785*6%-(L785-O785)*9.25%-L785*3%-L785*3%-1)</f>
        <v/>
      </c>
      <c r="Q785" s="67" t="n">
        <v>0.39</v>
      </c>
      <c r="R785" s="60" t="inlineStr">
        <is>
          <t>478840979931317, 484945860710786</t>
        </is>
      </c>
      <c r="S785" s="68" t="n">
        <v>46227.73958333334</v>
      </c>
      <c r="T785" s="68" t="n">
        <v>46248.99930555555</v>
      </c>
      <c r="U785" s="60" t="n">
        <v>100357</v>
      </c>
      <c r="V785" t="inlineStr">
        <is>
          <t>215904</t>
        </is>
      </c>
      <c r="W785" t="inlineStr">
        <is>
          <t>venda casada (1 pedido)</t>
        </is>
      </c>
      <c r="X785" t="n">
        <v>1</v>
      </c>
      <c r="Y785" t="inlineStr">
        <is>
          <t>⚠ evidência fraca (1 pedido)</t>
        </is>
      </c>
    </row>
    <row r="786" ht="18" customHeight="1">
      <c r="A786" s="54" t="inlineStr">
        <is>
          <t>Donacor</t>
        </is>
      </c>
      <c r="B786" s="54" t="inlineStr">
        <is>
          <t>Calça Legging Lupo Basic Sem Costura Canelada Feminina Fitness Academia Original</t>
        </is>
      </c>
      <c r="C786" s="54" t="inlineStr">
        <is>
          <t>Verde,GG</t>
        </is>
      </c>
      <c r="D786" s="54" t="inlineStr">
        <is>
          <t>CALÇA-LUPO-BASIC-VERDE-GG</t>
        </is>
      </c>
      <c r="E786" s="54" t="n">
        <v>47262283135</v>
      </c>
      <c r="F786" s="54" t="n">
        <v>416064354366</v>
      </c>
      <c r="G786" s="54" t="inlineStr">
        <is>
          <t>NORMAL</t>
        </is>
      </c>
      <c r="H786" s="86" t="n">
        <v>289.9</v>
      </c>
      <c r="I786" s="86" t="n">
        <v>176.9</v>
      </c>
      <c r="J786" s="56" t="inlineStr">
        <is>
          <t>SIM</t>
        </is>
      </c>
      <c r="K786" s="86" t="n">
        <v>176.9</v>
      </c>
      <c r="L786" s="87" t="n">
        <v>176.9</v>
      </c>
      <c r="P786" s="90">
        <f>IF($O786="","",L786-O786-(L786*IF(L786&lt;=79.99,20%,14%)+IF(L786&lt;=79.99,4,IF(L786&lt;=99.99,16,IF(L786&lt;=199.99,20,IF(L786&lt;=499.99,26,28)))))-L786*1.3%-L786*6%-(L786-O786)*9.25%-L786*3%-L786*3%-1)</f>
        <v/>
      </c>
      <c r="Q786" s="58" t="n">
        <v>0.39</v>
      </c>
      <c r="R786" s="54" t="inlineStr">
        <is>
          <t>478840979931317, 484945860710786</t>
        </is>
      </c>
      <c r="S786" s="59" t="n">
        <v>46227.73958333334</v>
      </c>
      <c r="T786" s="59" t="n">
        <v>46248.99930555555</v>
      </c>
      <c r="U786" s="54" t="n">
        <v>100357</v>
      </c>
      <c r="W786" t="inlineStr">
        <is>
          <t>sem correspondência</t>
        </is>
      </c>
      <c r="Y786" t="inlineStr"/>
    </row>
    <row r="787" ht="18" customHeight="1">
      <c r="A787" s="60" t="inlineStr">
        <is>
          <t>Donacor</t>
        </is>
      </c>
      <c r="B787" s="60" t="inlineStr">
        <is>
          <t>Calça Legging Lupo Basic Sem Costura Canelada Feminina Fitness Academia Original</t>
        </is>
      </c>
      <c r="C787" s="60" t="inlineStr">
        <is>
          <t>Verde,M</t>
        </is>
      </c>
      <c r="D787" s="60" t="inlineStr">
        <is>
          <t>CALÇA-LUPO-BASIC-VERDE-M</t>
        </is>
      </c>
      <c r="E787" s="60" t="n">
        <v>47262283135</v>
      </c>
      <c r="F787" s="60" t="n">
        <v>416064354364</v>
      </c>
      <c r="G787" s="60" t="inlineStr">
        <is>
          <t>NORMAL</t>
        </is>
      </c>
      <c r="H787" s="91" t="n">
        <v>289.9</v>
      </c>
      <c r="I787" s="91" t="n">
        <v>176.9</v>
      </c>
      <c r="J787" s="65" t="inlineStr">
        <is>
          <t>SIM</t>
        </is>
      </c>
      <c r="K787" s="91" t="n">
        <v>176.9</v>
      </c>
      <c r="L787" s="87" t="n">
        <v>176.9</v>
      </c>
      <c r="M787" s="88" t="n">
        <v>1</v>
      </c>
      <c r="N787" s="89" t="n">
        <v>92.3</v>
      </c>
      <c r="O787" s="89">
        <f>ROUND(M787*N787,2)</f>
        <v/>
      </c>
      <c r="P787" s="92">
        <f>IF($O787="","",L787-O787-(L787*IF(L787&lt;=79.99,20%,14%)+IF(L787&lt;=79.99,4,IF(L787&lt;=99.99,16,IF(L787&lt;=199.99,20,IF(L787&lt;=499.99,26,28)))))-L787*1.3%-L787*6%-(L787-O787)*9.25%-L787*3%-L787*3%-1)</f>
        <v/>
      </c>
      <c r="Q787" s="67" t="n">
        <v>0.39</v>
      </c>
      <c r="R787" s="60" t="inlineStr">
        <is>
          <t>478840979931317, 484945860710786</t>
        </is>
      </c>
      <c r="S787" s="68" t="n">
        <v>46227.73958333334</v>
      </c>
      <c r="T787" s="68" t="n">
        <v>46248.99930555555</v>
      </c>
      <c r="U787" s="60" t="n">
        <v>100357</v>
      </c>
      <c r="V787" t="inlineStr">
        <is>
          <t>215903</t>
        </is>
      </c>
      <c r="W787" t="inlineStr">
        <is>
          <t>venda casada (1 pedido)</t>
        </is>
      </c>
      <c r="X787" t="n">
        <v>1</v>
      </c>
      <c r="Y787" t="inlineStr">
        <is>
          <t>⚠ evidência fraca (1 pedido)</t>
        </is>
      </c>
    </row>
    <row r="788" ht="18" customHeight="1">
      <c r="A788" s="54" t="inlineStr">
        <is>
          <t>Donacor</t>
        </is>
      </c>
      <c r="B788" s="54" t="inlineStr">
        <is>
          <t>Calça Legging Lupo Basic Sem Costura Canelada Feminina Fitness Academia Original</t>
        </is>
      </c>
      <c r="C788" s="54" t="inlineStr">
        <is>
          <t>Verde,P</t>
        </is>
      </c>
      <c r="D788" s="54" t="inlineStr">
        <is>
          <t>CALÇA-LUPO-BASIC-VERDE-P</t>
        </is>
      </c>
      <c r="E788" s="54" t="n">
        <v>47262283135</v>
      </c>
      <c r="F788" s="54" t="n">
        <v>411064354599</v>
      </c>
      <c r="G788" s="54" t="inlineStr">
        <is>
          <t>NORMAL</t>
        </is>
      </c>
      <c r="H788" s="86" t="n">
        <v>289.9</v>
      </c>
      <c r="I788" s="86" t="n">
        <v>176.9</v>
      </c>
      <c r="J788" s="56" t="inlineStr">
        <is>
          <t>SIM</t>
        </is>
      </c>
      <c r="K788" s="86" t="n">
        <v>176.9</v>
      </c>
      <c r="L788" s="87" t="n">
        <v>176.9</v>
      </c>
      <c r="P788" s="90">
        <f>IF($O788="","",L788-O788-(L788*IF(L788&lt;=79.99,20%,14%)+IF(L788&lt;=79.99,4,IF(L788&lt;=99.99,16,IF(L788&lt;=199.99,20,IF(L788&lt;=499.99,26,28)))))-L788*1.3%-L788*6%-(L788-O788)*9.25%-L788*3%-L788*3%-1)</f>
        <v/>
      </c>
      <c r="Q788" s="58" t="n">
        <v>0.39</v>
      </c>
      <c r="R788" s="54" t="inlineStr">
        <is>
          <t>484945860710786, 478840979931317</t>
        </is>
      </c>
      <c r="S788" s="59" t="n">
        <v>46227.73958333334</v>
      </c>
      <c r="T788" s="59" t="n">
        <v>46248.99930555555</v>
      </c>
      <c r="U788" s="54" t="n">
        <v>100357</v>
      </c>
      <c r="W788" t="inlineStr">
        <is>
          <t>sem correspondência</t>
        </is>
      </c>
      <c r="Y788" t="inlineStr"/>
    </row>
    <row r="789" ht="18" customHeight="1">
      <c r="A789" s="60" t="inlineStr">
        <is>
          <t>Donacor</t>
        </is>
      </c>
      <c r="B789" s="60" t="inlineStr">
        <is>
          <t>Calça Legging Lupo Lsport Seamless Fluidez Feminina Fitness Academia Original</t>
        </is>
      </c>
      <c r="C789" s="60" t="inlineStr">
        <is>
          <t>Cerâmica,G</t>
        </is>
      </c>
      <c r="D789" s="60" t="inlineStr">
        <is>
          <t>CALÇA-LUPO-SEAMLESS-CERAMICA-G</t>
        </is>
      </c>
      <c r="E789" s="60" t="n">
        <v>52312270203</v>
      </c>
      <c r="F789" s="60" t="n">
        <v>396064382348</v>
      </c>
      <c r="G789" s="60" t="inlineStr">
        <is>
          <t>NORMAL</t>
        </is>
      </c>
      <c r="H789" s="91" t="n">
        <v>299.9</v>
      </c>
      <c r="I789" s="91" t="n">
        <v>169.9</v>
      </c>
      <c r="J789" s="65" t="inlineStr">
        <is>
          <t>SIM</t>
        </is>
      </c>
      <c r="K789" s="91" t="n">
        <v>169.9</v>
      </c>
      <c r="L789" s="87" t="n">
        <v>169.9</v>
      </c>
      <c r="M789" s="88" t="n">
        <v>1</v>
      </c>
      <c r="N789" s="89" t="n">
        <v>88.75</v>
      </c>
      <c r="O789" s="89">
        <f>ROUND(M789*N789,2)</f>
        <v/>
      </c>
      <c r="P789" s="92">
        <f>IF($O789="","",L789-O789-(L789*IF(L789&lt;=79.99,20%,14%)+IF(L789&lt;=79.99,4,IF(L789&lt;=99.99,16,IF(L789&lt;=199.99,20,IF(L789&lt;=499.99,26,28)))))-L789*1.3%-L789*6%-(L789-O789)*9.25%-L789*3%-L789*3%-1)</f>
        <v/>
      </c>
      <c r="Q789" s="67" t="n">
        <v>0.433</v>
      </c>
      <c r="R789" s="60" t="inlineStr">
        <is>
          <t>478840979931317, 484945860710786</t>
        </is>
      </c>
      <c r="S789" s="68" t="n">
        <v>46227.73958333334</v>
      </c>
      <c r="T789" s="68" t="n">
        <v>46248.99930555555</v>
      </c>
      <c r="U789" s="60" t="n">
        <v>100357</v>
      </c>
      <c r="V789" t="inlineStr">
        <is>
          <t>215882</t>
        </is>
      </c>
      <c r="W789" t="inlineStr">
        <is>
          <t>herdado do anúncio</t>
        </is>
      </c>
      <c r="Y789" t="inlineStr">
        <is>
          <t>ok</t>
        </is>
      </c>
    </row>
    <row r="790" ht="18" customHeight="1">
      <c r="A790" s="54" t="inlineStr">
        <is>
          <t>Donacor</t>
        </is>
      </c>
      <c r="B790" s="54" t="inlineStr">
        <is>
          <t>Calça Legging Lupo Lsport Seamless Fluidez Feminina Fitness Academia Original</t>
        </is>
      </c>
      <c r="C790" s="54" t="inlineStr">
        <is>
          <t>Cerâmica,GG</t>
        </is>
      </c>
      <c r="D790" s="54" t="inlineStr">
        <is>
          <t>CALÇA-LUPO-SEAMLESS-CERAMICA-GG</t>
        </is>
      </c>
      <c r="E790" s="54" t="n">
        <v>52312270203</v>
      </c>
      <c r="F790" s="54" t="n">
        <v>396064382349</v>
      </c>
      <c r="G790" s="54" t="inlineStr">
        <is>
          <t>NORMAL</t>
        </is>
      </c>
      <c r="H790" s="86" t="n">
        <v>299.9</v>
      </c>
      <c r="I790" s="86" t="n">
        <v>169.9</v>
      </c>
      <c r="J790" s="56" t="inlineStr">
        <is>
          <t>SIM</t>
        </is>
      </c>
      <c r="K790" s="86" t="n">
        <v>169.9</v>
      </c>
      <c r="L790" s="87" t="n">
        <v>169.9</v>
      </c>
      <c r="M790" s="88" t="n">
        <v>1</v>
      </c>
      <c r="N790" s="89" t="n">
        <v>88.75</v>
      </c>
      <c r="O790" s="89">
        <f>ROUND(M790*N790,2)</f>
        <v/>
      </c>
      <c r="P790" s="90">
        <f>IF($O790="","",L790-O790-(L790*IF(L790&lt;=79.99,20%,14%)+IF(L790&lt;=79.99,4,IF(L790&lt;=99.99,16,IF(L790&lt;=199.99,20,IF(L790&lt;=499.99,26,28)))))-L790*1.3%-L790*6%-(L790-O790)*9.25%-L790*3%-L790*3%-1)</f>
        <v/>
      </c>
      <c r="Q790" s="58" t="n">
        <v>0.433</v>
      </c>
      <c r="R790" s="54" t="inlineStr">
        <is>
          <t>478840979931317, 484945860710786</t>
        </is>
      </c>
      <c r="S790" s="59" t="n">
        <v>46227.73958333334</v>
      </c>
      <c r="T790" s="59" t="n">
        <v>46248.99930555555</v>
      </c>
      <c r="U790" s="54" t="n">
        <v>100357</v>
      </c>
      <c r="V790" t="inlineStr">
        <is>
          <t>215882</t>
        </is>
      </c>
      <c r="W790" t="inlineStr">
        <is>
          <t>herdado do anúncio</t>
        </is>
      </c>
      <c r="Y790" t="inlineStr">
        <is>
          <t>ok</t>
        </is>
      </c>
    </row>
    <row r="791" ht="18" customHeight="1">
      <c r="A791" s="60" t="inlineStr">
        <is>
          <t>Donacor</t>
        </is>
      </c>
      <c r="B791" s="60" t="inlineStr">
        <is>
          <t>Calça Legging Lupo Lsport Seamless Fluidez Feminina Fitness Academia Original</t>
        </is>
      </c>
      <c r="C791" s="60" t="inlineStr">
        <is>
          <t>Cerâmica,M</t>
        </is>
      </c>
      <c r="D791" s="60" t="inlineStr">
        <is>
          <t>CALÇA-LUPO-SEAMLESS-CERAMICA-M</t>
        </is>
      </c>
      <c r="E791" s="60" t="n">
        <v>52312270203</v>
      </c>
      <c r="F791" s="60" t="n">
        <v>396064382347</v>
      </c>
      <c r="G791" s="60" t="inlineStr">
        <is>
          <t>NORMAL</t>
        </is>
      </c>
      <c r="H791" s="91" t="n">
        <v>299.9</v>
      </c>
      <c r="I791" s="91" t="n">
        <v>169.9</v>
      </c>
      <c r="J791" s="65" t="inlineStr">
        <is>
          <t>SIM</t>
        </is>
      </c>
      <c r="K791" s="91" t="n">
        <v>169.9</v>
      </c>
      <c r="L791" s="87" t="n">
        <v>169.9</v>
      </c>
      <c r="M791" s="88" t="n">
        <v>1</v>
      </c>
      <c r="N791" s="89" t="n">
        <v>88.75</v>
      </c>
      <c r="O791" s="89">
        <f>ROUND(M791*N791,2)</f>
        <v/>
      </c>
      <c r="P791" s="92">
        <f>IF($O791="","",L791-O791-(L791*IF(L791&lt;=79.99,20%,14%)+IF(L791&lt;=79.99,4,IF(L791&lt;=99.99,16,IF(L791&lt;=199.99,20,IF(L791&lt;=499.99,26,28)))))-L791*1.3%-L791*6%-(L791-O791)*9.25%-L791*3%-L791*3%-1)</f>
        <v/>
      </c>
      <c r="Q791" s="67" t="n">
        <v>0.433</v>
      </c>
      <c r="R791" s="60" t="inlineStr">
        <is>
          <t>478840979931317, 484945860710786</t>
        </is>
      </c>
      <c r="S791" s="68" t="n">
        <v>46227.73958333334</v>
      </c>
      <c r="T791" s="68" t="n">
        <v>46248.99930555555</v>
      </c>
      <c r="U791" s="60" t="n">
        <v>100357</v>
      </c>
      <c r="V791" t="inlineStr">
        <is>
          <t>215882</t>
        </is>
      </c>
      <c r="W791" t="inlineStr">
        <is>
          <t>venda casada (1 pedido)</t>
        </is>
      </c>
      <c r="X791" t="n">
        <v>1</v>
      </c>
      <c r="Y791" t="inlineStr">
        <is>
          <t>⚠ evidência fraca (1 pedido)</t>
        </is>
      </c>
    </row>
    <row r="792" ht="18" customHeight="1">
      <c r="A792" s="54" t="inlineStr">
        <is>
          <t>Donacor</t>
        </is>
      </c>
      <c r="B792" s="54" t="inlineStr">
        <is>
          <t>Calça Legging Lupo Lsport Seamless Fluidez Feminina Fitness Academia Original</t>
        </is>
      </c>
      <c r="C792" s="54" t="inlineStr">
        <is>
          <t>Cerâmica,P</t>
        </is>
      </c>
      <c r="D792" s="54" t="inlineStr">
        <is>
          <t>CALÇA-LUPO-SEAMLESS-CERAMICA-P</t>
        </is>
      </c>
      <c r="E792" s="54" t="n">
        <v>52312270203</v>
      </c>
      <c r="F792" s="54" t="n">
        <v>396064382346</v>
      </c>
      <c r="G792" s="54" t="inlineStr">
        <is>
          <t>NORMAL</t>
        </is>
      </c>
      <c r="H792" s="86" t="n">
        <v>299.9</v>
      </c>
      <c r="I792" s="86" t="n">
        <v>169.9</v>
      </c>
      <c r="J792" s="56" t="inlineStr">
        <is>
          <t>SIM</t>
        </is>
      </c>
      <c r="K792" s="86" t="n">
        <v>169.9</v>
      </c>
      <c r="L792" s="87" t="n">
        <v>169.9</v>
      </c>
      <c r="M792" s="88" t="n">
        <v>1</v>
      </c>
      <c r="N792" s="89" t="n">
        <v>88.75</v>
      </c>
      <c r="O792" s="89">
        <f>ROUND(M792*N792,2)</f>
        <v/>
      </c>
      <c r="P792" s="90">
        <f>IF($O792="","",L792-O792-(L792*IF(L792&lt;=79.99,20%,14%)+IF(L792&lt;=79.99,4,IF(L792&lt;=99.99,16,IF(L792&lt;=199.99,20,IF(L792&lt;=499.99,26,28)))))-L792*1.3%-L792*6%-(L792-O792)*9.25%-L792*3%-L792*3%-1)</f>
        <v/>
      </c>
      <c r="Q792" s="58" t="n">
        <v>0.433</v>
      </c>
      <c r="R792" s="54" t="inlineStr">
        <is>
          <t>484945860710786, 478840979931317</t>
        </is>
      </c>
      <c r="S792" s="59" t="n">
        <v>46227.73958333334</v>
      </c>
      <c r="T792" s="59" t="n">
        <v>46248.99930555555</v>
      </c>
      <c r="U792" s="54" t="n">
        <v>100357</v>
      </c>
      <c r="V792" t="inlineStr">
        <is>
          <t>215882</t>
        </is>
      </c>
      <c r="W792" t="inlineStr">
        <is>
          <t>herdado do anúncio</t>
        </is>
      </c>
      <c r="Y792" t="inlineStr">
        <is>
          <t>ok</t>
        </is>
      </c>
    </row>
    <row r="793" ht="18" customHeight="1">
      <c r="A793" s="60" t="inlineStr">
        <is>
          <t>Donacor</t>
        </is>
      </c>
      <c r="B793" s="60" t="inlineStr">
        <is>
          <t>Calça Legging Lupo Sport Feminina Fitness Academia Original</t>
        </is>
      </c>
      <c r="C793" s="60" t="inlineStr">
        <is>
          <t>Azul Anil,G - 44 a 46</t>
        </is>
      </c>
      <c r="D793" s="60" t="inlineStr">
        <is>
          <t>LUPO-LEGGING-AZULANIL-G</t>
        </is>
      </c>
      <c r="E793" s="60" t="n">
        <v>18097716530</v>
      </c>
      <c r="F793" s="60" t="n">
        <v>109864678567</v>
      </c>
      <c r="G793" s="60" t="inlineStr">
        <is>
          <t>NORMAL</t>
        </is>
      </c>
      <c r="H793" s="91" t="n">
        <v>299.9</v>
      </c>
      <c r="I793" s="91" t="n">
        <v>299.9</v>
      </c>
      <c r="J793" s="62" t="inlineStr">
        <is>
          <t>NÃO</t>
        </is>
      </c>
      <c r="K793" s="60" t="inlineStr">
        <is>
          <t> </t>
        </is>
      </c>
      <c r="L793" s="87" t="n">
        <v>299.9</v>
      </c>
      <c r="P793" s="92">
        <f>IF($O793="","",L793-O793-(L793*IF(L793&lt;=79.99,20%,14%)+IF(L793&lt;=79.99,4,IF(L793&lt;=99.99,16,IF(L793&lt;=199.99,20,IF(L793&lt;=499.99,26,28)))))-L793*1.3%-L793*6%-(L793-O793)*9.25%-L793*3%-L793*3%-1)</f>
        <v/>
      </c>
      <c r="Q793" s="60" t="inlineStr">
        <is>
          <t> </t>
        </is>
      </c>
      <c r="R793" s="60" t="inlineStr">
        <is>
          <t> </t>
        </is>
      </c>
      <c r="S793" s="60" t="inlineStr">
        <is>
          <t> </t>
        </is>
      </c>
      <c r="T793" s="60" t="inlineStr">
        <is>
          <t> </t>
        </is>
      </c>
      <c r="U793" s="60" t="n">
        <v>101313</v>
      </c>
      <c r="V793" t="inlineStr">
        <is>
          <t>LUPO-LEGGING-AZULANIL-G</t>
        </is>
      </c>
      <c r="W793" t="inlineStr">
        <is>
          <t>SKU idêntico na Olist · CUSTO ZERADO na Olist (conferido hoje)</t>
        </is>
      </c>
      <c r="Y793" t="inlineStr">
        <is>
          <t>ok</t>
        </is>
      </c>
    </row>
    <row r="794" ht="18" customHeight="1">
      <c r="A794" s="54" t="inlineStr">
        <is>
          <t>Donacor</t>
        </is>
      </c>
      <c r="B794" s="54" t="inlineStr">
        <is>
          <t>Calça Legging Lupo Sport Feminina Fitness Academia Original</t>
        </is>
      </c>
      <c r="C794" s="54" t="inlineStr">
        <is>
          <t>Azul Anil,GG - 48 a 50</t>
        </is>
      </c>
      <c r="D794" s="54" t="inlineStr">
        <is>
          <t>LUPO-LEGGING-AZULANIL-GG</t>
        </is>
      </c>
      <c r="E794" s="54" t="n">
        <v>18097716530</v>
      </c>
      <c r="F794" s="54" t="n">
        <v>109864678573</v>
      </c>
      <c r="G794" s="54" t="inlineStr">
        <is>
          <t>NORMAL</t>
        </is>
      </c>
      <c r="H794" s="86" t="n">
        <v>299.9</v>
      </c>
      <c r="I794" s="86" t="n">
        <v>169.9</v>
      </c>
      <c r="J794" s="56" t="inlineStr">
        <is>
          <t>SIM</t>
        </is>
      </c>
      <c r="K794" s="86" t="n">
        <v>169.9</v>
      </c>
      <c r="L794" s="87" t="n">
        <v>169.9</v>
      </c>
      <c r="M794" s="88" t="n">
        <v>1</v>
      </c>
      <c r="N794" s="89" t="n">
        <v>83.06</v>
      </c>
      <c r="O794" s="89">
        <f>ROUND(M794*N794,2)</f>
        <v/>
      </c>
      <c r="P794" s="90">
        <f>IF($O794="","",L794-O794-(L794*IF(L794&lt;=79.99,20%,14%)+IF(L794&lt;=79.99,4,IF(L794&lt;=99.99,16,IF(L794&lt;=199.99,20,IF(L794&lt;=499.99,26,28)))))-L794*1.3%-L794*6%-(L794-O794)*9.25%-L794*3%-L794*3%-1)</f>
        <v/>
      </c>
      <c r="Q794" s="58" t="n">
        <v>0.433</v>
      </c>
      <c r="R794" s="54" t="n">
        <v>478840979931317</v>
      </c>
      <c r="S794" s="59" t="n">
        <v>46248</v>
      </c>
      <c r="T794" s="59" t="n">
        <v>46248.99930555555</v>
      </c>
      <c r="U794" s="54" t="n">
        <v>101313</v>
      </c>
      <c r="V794" t="inlineStr">
        <is>
          <t>214313</t>
        </is>
      </c>
      <c r="W794" t="inlineStr">
        <is>
          <t>venda casada (5 pedidos)</t>
        </is>
      </c>
      <c r="X794" t="n">
        <v>5</v>
      </c>
      <c r="Y794" t="inlineStr">
        <is>
          <t>ok</t>
        </is>
      </c>
    </row>
    <row r="795" ht="18" customHeight="1">
      <c r="A795" s="60" t="inlineStr">
        <is>
          <t>Donacor</t>
        </is>
      </c>
      <c r="B795" s="60" t="inlineStr">
        <is>
          <t>Calça Legging Lupo Sport Feminina Fitness Academia Original</t>
        </is>
      </c>
      <c r="C795" s="60" t="inlineStr">
        <is>
          <t>Azul Anil,M - 40 a 42</t>
        </is>
      </c>
      <c r="D795" s="60" t="inlineStr">
        <is>
          <t>LUPO-LEGGING-AZULANIL-M</t>
        </is>
      </c>
      <c r="E795" s="60" t="n">
        <v>18097716530</v>
      </c>
      <c r="F795" s="60" t="n">
        <v>109864678571</v>
      </c>
      <c r="G795" s="60" t="inlineStr">
        <is>
          <t>NORMAL</t>
        </is>
      </c>
      <c r="H795" s="91" t="n">
        <v>299.9</v>
      </c>
      <c r="I795" s="91" t="n">
        <v>299.9</v>
      </c>
      <c r="J795" s="62" t="inlineStr">
        <is>
          <t>NÃO</t>
        </is>
      </c>
      <c r="K795" s="60" t="inlineStr">
        <is>
          <t> </t>
        </is>
      </c>
      <c r="L795" s="87" t="n">
        <v>299.9</v>
      </c>
      <c r="P795" s="92">
        <f>IF($O795="","",L795-O795-(L795*IF(L795&lt;=79.99,20%,14%)+IF(L795&lt;=79.99,4,IF(L795&lt;=99.99,16,IF(L795&lt;=199.99,20,IF(L795&lt;=499.99,26,28)))))-L795*1.3%-L795*6%-(L795-O795)*9.25%-L795*3%-L795*3%-1)</f>
        <v/>
      </c>
      <c r="Q795" s="60" t="inlineStr">
        <is>
          <t> </t>
        </is>
      </c>
      <c r="R795" s="60" t="inlineStr">
        <is>
          <t> </t>
        </is>
      </c>
      <c r="S795" s="60" t="inlineStr">
        <is>
          <t> </t>
        </is>
      </c>
      <c r="T795" s="60" t="inlineStr">
        <is>
          <t> </t>
        </is>
      </c>
      <c r="U795" s="60" t="n">
        <v>101313</v>
      </c>
      <c r="W795" t="inlineStr">
        <is>
          <t>sem correspondência</t>
        </is>
      </c>
      <c r="Y795" t="inlineStr"/>
    </row>
    <row r="796" ht="18" customHeight="1">
      <c r="A796" s="54" t="inlineStr">
        <is>
          <t>Donacor</t>
        </is>
      </c>
      <c r="B796" s="54" t="inlineStr">
        <is>
          <t>Calça Legging Lupo Sport Feminina Fitness Academia Original</t>
        </is>
      </c>
      <c r="C796" s="54" t="inlineStr">
        <is>
          <t>Azul Anil,P - 36 a 38</t>
        </is>
      </c>
      <c r="D796" s="54" t="inlineStr">
        <is>
          <t>LUPO-LEGGING-AZULANIL-P</t>
        </is>
      </c>
      <c r="E796" s="54" t="n">
        <v>18097716530</v>
      </c>
      <c r="F796" s="54" t="n">
        <v>109864678570</v>
      </c>
      <c r="G796" s="54" t="inlineStr">
        <is>
          <t>NORMAL</t>
        </is>
      </c>
      <c r="H796" s="86" t="n">
        <v>299.9</v>
      </c>
      <c r="I796" s="86" t="n">
        <v>299.9</v>
      </c>
      <c r="J796" s="69" t="inlineStr">
        <is>
          <t>NÃO</t>
        </is>
      </c>
      <c r="K796" s="54" t="n"/>
      <c r="L796" s="87" t="n">
        <v>299.9</v>
      </c>
      <c r="P796" s="90">
        <f>IF($O796="","",L796-O796-(L796*IF(L796&lt;=79.99,20%,14%)+IF(L796&lt;=79.99,4,IF(L796&lt;=99.99,16,IF(L796&lt;=199.99,20,IF(L796&lt;=499.99,26,28)))))-L796*1.3%-L796*6%-(L796-O796)*9.25%-L796*3%-L796*3%-1)</f>
        <v/>
      </c>
      <c r="Q796" s="54">
        <f>IF(AND(K796&lt;&gt;"",H796&gt;0),(H796-K796)/H796,"")</f>
        <v/>
      </c>
      <c r="R796" s="54" t="n"/>
      <c r="S796" s="54" t="n"/>
      <c r="T796" s="54" t="n"/>
      <c r="U796" s="54" t="n">
        <v>101313</v>
      </c>
      <c r="V796" t="inlineStr">
        <is>
          <t>LUPO-LEGGING-AZULANIL-P</t>
        </is>
      </c>
      <c r="W796" t="inlineStr">
        <is>
          <t>SKU idêntico na Olist · CUSTO ZERADO na Olist (conferido hoje)</t>
        </is>
      </c>
      <c r="Y796" t="inlineStr">
        <is>
          <t>ok</t>
        </is>
      </c>
    </row>
    <row r="797" ht="18" customHeight="1">
      <c r="A797" s="60" t="inlineStr">
        <is>
          <t>Donacor</t>
        </is>
      </c>
      <c r="B797" s="60" t="inlineStr">
        <is>
          <t>Calça Legging Lupo Sport Feminina Fitness Academia Original</t>
        </is>
      </c>
      <c r="C797" s="60" t="inlineStr">
        <is>
          <t>Azul Anil,XG - 50 a 52</t>
        </is>
      </c>
      <c r="D797" s="60" t="inlineStr">
        <is>
          <t>LUPO-LEGGING-AZULANIL-XG</t>
        </is>
      </c>
      <c r="E797" s="60" t="n">
        <v>18097716530</v>
      </c>
      <c r="F797" s="60" t="n">
        <v>189175067160</v>
      </c>
      <c r="G797" s="60" t="inlineStr">
        <is>
          <t>NORMAL</t>
        </is>
      </c>
      <c r="H797" s="91" t="n">
        <v>299.9</v>
      </c>
      <c r="I797" s="91" t="n">
        <v>299.9</v>
      </c>
      <c r="J797" s="62" t="inlineStr">
        <is>
          <t>NÃO</t>
        </is>
      </c>
      <c r="K797" s="60" t="inlineStr">
        <is>
          <t> </t>
        </is>
      </c>
      <c r="L797" s="87" t="n">
        <v>299.9</v>
      </c>
      <c r="P797" s="92">
        <f>IF($O797="","",L797-O797-(L797*IF(L797&lt;=79.99,20%,14%)+IF(L797&lt;=79.99,4,IF(L797&lt;=99.99,16,IF(L797&lt;=199.99,20,IF(L797&lt;=499.99,26,28)))))-L797*1.3%-L797*6%-(L797-O797)*9.25%-L797*3%-L797*3%-1)</f>
        <v/>
      </c>
      <c r="Q797" s="60" t="inlineStr">
        <is>
          <t> </t>
        </is>
      </c>
      <c r="R797" s="60" t="inlineStr">
        <is>
          <t> </t>
        </is>
      </c>
      <c r="S797" s="60" t="inlineStr">
        <is>
          <t> </t>
        </is>
      </c>
      <c r="T797" s="60" t="inlineStr">
        <is>
          <t> </t>
        </is>
      </c>
      <c r="U797" s="60" t="n">
        <v>101313</v>
      </c>
      <c r="W797" t="inlineStr">
        <is>
          <t>sem correspondência</t>
        </is>
      </c>
      <c r="Y797" t="inlineStr"/>
    </row>
    <row r="798" ht="18" customHeight="1">
      <c r="A798" s="54" t="inlineStr">
        <is>
          <t>Donacor</t>
        </is>
      </c>
      <c r="B798" s="54" t="inlineStr">
        <is>
          <t>Calça Legging Lupo Sport Feminina Fitness Academia Original</t>
        </is>
      </c>
      <c r="C798" s="54" t="inlineStr">
        <is>
          <t>Blush,G - 44 a 46</t>
        </is>
      </c>
      <c r="D798" s="54" t="inlineStr">
        <is>
          <t>LUPO-LEGGING-G-BLUSH</t>
        </is>
      </c>
      <c r="E798" s="54" t="n">
        <v>18097716530</v>
      </c>
      <c r="F798" s="54" t="n">
        <v>355554896195</v>
      </c>
      <c r="G798" s="54" t="inlineStr">
        <is>
          <t>NORMAL</t>
        </is>
      </c>
      <c r="H798" s="86" t="n">
        <v>299.9</v>
      </c>
      <c r="I798" s="86" t="n">
        <v>169.9</v>
      </c>
      <c r="J798" s="56" t="inlineStr">
        <is>
          <t>SIM</t>
        </is>
      </c>
      <c r="K798" s="86" t="n">
        <v>169.9</v>
      </c>
      <c r="L798" s="87" t="n">
        <v>169.9</v>
      </c>
      <c r="M798" s="88" t="n">
        <v>1</v>
      </c>
      <c r="N798" s="89" t="n">
        <v>83.06</v>
      </c>
      <c r="O798" s="89">
        <f>ROUND(M798*N798,2)</f>
        <v/>
      </c>
      <c r="P798" s="90">
        <f>IF($O798="","",L798-O798-(L798*IF(L798&lt;=79.99,20%,14%)+IF(L798&lt;=79.99,4,IF(L798&lt;=99.99,16,IF(L798&lt;=199.99,20,IF(L798&lt;=499.99,26,28)))))-L798*1.3%-L798*6%-(L798-O798)*9.25%-L798*3%-L798*3%-1)</f>
        <v/>
      </c>
      <c r="Q798" s="58" t="n">
        <v>0.433</v>
      </c>
      <c r="R798" s="54" t="inlineStr">
        <is>
          <t>488524742865093, 478840979931317</t>
        </is>
      </c>
      <c r="S798" s="59" t="n">
        <v>46248</v>
      </c>
      <c r="T798" s="59" t="n">
        <v>46248.99930555555</v>
      </c>
      <c r="U798" s="54" t="n">
        <v>101313</v>
      </c>
      <c r="V798" t="inlineStr">
        <is>
          <t>215213</t>
        </is>
      </c>
      <c r="W798" t="inlineStr">
        <is>
          <t>venda casada (9 pedidos)</t>
        </is>
      </c>
      <c r="X798" t="n">
        <v>9</v>
      </c>
      <c r="Y798" t="inlineStr">
        <is>
          <t>ok</t>
        </is>
      </c>
    </row>
    <row r="799" ht="18" customHeight="1">
      <c r="A799" s="60" t="inlineStr">
        <is>
          <t>Donacor</t>
        </is>
      </c>
      <c r="B799" s="60" t="inlineStr">
        <is>
          <t>Calça Legging Lupo Sport Feminina Fitness Academia Original</t>
        </is>
      </c>
      <c r="C799" s="60" t="inlineStr">
        <is>
          <t>Blush,GG - 48 a 50</t>
        </is>
      </c>
      <c r="D799" s="60" t="inlineStr">
        <is>
          <t>LUPO-LEGGING-GG-BLUSH</t>
        </is>
      </c>
      <c r="E799" s="60" t="n">
        <v>18097716530</v>
      </c>
      <c r="F799" s="60" t="n">
        <v>355554896196</v>
      </c>
      <c r="G799" s="60" t="inlineStr">
        <is>
          <t>NORMAL</t>
        </is>
      </c>
      <c r="H799" s="91" t="n">
        <v>299.9</v>
      </c>
      <c r="I799" s="91" t="n">
        <v>144.84</v>
      </c>
      <c r="J799" s="65" t="inlineStr">
        <is>
          <t>SIM</t>
        </is>
      </c>
      <c r="K799" s="91" t="n">
        <v>144.84</v>
      </c>
      <c r="L799" s="87" t="n">
        <v>144.84</v>
      </c>
      <c r="M799" s="88" t="n">
        <v>1</v>
      </c>
      <c r="N799" s="89" t="n">
        <v>83.06</v>
      </c>
      <c r="O799" s="89">
        <f>ROUND(M799*N799,2)</f>
        <v/>
      </c>
      <c r="P799" s="92">
        <f>IF($O799="","",L799-O799-(L799*IF(L799&lt;=79.99,20%,14%)+IF(L799&lt;=79.99,4,IF(L799&lt;=99.99,16,IF(L799&lt;=199.99,20,IF(L799&lt;=499.99,26,28)))))-L799*1.3%-L799*6%-(L799-O799)*9.25%-L799*3%-L799*3%-1)</f>
        <v/>
      </c>
      <c r="Q799" s="67" t="n">
        <v>0.517</v>
      </c>
      <c r="R799" s="60" t="n">
        <v>492459130044625</v>
      </c>
      <c r="S799" s="68" t="n">
        <v>46248.47222222222</v>
      </c>
      <c r="T799" s="68" t="n">
        <v>46254.99930555555</v>
      </c>
      <c r="U799" s="60" t="n">
        <v>101313</v>
      </c>
      <c r="V799" t="inlineStr">
        <is>
          <t>215214</t>
        </is>
      </c>
      <c r="W799" t="inlineStr">
        <is>
          <t>venda casada (2 pedidos)</t>
        </is>
      </c>
      <c r="X799" t="n">
        <v>2</v>
      </c>
      <c r="Y799" t="inlineStr">
        <is>
          <t>ok</t>
        </is>
      </c>
    </row>
    <row r="800" ht="18" customHeight="1">
      <c r="A800" s="54" t="inlineStr">
        <is>
          <t>Donacor</t>
        </is>
      </c>
      <c r="B800" s="54" t="inlineStr">
        <is>
          <t>Calça Legging Lupo Sport Feminina Fitness Academia Original</t>
        </is>
      </c>
      <c r="C800" s="54" t="inlineStr">
        <is>
          <t>Blush,M - 40 a 42</t>
        </is>
      </c>
      <c r="D800" s="54" t="inlineStr">
        <is>
          <t>LUPO-LEGGING-M-BLUSH</t>
        </is>
      </c>
      <c r="E800" s="54" t="n">
        <v>18097716530</v>
      </c>
      <c r="F800" s="54" t="n">
        <v>355554896194</v>
      </c>
      <c r="G800" s="54" t="inlineStr">
        <is>
          <t>NORMAL</t>
        </is>
      </c>
      <c r="H800" s="86" t="n">
        <v>299.9</v>
      </c>
      <c r="I800" s="86" t="n">
        <v>174.9</v>
      </c>
      <c r="J800" s="56" t="inlineStr">
        <is>
          <t>SIM</t>
        </is>
      </c>
      <c r="K800" s="86" t="n">
        <v>174.9</v>
      </c>
      <c r="L800" s="87" t="n">
        <v>169.9</v>
      </c>
      <c r="M800" s="88" t="n">
        <v>1</v>
      </c>
      <c r="N800" s="89" t="n">
        <v>83.06</v>
      </c>
      <c r="O800" s="89">
        <f>ROUND(M800*N800,2)</f>
        <v/>
      </c>
      <c r="P800" s="90">
        <f>IF($O800="","",L800-O800-(L800*IF(L800&lt;=79.99,20%,14%)+IF(L800&lt;=79.99,4,IF(L800&lt;=99.99,16,IF(L800&lt;=199.99,20,IF(L800&lt;=499.99,26,28)))))-L800*1.3%-L800*6%-(L800-O800)*9.25%-L800*3%-L800*3%-1)</f>
        <v/>
      </c>
      <c r="Q800" s="58" t="n">
        <v>0.433</v>
      </c>
      <c r="R800" s="54" t="n">
        <v>478840979931317</v>
      </c>
      <c r="S800" s="59" t="n">
        <v>46248</v>
      </c>
      <c r="T800" s="59" t="n">
        <v>46248.99930555555</v>
      </c>
      <c r="U800" s="54" t="n">
        <v>101313</v>
      </c>
      <c r="V800" t="inlineStr">
        <is>
          <t>215212</t>
        </is>
      </c>
      <c r="W800" t="inlineStr">
        <is>
          <t>venda casada (32 pedidos)</t>
        </is>
      </c>
      <c r="X800" t="n">
        <v>32</v>
      </c>
      <c r="Y800" t="inlineStr">
        <is>
          <t>ok</t>
        </is>
      </c>
    </row>
    <row r="801" ht="18" customHeight="1">
      <c r="A801" s="60" t="inlineStr">
        <is>
          <t>Donacor</t>
        </is>
      </c>
      <c r="B801" s="60" t="inlineStr">
        <is>
          <t>Calça Legging Lupo Sport Feminina Fitness Academia Original</t>
        </is>
      </c>
      <c r="C801" s="60" t="inlineStr">
        <is>
          <t>Blush,P - 36 a 38</t>
        </is>
      </c>
      <c r="D801" s="60" t="inlineStr">
        <is>
          <t>LUPO-LEGGING-P-BLUSH</t>
        </is>
      </c>
      <c r="E801" s="60" t="n">
        <v>18097716530</v>
      </c>
      <c r="F801" s="60" t="n">
        <v>355554896193</v>
      </c>
      <c r="G801" s="60" t="inlineStr">
        <is>
          <t>NORMAL</t>
        </is>
      </c>
      <c r="H801" s="91" t="n">
        <v>299.9</v>
      </c>
      <c r="I801" s="91" t="n">
        <v>169.9</v>
      </c>
      <c r="J801" s="65" t="inlineStr">
        <is>
          <t>SIM</t>
        </is>
      </c>
      <c r="K801" s="91" t="n">
        <v>169.9</v>
      </c>
      <c r="L801" s="87" t="n">
        <v>169.9</v>
      </c>
      <c r="M801" s="88" t="n">
        <v>1</v>
      </c>
      <c r="N801" s="89" t="n">
        <v>83.06</v>
      </c>
      <c r="O801" s="89">
        <f>ROUND(M801*N801,2)</f>
        <v/>
      </c>
      <c r="P801" s="92">
        <f>IF($O801="","",L801-O801-(L801*IF(L801&lt;=79.99,20%,14%)+IF(L801&lt;=79.99,4,IF(L801&lt;=99.99,16,IF(L801&lt;=199.99,20,IF(L801&lt;=499.99,26,28)))))-L801*1.3%-L801*6%-(L801-O801)*9.25%-L801*3%-L801*3%-1)</f>
        <v/>
      </c>
      <c r="Q801" s="67" t="n">
        <v>0.433</v>
      </c>
      <c r="R801" s="60" t="inlineStr">
        <is>
          <t>488524742865093, 478840979931317</t>
        </is>
      </c>
      <c r="S801" s="68" t="n">
        <v>46248</v>
      </c>
      <c r="T801" s="68" t="n">
        <v>46248.99930555555</v>
      </c>
      <c r="U801" s="60" t="n">
        <v>101313</v>
      </c>
      <c r="V801" t="inlineStr">
        <is>
          <t>215211</t>
        </is>
      </c>
      <c r="W801" t="inlineStr">
        <is>
          <t>venda casada (26 pedidos)</t>
        </is>
      </c>
      <c r="X801" t="n">
        <v>26</v>
      </c>
      <c r="Y801" t="inlineStr">
        <is>
          <t>ok</t>
        </is>
      </c>
    </row>
    <row r="802" ht="18" customHeight="1">
      <c r="A802" s="54" t="inlineStr">
        <is>
          <t>Donacor</t>
        </is>
      </c>
      <c r="B802" s="54" t="inlineStr">
        <is>
          <t>Calça Legging Lupo Sport Feminina Fitness Academia Original</t>
        </is>
      </c>
      <c r="C802" s="54" t="inlineStr">
        <is>
          <t>Blush,XG - 50 a 52</t>
        </is>
      </c>
      <c r="D802" s="54" t="inlineStr">
        <is>
          <t>LUPO-LEGGING-XG-BLUSH</t>
        </is>
      </c>
      <c r="E802" s="54" t="n">
        <v>18097716530</v>
      </c>
      <c r="F802" s="54" t="n">
        <v>355554896197</v>
      </c>
      <c r="G802" s="54" t="inlineStr">
        <is>
          <t>NORMAL</t>
        </is>
      </c>
      <c r="H802" s="86" t="n">
        <v>299.9</v>
      </c>
      <c r="I802" s="86" t="n">
        <v>146.97</v>
      </c>
      <c r="J802" s="56" t="inlineStr">
        <is>
          <t>SIM</t>
        </is>
      </c>
      <c r="K802" s="86" t="n">
        <v>146.97</v>
      </c>
      <c r="L802" s="87" t="n">
        <v>146.97</v>
      </c>
      <c r="M802" s="88" t="n">
        <v>1</v>
      </c>
      <c r="N802" s="89" t="n">
        <v>83.06</v>
      </c>
      <c r="O802" s="89">
        <f>ROUND(M802*N802,2)</f>
        <v/>
      </c>
      <c r="P802" s="90">
        <f>IF($O802="","",L802-O802-(L802*IF(L802&lt;=79.99,20%,14%)+IF(L802&lt;=79.99,4,IF(L802&lt;=99.99,16,IF(L802&lt;=199.99,20,IF(L802&lt;=499.99,26,28)))))-L802*1.3%-L802*6%-(L802-O802)*9.25%-L802*3%-L802*3%-1)</f>
        <v/>
      </c>
      <c r="Q802" s="58" t="n">
        <v>0.51</v>
      </c>
      <c r="R802" s="54" t="n">
        <v>478840979931317</v>
      </c>
      <c r="S802" s="59" t="n">
        <v>46248</v>
      </c>
      <c r="T802" s="59" t="n">
        <v>46248.99930555555</v>
      </c>
      <c r="U802" s="54" t="n">
        <v>101313</v>
      </c>
      <c r="V802" t="inlineStr">
        <is>
          <t>215215</t>
        </is>
      </c>
      <c r="W802" t="inlineStr">
        <is>
          <t>venda casada (1 pedido)</t>
        </is>
      </c>
      <c r="X802" t="n">
        <v>1</v>
      </c>
      <c r="Y802" t="inlineStr">
        <is>
          <t>⚠ evidência fraca (1 pedido)</t>
        </is>
      </c>
    </row>
    <row r="803" ht="18" customHeight="1">
      <c r="A803" s="60" t="inlineStr">
        <is>
          <t>Donacor</t>
        </is>
      </c>
      <c r="B803" s="60" t="inlineStr">
        <is>
          <t>Calça Legging Lupo Sport Feminina Fitness Academia Original</t>
        </is>
      </c>
      <c r="C803" s="60" t="inlineStr">
        <is>
          <t>Castanho,G - 44 a 46</t>
        </is>
      </c>
      <c r="D803" s="60" t="inlineStr">
        <is>
          <t>LUPO-LEGGING-G-CASTANHO</t>
        </is>
      </c>
      <c r="E803" s="60" t="n">
        <v>18097716530</v>
      </c>
      <c r="F803" s="60" t="n">
        <v>287453742446</v>
      </c>
      <c r="G803" s="60" t="inlineStr">
        <is>
          <t>NORMAL</t>
        </is>
      </c>
      <c r="H803" s="91" t="n">
        <v>299.9</v>
      </c>
      <c r="I803" s="91" t="n">
        <v>174.9</v>
      </c>
      <c r="J803" s="65" t="inlineStr">
        <is>
          <t>SIM</t>
        </is>
      </c>
      <c r="K803" s="91" t="n">
        <v>174.9</v>
      </c>
      <c r="L803" s="87" t="n">
        <v>174.9</v>
      </c>
      <c r="M803" s="88" t="n">
        <v>1</v>
      </c>
      <c r="N803" s="89" t="n">
        <v>83.06</v>
      </c>
      <c r="O803" s="89">
        <f>ROUND(M803*N803,2)</f>
        <v/>
      </c>
      <c r="P803" s="92">
        <f>IF($O803="","",L803-O803-(L803*IF(L803&lt;=79.99,20%,14%)+IF(L803&lt;=79.99,4,IF(L803&lt;=99.99,16,IF(L803&lt;=199.99,20,IF(L803&lt;=499.99,26,28)))))-L803*1.3%-L803*6%-(L803-O803)*9.25%-L803*3%-L803*3%-1)</f>
        <v/>
      </c>
      <c r="Q803" s="67" t="n">
        <v>0.417</v>
      </c>
      <c r="R803" s="60" t="n">
        <v>484945860710786</v>
      </c>
      <c r="S803" s="68" t="n">
        <v>46227.73958333334</v>
      </c>
      <c r="T803" s="68" t="n">
        <v>46405.45833333334</v>
      </c>
      <c r="U803" s="60" t="n">
        <v>101313</v>
      </c>
      <c r="V803" t="inlineStr">
        <is>
          <t>215260</t>
        </is>
      </c>
      <c r="W803" t="inlineStr">
        <is>
          <t>venda casada (10 pedidos)</t>
        </is>
      </c>
      <c r="X803" t="n">
        <v>10</v>
      </c>
      <c r="Y803" t="inlineStr">
        <is>
          <t>ok</t>
        </is>
      </c>
    </row>
    <row r="804" ht="18" customHeight="1">
      <c r="A804" s="54" t="inlineStr">
        <is>
          <t>Donacor</t>
        </is>
      </c>
      <c r="B804" s="54" t="inlineStr">
        <is>
          <t>Calça Legging Lupo Sport Feminina Fitness Academia Original</t>
        </is>
      </c>
      <c r="C804" s="54" t="inlineStr">
        <is>
          <t>Castanho,GG - 48 a 50</t>
        </is>
      </c>
      <c r="D804" s="54" t="inlineStr">
        <is>
          <t>LUPO-LEGGING-GG-CASTANHO</t>
        </is>
      </c>
      <c r="E804" s="54" t="n">
        <v>18097716530</v>
      </c>
      <c r="F804" s="54" t="n">
        <v>287453742447</v>
      </c>
      <c r="G804" s="54" t="inlineStr">
        <is>
          <t>NORMAL</t>
        </is>
      </c>
      <c r="H804" s="86" t="n">
        <v>299.9</v>
      </c>
      <c r="I804" s="86" t="n">
        <v>174.9</v>
      </c>
      <c r="J804" s="56" t="inlineStr">
        <is>
          <t>SIM</t>
        </is>
      </c>
      <c r="K804" s="86" t="n">
        <v>174.9</v>
      </c>
      <c r="L804" s="87" t="n">
        <v>174.9</v>
      </c>
      <c r="M804" s="88" t="n">
        <v>1</v>
      </c>
      <c r="N804" s="89" t="n">
        <v>83.06</v>
      </c>
      <c r="O804" s="89">
        <f>ROUND(M804*N804,2)</f>
        <v/>
      </c>
      <c r="P804" s="90">
        <f>IF($O804="","",L804-O804-(L804*IF(L804&lt;=79.99,20%,14%)+IF(L804&lt;=79.99,4,IF(L804&lt;=99.99,16,IF(L804&lt;=199.99,20,IF(L804&lt;=499.99,26,28)))))-L804*1.3%-L804*6%-(L804-O804)*9.25%-L804*3%-L804*3%-1)</f>
        <v/>
      </c>
      <c r="Q804" s="58" t="n">
        <v>0.417</v>
      </c>
      <c r="R804" s="54" t="n">
        <v>484945860710786</v>
      </c>
      <c r="S804" s="59" t="n">
        <v>46227.73958333334</v>
      </c>
      <c r="T804" s="59" t="n">
        <v>46405.45833333334</v>
      </c>
      <c r="U804" s="54" t="n">
        <v>101313</v>
      </c>
      <c r="V804" t="inlineStr">
        <is>
          <t>215261</t>
        </is>
      </c>
      <c r="W804" t="inlineStr">
        <is>
          <t>venda casada (3 pedidos)</t>
        </is>
      </c>
      <c r="X804" t="n">
        <v>3</v>
      </c>
      <c r="Y804" t="inlineStr">
        <is>
          <t>ok</t>
        </is>
      </c>
    </row>
    <row r="805" ht="18" customHeight="1">
      <c r="A805" s="60" t="inlineStr">
        <is>
          <t>Donacor</t>
        </is>
      </c>
      <c r="B805" s="60" t="inlineStr">
        <is>
          <t>Calça Legging Lupo Sport Feminina Fitness Academia Original</t>
        </is>
      </c>
      <c r="C805" s="60" t="inlineStr">
        <is>
          <t>Castanho,M - 40 a 42</t>
        </is>
      </c>
      <c r="D805" s="60" t="inlineStr">
        <is>
          <t>LUPO-LEGGING-M-CASTANHO</t>
        </is>
      </c>
      <c r="E805" s="60" t="n">
        <v>18097716530</v>
      </c>
      <c r="F805" s="60" t="n">
        <v>287453742445</v>
      </c>
      <c r="G805" s="60" t="inlineStr">
        <is>
          <t>NORMAL</t>
        </is>
      </c>
      <c r="H805" s="91" t="n">
        <v>299.9</v>
      </c>
      <c r="I805" s="91" t="n">
        <v>299.9</v>
      </c>
      <c r="J805" s="62" t="inlineStr">
        <is>
          <t>NÃO</t>
        </is>
      </c>
      <c r="K805" s="60" t="inlineStr">
        <is>
          <t> </t>
        </is>
      </c>
      <c r="L805" s="87" t="n">
        <v>299.9</v>
      </c>
      <c r="M805" s="88" t="n">
        <v>1</v>
      </c>
      <c r="N805" s="89" t="n">
        <v>83.06</v>
      </c>
      <c r="O805" s="89">
        <f>ROUND(M805*N805,2)</f>
        <v/>
      </c>
      <c r="P805" s="92">
        <f>IF($O805="","",L805-O805-(L805*IF(L805&lt;=79.99,20%,14%)+IF(L805&lt;=79.99,4,IF(L805&lt;=99.99,16,IF(L805&lt;=199.99,20,IF(L805&lt;=499.99,26,28)))))-L805*1.3%-L805*6%-(L805-O805)*9.25%-L805*3%-L805*3%-1)</f>
        <v/>
      </c>
      <c r="Q805" s="60" t="inlineStr">
        <is>
          <t> </t>
        </is>
      </c>
      <c r="R805" s="60" t="inlineStr">
        <is>
          <t> </t>
        </is>
      </c>
      <c r="S805" s="60" t="inlineStr">
        <is>
          <t> </t>
        </is>
      </c>
      <c r="T805" s="60" t="inlineStr">
        <is>
          <t> </t>
        </is>
      </c>
      <c r="U805" s="60" t="n">
        <v>101313</v>
      </c>
      <c r="V805" t="inlineStr">
        <is>
          <t>215259</t>
        </is>
      </c>
      <c r="W805" t="inlineStr">
        <is>
          <t>venda casada (1 pedido)</t>
        </is>
      </c>
      <c r="X805" t="n">
        <v>1</v>
      </c>
      <c r="Y805" t="inlineStr">
        <is>
          <t>⚠ evidência fraca (1 pedido)</t>
        </is>
      </c>
    </row>
    <row r="806" ht="18" customHeight="1">
      <c r="A806" s="54" t="inlineStr">
        <is>
          <t>Donacor</t>
        </is>
      </c>
      <c r="B806" s="54" t="inlineStr">
        <is>
          <t>Calça Legging Lupo Sport Feminina Fitness Academia Original</t>
        </is>
      </c>
      <c r="C806" s="54" t="inlineStr">
        <is>
          <t>Castanho,P - 36 a 38</t>
        </is>
      </c>
      <c r="D806" s="54" t="inlineStr">
        <is>
          <t>LUPO-LEGGING-P-CASTANHO</t>
        </is>
      </c>
      <c r="E806" s="54" t="n">
        <v>18097716530</v>
      </c>
      <c r="F806" s="54" t="n">
        <v>287453742444</v>
      </c>
      <c r="G806" s="54" t="inlineStr">
        <is>
          <t>NORMAL</t>
        </is>
      </c>
      <c r="H806" s="86" t="n">
        <v>299.9</v>
      </c>
      <c r="I806" s="86" t="n">
        <v>299.9</v>
      </c>
      <c r="J806" s="69" t="inlineStr">
        <is>
          <t>NÃO</t>
        </is>
      </c>
      <c r="K806" s="54" t="n"/>
      <c r="L806" s="87" t="n">
        <v>299.9</v>
      </c>
      <c r="M806" s="88" t="n">
        <v>1</v>
      </c>
      <c r="N806" s="89" t="n">
        <v>83.06</v>
      </c>
      <c r="O806" s="89">
        <f>ROUND(M806*N806,2)</f>
        <v/>
      </c>
      <c r="P806" s="90">
        <f>IF($O806="","",L806-O806-(L806*IF(L806&lt;=79.99,20%,14%)+IF(L806&lt;=79.99,4,IF(L806&lt;=99.99,16,IF(L806&lt;=199.99,20,IF(L806&lt;=499.99,26,28)))))-L806*1.3%-L806*6%-(L806-O806)*9.25%-L806*3%-L806*3%-1)</f>
        <v/>
      </c>
      <c r="Q806" s="54">
        <f>IF(AND(K806&lt;&gt;"",H806&gt;0),(H806-K806)/H806,"")</f>
        <v/>
      </c>
      <c r="R806" s="54" t="n"/>
      <c r="S806" s="54" t="n"/>
      <c r="T806" s="54" t="n"/>
      <c r="U806" s="54" t="n">
        <v>101313</v>
      </c>
      <c r="V806" t="inlineStr">
        <is>
          <t>215258</t>
        </is>
      </c>
      <c r="W806" t="inlineStr">
        <is>
          <t>venda casada (9 pedidos)</t>
        </is>
      </c>
      <c r="X806" t="n">
        <v>9</v>
      </c>
      <c r="Y806" t="inlineStr">
        <is>
          <t>ok</t>
        </is>
      </c>
    </row>
    <row r="807" ht="18" customHeight="1">
      <c r="A807" s="60" t="inlineStr">
        <is>
          <t>Donacor</t>
        </is>
      </c>
      <c r="B807" s="60" t="inlineStr">
        <is>
          <t>Calça Legging Lupo Sport Feminina Fitness Academia Original</t>
        </is>
      </c>
      <c r="C807" s="60" t="inlineStr">
        <is>
          <t>Castanho,XG - 50 a 52</t>
        </is>
      </c>
      <c r="D807" s="60" t="inlineStr">
        <is>
          <t>LUPO-LEGGING-XG-CASTANHO</t>
        </is>
      </c>
      <c r="E807" s="60" t="n">
        <v>18097716530</v>
      </c>
      <c r="F807" s="60" t="n">
        <v>287453742448</v>
      </c>
      <c r="G807" s="60" t="inlineStr">
        <is>
          <t>NORMAL</t>
        </is>
      </c>
      <c r="H807" s="91" t="n">
        <v>299.9</v>
      </c>
      <c r="I807" s="91" t="n">
        <v>169.9</v>
      </c>
      <c r="J807" s="65" t="inlineStr">
        <is>
          <t>SIM</t>
        </is>
      </c>
      <c r="K807" s="91" t="n">
        <v>169.9</v>
      </c>
      <c r="L807" s="87" t="n">
        <v>169.9</v>
      </c>
      <c r="M807" s="88" t="n">
        <v>1</v>
      </c>
      <c r="N807" s="89" t="n">
        <v>83.06</v>
      </c>
      <c r="O807" s="89">
        <f>ROUND(M807*N807,2)</f>
        <v/>
      </c>
      <c r="P807" s="92">
        <f>IF($O807="","",L807-O807-(L807*IF(L807&lt;=79.99,20%,14%)+IF(L807&lt;=79.99,4,IF(L807&lt;=99.99,16,IF(L807&lt;=199.99,20,IF(L807&lt;=499.99,26,28)))))-L807*1.3%-L807*6%-(L807-O807)*9.25%-L807*3%-L807*3%-1)</f>
        <v/>
      </c>
      <c r="Q807" s="67" t="n">
        <v>0.433</v>
      </c>
      <c r="R807" s="60" t="n">
        <v>478840979931317</v>
      </c>
      <c r="S807" s="68" t="n">
        <v>46248</v>
      </c>
      <c r="T807" s="68" t="n">
        <v>46248.99930555555</v>
      </c>
      <c r="U807" s="60" t="n">
        <v>101313</v>
      </c>
      <c r="V807" t="inlineStr">
        <is>
          <t>215262</t>
        </is>
      </c>
      <c r="W807" t="inlineStr">
        <is>
          <t>venda casada (2 pedidos)</t>
        </is>
      </c>
      <c r="X807" t="n">
        <v>2</v>
      </c>
      <c r="Y807" t="inlineStr">
        <is>
          <t>ok</t>
        </is>
      </c>
    </row>
    <row r="808" ht="18" customHeight="1">
      <c r="A808" s="54" t="inlineStr">
        <is>
          <t>Donacor</t>
        </is>
      </c>
      <c r="B808" s="54" t="inlineStr">
        <is>
          <t>Calça Legging Lupo Sport Feminina Fitness Academia Original</t>
        </is>
      </c>
      <c r="C808" s="54" t="inlineStr">
        <is>
          <t>Chocolate,G - 44 a 46</t>
        </is>
      </c>
      <c r="D808" s="54" t="inlineStr">
        <is>
          <t>LUPO-LEGGING-G-CHOCOLATE</t>
        </is>
      </c>
      <c r="E808" s="54" t="n">
        <v>18097716530</v>
      </c>
      <c r="F808" s="54" t="n">
        <v>189175067162</v>
      </c>
      <c r="G808" s="54" t="inlineStr">
        <is>
          <t>NORMAL</t>
        </is>
      </c>
      <c r="H808" s="86" t="n">
        <v>299.9</v>
      </c>
      <c r="I808" s="86" t="n">
        <v>174.9</v>
      </c>
      <c r="J808" s="56" t="inlineStr">
        <is>
          <t>SIM</t>
        </is>
      </c>
      <c r="K808" s="86" t="n">
        <v>174.9</v>
      </c>
      <c r="L808" s="87" t="n">
        <v>174.9</v>
      </c>
      <c r="M808" s="88" t="n">
        <v>1</v>
      </c>
      <c r="N808" s="89" t="n">
        <v>83.06</v>
      </c>
      <c r="O808" s="89">
        <f>ROUND(M808*N808,2)</f>
        <v/>
      </c>
      <c r="P808" s="90">
        <f>IF($O808="","",L808-O808-(L808*IF(L808&lt;=79.99,20%,14%)+IF(L808&lt;=79.99,4,IF(L808&lt;=99.99,16,IF(L808&lt;=199.99,20,IF(L808&lt;=499.99,26,28)))))-L808*1.3%-L808*6%-(L808-O808)*9.25%-L808*3%-L808*3%-1)</f>
        <v/>
      </c>
      <c r="Q808" s="58" t="n">
        <v>0.417</v>
      </c>
      <c r="R808" s="54" t="n">
        <v>484945860710786</v>
      </c>
      <c r="S808" s="59" t="n">
        <v>46227.73958333334</v>
      </c>
      <c r="T808" s="59" t="n">
        <v>46405.45833333334</v>
      </c>
      <c r="U808" s="54" t="n">
        <v>101313</v>
      </c>
      <c r="V808" t="inlineStr">
        <is>
          <t>214292</t>
        </is>
      </c>
      <c r="W808" t="inlineStr">
        <is>
          <t>venda casada (1 pedido)</t>
        </is>
      </c>
      <c r="X808" t="n">
        <v>1</v>
      </c>
      <c r="Y808" t="inlineStr">
        <is>
          <t>⚠ evidência fraca (1 pedido)</t>
        </is>
      </c>
    </row>
    <row r="809" ht="18" customHeight="1">
      <c r="A809" s="60" t="inlineStr">
        <is>
          <t>Donacor</t>
        </is>
      </c>
      <c r="B809" s="60" t="inlineStr">
        <is>
          <t>Calça Legging Lupo Sport Feminina Fitness Academia Original</t>
        </is>
      </c>
      <c r="C809" s="60" t="inlineStr">
        <is>
          <t>Chocolate,GG - 48 a 50</t>
        </is>
      </c>
      <c r="D809" s="60" t="inlineStr">
        <is>
          <t>LUPO-LEGGING-GG-CHOCOLATE</t>
        </is>
      </c>
      <c r="E809" s="60" t="n">
        <v>18097716530</v>
      </c>
      <c r="F809" s="60" t="n">
        <v>189175067175</v>
      </c>
      <c r="G809" s="60" t="inlineStr">
        <is>
          <t>NORMAL</t>
        </is>
      </c>
      <c r="H809" s="91" t="n">
        <v>299.9</v>
      </c>
      <c r="I809" s="91" t="n">
        <v>174.9</v>
      </c>
      <c r="J809" s="65" t="inlineStr">
        <is>
          <t>SIM</t>
        </is>
      </c>
      <c r="K809" s="91" t="n">
        <v>174.9</v>
      </c>
      <c r="L809" s="87" t="n">
        <v>174.9</v>
      </c>
      <c r="P809" s="92">
        <f>IF($O809="","",L809-O809-(L809*IF(L809&lt;=79.99,20%,14%)+IF(L809&lt;=79.99,4,IF(L809&lt;=99.99,16,IF(L809&lt;=199.99,20,IF(L809&lt;=499.99,26,28)))))-L809*1.3%-L809*6%-(L809-O809)*9.25%-L809*3%-L809*3%-1)</f>
        <v/>
      </c>
      <c r="Q809" s="67" t="n">
        <v>0.417</v>
      </c>
      <c r="R809" s="60" t="n">
        <v>484945860710786</v>
      </c>
      <c r="S809" s="68" t="n">
        <v>46227.73958333334</v>
      </c>
      <c r="T809" s="68" t="n">
        <v>46405.45833333334</v>
      </c>
      <c r="U809" s="60" t="n">
        <v>101313</v>
      </c>
      <c r="V809" t="inlineStr">
        <is>
          <t>LUPO-LEGGING-GG-CHOCOLATE</t>
        </is>
      </c>
      <c r="W809" t="inlineStr">
        <is>
          <t>SKU idêntico na Olist · CUSTO ZERADO na Olist (conferido hoje)</t>
        </is>
      </c>
      <c r="Y809" t="inlineStr">
        <is>
          <t>ok</t>
        </is>
      </c>
    </row>
    <row r="810" ht="18" customHeight="1">
      <c r="A810" s="54" t="inlineStr">
        <is>
          <t>Donacor</t>
        </is>
      </c>
      <c r="B810" s="54" t="inlineStr">
        <is>
          <t>Calça Legging Lupo Sport Feminina Fitness Academia Original</t>
        </is>
      </c>
      <c r="C810" s="54" t="inlineStr">
        <is>
          <t>Chocolate,M - 40 a 42</t>
        </is>
      </c>
      <c r="D810" s="54" t="inlineStr">
        <is>
          <t>LUPO-LEGGING-M-CHOCOLATE</t>
        </is>
      </c>
      <c r="E810" s="54" t="n">
        <v>18097716530</v>
      </c>
      <c r="F810" s="54" t="n">
        <v>189175067159</v>
      </c>
      <c r="G810" s="54" t="inlineStr">
        <is>
          <t>NORMAL</t>
        </is>
      </c>
      <c r="H810" s="86" t="n">
        <v>299.9</v>
      </c>
      <c r="I810" s="86" t="n">
        <v>174.9</v>
      </c>
      <c r="J810" s="56" t="inlineStr">
        <is>
          <t>SIM</t>
        </is>
      </c>
      <c r="K810" s="86" t="n">
        <v>174.9</v>
      </c>
      <c r="L810" s="87" t="n">
        <v>174.9</v>
      </c>
      <c r="M810" s="88" t="n">
        <v>1</v>
      </c>
      <c r="N810" s="89" t="n">
        <v>83.06</v>
      </c>
      <c r="O810" s="89">
        <f>ROUND(M810*N810,2)</f>
        <v/>
      </c>
      <c r="P810" s="90">
        <f>IF($O810="","",L810-O810-(L810*IF(L810&lt;=79.99,20%,14%)+IF(L810&lt;=79.99,4,IF(L810&lt;=99.99,16,IF(L810&lt;=199.99,20,IF(L810&lt;=499.99,26,28)))))-L810*1.3%-L810*6%-(L810-O810)*9.25%-L810*3%-L810*3%-1)</f>
        <v/>
      </c>
      <c r="Q810" s="58" t="n">
        <v>0.417</v>
      </c>
      <c r="R810" s="54" t="n">
        <v>484945860710786</v>
      </c>
      <c r="S810" s="59" t="n">
        <v>46227.73958333334</v>
      </c>
      <c r="T810" s="59" t="n">
        <v>46405.45833333334</v>
      </c>
      <c r="U810" s="54" t="n">
        <v>101313</v>
      </c>
      <c r="V810" t="inlineStr">
        <is>
          <t>214276</t>
        </is>
      </c>
      <c r="W810" t="inlineStr">
        <is>
          <t>venda casada (7 pedidos)</t>
        </is>
      </c>
      <c r="X810" t="n">
        <v>7</v>
      </c>
      <c r="Y810" t="inlineStr">
        <is>
          <t>ok</t>
        </is>
      </c>
    </row>
    <row r="811" ht="18" customHeight="1">
      <c r="A811" s="60" t="inlineStr">
        <is>
          <t>Donacor</t>
        </is>
      </c>
      <c r="B811" s="60" t="inlineStr">
        <is>
          <t>Calça Legging Lupo Sport Feminina Fitness Academia Original</t>
        </is>
      </c>
      <c r="C811" s="60" t="inlineStr">
        <is>
          <t>Chocolate,P - 36 a 38</t>
        </is>
      </c>
      <c r="D811" s="60" t="inlineStr">
        <is>
          <t>LUPO-LEGGING-P-CHOCOLATE</t>
        </is>
      </c>
      <c r="E811" s="60" t="n">
        <v>18097716530</v>
      </c>
      <c r="F811" s="60" t="n">
        <v>189175067161</v>
      </c>
      <c r="G811" s="60" t="inlineStr">
        <is>
          <t>NORMAL</t>
        </is>
      </c>
      <c r="H811" s="91" t="n">
        <v>299.9</v>
      </c>
      <c r="I811" s="91" t="n">
        <v>174.9</v>
      </c>
      <c r="J811" s="65" t="inlineStr">
        <is>
          <t>SIM</t>
        </is>
      </c>
      <c r="K811" s="91" t="n">
        <v>174.9</v>
      </c>
      <c r="L811" s="87" t="n">
        <v>174.9</v>
      </c>
      <c r="M811" s="88" t="n">
        <v>1</v>
      </c>
      <c r="N811" s="89" t="n">
        <v>83.06</v>
      </c>
      <c r="O811" s="89">
        <f>ROUND(M811*N811,2)</f>
        <v/>
      </c>
      <c r="P811" s="92">
        <f>IF($O811="","",L811-O811-(L811*IF(L811&lt;=79.99,20%,14%)+IF(L811&lt;=79.99,4,IF(L811&lt;=99.99,16,IF(L811&lt;=199.99,20,IF(L811&lt;=499.99,26,28)))))-L811*1.3%-L811*6%-(L811-O811)*9.25%-L811*3%-L811*3%-1)</f>
        <v/>
      </c>
      <c r="Q811" s="67" t="n">
        <v>0.417</v>
      </c>
      <c r="R811" s="60" t="n">
        <v>484945860710786</v>
      </c>
      <c r="S811" s="68" t="n">
        <v>46227.73958333334</v>
      </c>
      <c r="T811" s="68" t="n">
        <v>46405.45833333334</v>
      </c>
      <c r="U811" s="60" t="n">
        <v>101313</v>
      </c>
      <c r="V811" t="inlineStr">
        <is>
          <t>214260</t>
        </is>
      </c>
      <c r="W811" t="inlineStr">
        <is>
          <t>venda casada (7 pedidos)</t>
        </is>
      </c>
      <c r="X811" t="n">
        <v>7</v>
      </c>
      <c r="Y811" t="inlineStr">
        <is>
          <t>ok</t>
        </is>
      </c>
    </row>
    <row r="812" ht="18" customHeight="1">
      <c r="A812" s="54" t="inlineStr">
        <is>
          <t>Donacor</t>
        </is>
      </c>
      <c r="B812" s="54" t="inlineStr">
        <is>
          <t>Calça Legging Lupo Sport Feminina Fitness Academia Original</t>
        </is>
      </c>
      <c r="C812" s="54" t="inlineStr">
        <is>
          <t>Chocolate,XG - 50 a 52</t>
        </is>
      </c>
      <c r="D812" s="54" t="inlineStr">
        <is>
          <t>LUPO-LEGGING-XG-CHOCOLATE</t>
        </is>
      </c>
      <c r="E812" s="54" t="n">
        <v>18097716530</v>
      </c>
      <c r="F812" s="54" t="n">
        <v>189175067163</v>
      </c>
      <c r="G812" s="54" t="inlineStr">
        <is>
          <t>NORMAL</t>
        </is>
      </c>
      <c r="H812" s="86" t="n">
        <v>299.9</v>
      </c>
      <c r="I812" s="86" t="n">
        <v>174.9</v>
      </c>
      <c r="J812" s="56" t="inlineStr">
        <is>
          <t>SIM</t>
        </is>
      </c>
      <c r="K812" s="86" t="n">
        <v>174.9</v>
      </c>
      <c r="L812" s="87" t="n">
        <v>174.9</v>
      </c>
      <c r="P812" s="90">
        <f>IF($O812="","",L812-O812-(L812*IF(L812&lt;=79.99,20%,14%)+IF(L812&lt;=79.99,4,IF(L812&lt;=99.99,16,IF(L812&lt;=199.99,20,IF(L812&lt;=499.99,26,28)))))-L812*1.3%-L812*6%-(L812-O812)*9.25%-L812*3%-L812*3%-1)</f>
        <v/>
      </c>
      <c r="Q812" s="58" t="n">
        <v>0.417</v>
      </c>
      <c r="R812" s="54" t="n">
        <v>484945860710786</v>
      </c>
      <c r="S812" s="59" t="n">
        <v>46227.73958333334</v>
      </c>
      <c r="T812" s="59" t="n">
        <v>46405.45833333334</v>
      </c>
      <c r="U812" s="54" t="n">
        <v>101313</v>
      </c>
      <c r="V812" t="inlineStr">
        <is>
          <t>LUPO-LEGGING-XG-CHOCOLATE</t>
        </is>
      </c>
      <c r="W812" t="inlineStr">
        <is>
          <t>SKU idêntico na Olist · CUSTO ZERADO na Olist (conferido hoje)</t>
        </is>
      </c>
      <c r="Y812" t="inlineStr">
        <is>
          <t>ok</t>
        </is>
      </c>
    </row>
    <row r="813" ht="18" customHeight="1">
      <c r="A813" s="60" t="inlineStr">
        <is>
          <t>Donacor</t>
        </is>
      </c>
      <c r="B813" s="60" t="inlineStr">
        <is>
          <t>Calça Legging Lupo Sport Feminina Fitness Academia Original</t>
        </is>
      </c>
      <c r="C813" s="60" t="inlineStr">
        <is>
          <t>Goiaba,G - 44 a 46</t>
        </is>
      </c>
      <c r="D813" s="60" t="inlineStr">
        <is>
          <t>LUPO-LEGGING-G-GOIABA</t>
        </is>
      </c>
      <c r="E813" s="60" t="n">
        <v>18097716530</v>
      </c>
      <c r="F813" s="60" t="n">
        <v>189175067174</v>
      </c>
      <c r="G813" s="60" t="inlineStr">
        <is>
          <t>NORMAL</t>
        </is>
      </c>
      <c r="H813" s="91" t="n">
        <v>299.9</v>
      </c>
      <c r="I813" s="91" t="n">
        <v>144.84</v>
      </c>
      <c r="J813" s="65" t="inlineStr">
        <is>
          <t>SIM</t>
        </is>
      </c>
      <c r="K813" s="91" t="n">
        <v>144.84</v>
      </c>
      <c r="L813" s="87" t="n">
        <v>144.84</v>
      </c>
      <c r="M813" s="88" t="n">
        <v>1</v>
      </c>
      <c r="N813" s="89" t="n">
        <v>83.06</v>
      </c>
      <c r="O813" s="89">
        <f>ROUND(M813*N813,2)</f>
        <v/>
      </c>
      <c r="P813" s="92">
        <f>IF($O813="","",L813-O813-(L813*IF(L813&lt;=79.99,20%,14%)+IF(L813&lt;=79.99,4,IF(L813&lt;=99.99,16,IF(L813&lt;=199.99,20,IF(L813&lt;=499.99,26,28)))))-L813*1.3%-L813*6%-(L813-O813)*9.25%-L813*3%-L813*3%-1)</f>
        <v/>
      </c>
      <c r="Q813" s="67" t="n">
        <v>0.517</v>
      </c>
      <c r="R813" s="60" t="n">
        <v>492459130044625</v>
      </c>
      <c r="S813" s="68" t="n">
        <v>46248.47222222222</v>
      </c>
      <c r="T813" s="68" t="n">
        <v>46254.99930555555</v>
      </c>
      <c r="U813" s="60" t="n">
        <v>101313</v>
      </c>
      <c r="V813" t="inlineStr">
        <is>
          <t>214304</t>
        </is>
      </c>
      <c r="W813" t="inlineStr">
        <is>
          <t>venda casada (19 pedidos)</t>
        </is>
      </c>
      <c r="X813" t="n">
        <v>19</v>
      </c>
      <c r="Y813" t="inlineStr">
        <is>
          <t>ok</t>
        </is>
      </c>
    </row>
    <row r="814" ht="18" customHeight="1">
      <c r="A814" s="54" t="inlineStr">
        <is>
          <t>Donacor</t>
        </is>
      </c>
      <c r="B814" s="54" t="inlineStr">
        <is>
          <t>Calça Legging Lupo Sport Feminina Fitness Academia Original</t>
        </is>
      </c>
      <c r="C814" s="54" t="inlineStr">
        <is>
          <t>Goiaba,GG - 48 a 50</t>
        </is>
      </c>
      <c r="D814" s="54" t="inlineStr">
        <is>
          <t>LUPO-LEGGING-GG-GOIABA</t>
        </is>
      </c>
      <c r="E814" s="54" t="n">
        <v>18097716530</v>
      </c>
      <c r="F814" s="54" t="n">
        <v>189175067169</v>
      </c>
      <c r="G814" s="54" t="inlineStr">
        <is>
          <t>NORMAL</t>
        </is>
      </c>
      <c r="H814" s="86" t="n">
        <v>299.9</v>
      </c>
      <c r="I814" s="86" t="n">
        <v>146.97</v>
      </c>
      <c r="J814" s="56" t="inlineStr">
        <is>
          <t>SIM</t>
        </is>
      </c>
      <c r="K814" s="86" t="n">
        <v>146.97</v>
      </c>
      <c r="L814" s="87" t="n">
        <v>146.97</v>
      </c>
      <c r="M814" s="88" t="n">
        <v>1</v>
      </c>
      <c r="N814" s="89" t="n">
        <v>83.06</v>
      </c>
      <c r="O814" s="89">
        <f>ROUND(M814*N814,2)</f>
        <v/>
      </c>
      <c r="P814" s="90">
        <f>IF($O814="","",L814-O814-(L814*IF(L814&lt;=79.99,20%,14%)+IF(L814&lt;=79.99,4,IF(L814&lt;=99.99,16,IF(L814&lt;=199.99,20,IF(L814&lt;=499.99,26,28)))))-L814*1.3%-L814*6%-(L814-O814)*9.25%-L814*3%-L814*3%-1)</f>
        <v/>
      </c>
      <c r="Q814" s="58" t="n">
        <v>0.51</v>
      </c>
      <c r="R814" s="54" t="inlineStr">
        <is>
          <t>488524742865093, 478840979931317</t>
        </is>
      </c>
      <c r="S814" s="59" t="n">
        <v>46248</v>
      </c>
      <c r="T814" s="59" t="n">
        <v>46248.99930555555</v>
      </c>
      <c r="U814" s="54" t="n">
        <v>101313</v>
      </c>
      <c r="V814" t="inlineStr">
        <is>
          <t>214320</t>
        </is>
      </c>
      <c r="W814" t="inlineStr">
        <is>
          <t>venda casada (5 pedidos)</t>
        </is>
      </c>
      <c r="X814" t="n">
        <v>5</v>
      </c>
      <c r="Y814" t="inlineStr">
        <is>
          <t>ok</t>
        </is>
      </c>
    </row>
    <row r="815" ht="18" customHeight="1">
      <c r="A815" s="60" t="inlineStr">
        <is>
          <t>Donacor</t>
        </is>
      </c>
      <c r="B815" s="60" t="inlineStr">
        <is>
          <t>Calça Legging Lupo Sport Feminina Fitness Academia Original</t>
        </is>
      </c>
      <c r="C815" s="60" t="inlineStr">
        <is>
          <t>Goiaba,M - 40 a 42</t>
        </is>
      </c>
      <c r="D815" s="60" t="inlineStr">
        <is>
          <t>LUPO-LEGGING-M-GOIABA</t>
        </is>
      </c>
      <c r="E815" s="60" t="n">
        <v>18097716530</v>
      </c>
      <c r="F815" s="60" t="n">
        <v>189175067167</v>
      </c>
      <c r="G815" s="60" t="inlineStr">
        <is>
          <t>NORMAL</t>
        </is>
      </c>
      <c r="H815" s="91" t="n">
        <v>299.9</v>
      </c>
      <c r="I815" s="91" t="n">
        <v>299.9</v>
      </c>
      <c r="J815" s="62" t="inlineStr">
        <is>
          <t>NÃO</t>
        </is>
      </c>
      <c r="K815" s="60" t="inlineStr">
        <is>
          <t> </t>
        </is>
      </c>
      <c r="L815" s="87" t="n">
        <v>299.9</v>
      </c>
      <c r="P815" s="92">
        <f>IF($O815="","",L815-O815-(L815*IF(L815&lt;=79.99,20%,14%)+IF(L815&lt;=79.99,4,IF(L815&lt;=99.99,16,IF(L815&lt;=199.99,20,IF(L815&lt;=499.99,26,28)))))-L815*1.3%-L815*6%-(L815-O815)*9.25%-L815*3%-L815*3%-1)</f>
        <v/>
      </c>
      <c r="Q815" s="60" t="inlineStr">
        <is>
          <t> </t>
        </is>
      </c>
      <c r="R815" s="60" t="inlineStr">
        <is>
          <t> </t>
        </is>
      </c>
      <c r="S815" s="60" t="inlineStr">
        <is>
          <t> </t>
        </is>
      </c>
      <c r="T815" s="60" t="inlineStr">
        <is>
          <t> </t>
        </is>
      </c>
      <c r="U815" s="60" t="n">
        <v>101313</v>
      </c>
      <c r="V815" t="inlineStr">
        <is>
          <t>LUPO-LEGGING-M-GOIABA</t>
        </is>
      </c>
      <c r="W815" t="inlineStr">
        <is>
          <t>SKU idêntico na Olist · CUSTO ZERADO na Olist (conferido hoje)</t>
        </is>
      </c>
      <c r="Y815" t="inlineStr">
        <is>
          <t>ok</t>
        </is>
      </c>
    </row>
    <row r="816" ht="18" customHeight="1">
      <c r="A816" s="54" t="inlineStr">
        <is>
          <t>Donacor</t>
        </is>
      </c>
      <c r="B816" s="54" t="inlineStr">
        <is>
          <t>Calça Legging Lupo Sport Feminina Fitness Academia Original</t>
        </is>
      </c>
      <c r="C816" s="54" t="inlineStr">
        <is>
          <t>Goiaba,P - 36 a 38</t>
        </is>
      </c>
      <c r="D816" s="54" t="inlineStr">
        <is>
          <t>LUPO-LEGGING-P-GOIABA</t>
        </is>
      </c>
      <c r="E816" s="54" t="n">
        <v>18097716530</v>
      </c>
      <c r="F816" s="54" t="n">
        <v>189175067168</v>
      </c>
      <c r="G816" s="54" t="inlineStr">
        <is>
          <t>NORMAL</t>
        </is>
      </c>
      <c r="H816" s="86" t="n">
        <v>299.9</v>
      </c>
      <c r="I816" s="86" t="n">
        <v>169.9</v>
      </c>
      <c r="J816" s="56" t="inlineStr">
        <is>
          <t>SIM</t>
        </is>
      </c>
      <c r="K816" s="86" t="n">
        <v>169.9</v>
      </c>
      <c r="L816" s="87" t="n">
        <v>169.9</v>
      </c>
      <c r="M816" s="88" t="n">
        <v>1</v>
      </c>
      <c r="N816" s="89" t="n">
        <v>83.06</v>
      </c>
      <c r="O816" s="89">
        <f>ROUND(M816*N816,2)</f>
        <v/>
      </c>
      <c r="P816" s="90">
        <f>IF($O816="","",L816-O816-(L816*IF(L816&lt;=79.99,20%,14%)+IF(L816&lt;=79.99,4,IF(L816&lt;=99.99,16,IF(L816&lt;=199.99,20,IF(L816&lt;=499.99,26,28)))))-L816*1.3%-L816*6%-(L816-O816)*9.25%-L816*3%-L816*3%-1)</f>
        <v/>
      </c>
      <c r="Q816" s="58" t="n">
        <v>0.433</v>
      </c>
      <c r="R816" s="54" t="n">
        <v>478840979931317</v>
      </c>
      <c r="S816" s="59" t="n">
        <v>46248</v>
      </c>
      <c r="T816" s="59" t="n">
        <v>46248.99930555555</v>
      </c>
      <c r="U816" s="54" t="n">
        <v>101313</v>
      </c>
      <c r="V816" t="inlineStr">
        <is>
          <t>214272</t>
        </is>
      </c>
      <c r="W816" t="inlineStr">
        <is>
          <t>venda casada (37 pedidos)</t>
        </is>
      </c>
      <c r="X816" t="n">
        <v>37</v>
      </c>
      <c r="Y816" t="inlineStr">
        <is>
          <t>ok</t>
        </is>
      </c>
    </row>
    <row r="817" ht="18" customHeight="1">
      <c r="A817" s="60" t="inlineStr">
        <is>
          <t>Donacor</t>
        </is>
      </c>
      <c r="B817" s="60" t="inlineStr">
        <is>
          <t>Calça Legging Lupo Sport Feminina Fitness Academia Original</t>
        </is>
      </c>
      <c r="C817" s="60" t="inlineStr">
        <is>
          <t>Goiaba,XG - 50 a 52</t>
        </is>
      </c>
      <c r="D817" s="60" t="inlineStr">
        <is>
          <t>LUPO-LEGGING-XG-GOIABA</t>
        </is>
      </c>
      <c r="E817" s="60" t="n">
        <v>18097716530</v>
      </c>
      <c r="F817" s="60" t="n">
        <v>189175067170</v>
      </c>
      <c r="G817" s="60" t="inlineStr">
        <is>
          <t>NORMAL</t>
        </is>
      </c>
      <c r="H817" s="91" t="n">
        <v>299.9</v>
      </c>
      <c r="I817" s="91" t="n">
        <v>146.97</v>
      </c>
      <c r="J817" s="65" t="inlineStr">
        <is>
          <t>SIM</t>
        </is>
      </c>
      <c r="K817" s="91" t="n">
        <v>146.97</v>
      </c>
      <c r="L817" s="87" t="n">
        <v>146.97</v>
      </c>
      <c r="M817" s="88" t="n">
        <v>1</v>
      </c>
      <c r="N817" s="89" t="n">
        <v>83.06</v>
      </c>
      <c r="O817" s="89">
        <f>ROUND(M817*N817,2)</f>
        <v/>
      </c>
      <c r="P817" s="92">
        <f>IF($O817="","",L817-O817-(L817*IF(L817&lt;=79.99,20%,14%)+IF(L817&lt;=79.99,4,IF(L817&lt;=99.99,16,IF(L817&lt;=199.99,20,IF(L817&lt;=499.99,26,28)))))-L817*1.3%-L817*6%-(L817-O817)*9.25%-L817*3%-L817*3%-1)</f>
        <v/>
      </c>
      <c r="Q817" s="67" t="n">
        <v>0.51</v>
      </c>
      <c r="R817" s="60" t="inlineStr">
        <is>
          <t>488524742865093, 478840979931317</t>
        </is>
      </c>
      <c r="S817" s="68" t="n">
        <v>46248</v>
      </c>
      <c r="T817" s="68" t="n">
        <v>46248.99930555555</v>
      </c>
      <c r="U817" s="60" t="n">
        <v>101313</v>
      </c>
      <c r="V817" t="inlineStr">
        <is>
          <t>214336</t>
        </is>
      </c>
      <c r="W817" t="inlineStr">
        <is>
          <t>venda casada (2 pedidos)</t>
        </is>
      </c>
      <c r="X817" t="n">
        <v>2</v>
      </c>
      <c r="Y817" t="inlineStr">
        <is>
          <t>ok</t>
        </is>
      </c>
    </row>
    <row r="818" ht="18" customHeight="1">
      <c r="A818" s="54" t="inlineStr">
        <is>
          <t>Donacor</t>
        </is>
      </c>
      <c r="B818" s="54" t="inlineStr">
        <is>
          <t>Calça Legging Lupo Sport Feminina Fitness Academia Original</t>
        </is>
      </c>
      <c r="C818" s="54" t="inlineStr">
        <is>
          <t>Grafite,G - 44 a 46</t>
        </is>
      </c>
      <c r="D818" s="54" t="inlineStr">
        <is>
          <t>LUPO-LEGGING-G-CINZA</t>
        </is>
      </c>
      <c r="E818" s="54" t="n">
        <v>18097716530</v>
      </c>
      <c r="F818" s="54" t="n">
        <v>189175067166</v>
      </c>
      <c r="G818" s="54" t="inlineStr">
        <is>
          <t>NORMAL</t>
        </is>
      </c>
      <c r="H818" s="86" t="n">
        <v>299.9</v>
      </c>
      <c r="I818" s="86" t="n">
        <v>169.9</v>
      </c>
      <c r="J818" s="56" t="inlineStr">
        <is>
          <t>SIM</t>
        </is>
      </c>
      <c r="K818" s="86" t="n">
        <v>169.9</v>
      </c>
      <c r="L818" s="87" t="n">
        <v>169.9</v>
      </c>
      <c r="M818" s="88" t="n">
        <v>1</v>
      </c>
      <c r="N818" s="89" t="n">
        <v>83.06</v>
      </c>
      <c r="O818" s="89">
        <f>ROUND(M818*N818,2)</f>
        <v/>
      </c>
      <c r="P818" s="90">
        <f>IF($O818="","",L818-O818-(L818*IF(L818&lt;=79.99,20%,14%)+IF(L818&lt;=79.99,4,IF(L818&lt;=99.99,16,IF(L818&lt;=199.99,20,IF(L818&lt;=499.99,26,28)))))-L818*1.3%-L818*6%-(L818-O818)*9.25%-L818*3%-L818*3%-1)</f>
        <v/>
      </c>
      <c r="Q818" s="58" t="n">
        <v>0.433</v>
      </c>
      <c r="R818" s="54" t="inlineStr">
        <is>
          <t>488524742865093, 478840979931317</t>
        </is>
      </c>
      <c r="S818" s="59" t="n">
        <v>46248</v>
      </c>
      <c r="T818" s="59" t="n">
        <v>46248.99930555555</v>
      </c>
      <c r="U818" s="54" t="n">
        <v>101313</v>
      </c>
      <c r="V818" t="inlineStr">
        <is>
          <t>214300</t>
        </is>
      </c>
      <c r="W818" t="inlineStr">
        <is>
          <t>venda casada (23 pedidos)</t>
        </is>
      </c>
      <c r="X818" t="n">
        <v>23</v>
      </c>
      <c r="Y818" t="inlineStr">
        <is>
          <t>ok</t>
        </is>
      </c>
    </row>
    <row r="819" ht="18" customHeight="1">
      <c r="A819" s="60" t="inlineStr">
        <is>
          <t>Donacor</t>
        </is>
      </c>
      <c r="B819" s="60" t="inlineStr">
        <is>
          <t>Calça Legging Lupo Sport Feminina Fitness Academia Original</t>
        </is>
      </c>
      <c r="C819" s="60" t="inlineStr">
        <is>
          <t>Grafite,GG - 48 a 50</t>
        </is>
      </c>
      <c r="D819" s="60" t="inlineStr">
        <is>
          <t>LUPO-LEGGING-GG-CINZA</t>
        </is>
      </c>
      <c r="E819" s="60" t="n">
        <v>18097716530</v>
      </c>
      <c r="F819" s="60" t="n">
        <v>189175067171</v>
      </c>
      <c r="G819" s="60" t="inlineStr">
        <is>
          <t>NORMAL</t>
        </is>
      </c>
      <c r="H819" s="91" t="n">
        <v>299.9</v>
      </c>
      <c r="I819" s="91" t="n">
        <v>144.84</v>
      </c>
      <c r="J819" s="65" t="inlineStr">
        <is>
          <t>SIM</t>
        </is>
      </c>
      <c r="K819" s="91" t="n">
        <v>144.84</v>
      </c>
      <c r="L819" s="87" t="n">
        <v>144.84</v>
      </c>
      <c r="M819" s="88" t="n">
        <v>1</v>
      </c>
      <c r="N819" s="89" t="n">
        <v>83.06</v>
      </c>
      <c r="O819" s="89">
        <f>ROUND(M819*N819,2)</f>
        <v/>
      </c>
      <c r="P819" s="92">
        <f>IF($O819="","",L819-O819-(L819*IF(L819&lt;=79.99,20%,14%)+IF(L819&lt;=79.99,4,IF(L819&lt;=99.99,16,IF(L819&lt;=199.99,20,IF(L819&lt;=499.99,26,28)))))-L819*1.3%-L819*6%-(L819-O819)*9.25%-L819*3%-L819*3%-1)</f>
        <v/>
      </c>
      <c r="Q819" s="67" t="n">
        <v>0.517</v>
      </c>
      <c r="R819" s="60" t="n">
        <v>492459130044625</v>
      </c>
      <c r="S819" s="68" t="n">
        <v>46248.47222222222</v>
      </c>
      <c r="T819" s="68" t="n">
        <v>46254.99930555555</v>
      </c>
      <c r="U819" s="60" t="n">
        <v>101313</v>
      </c>
      <c r="V819" t="inlineStr">
        <is>
          <t>214316</t>
        </is>
      </c>
      <c r="W819" t="inlineStr">
        <is>
          <t>venda casada (6 pedidos)</t>
        </is>
      </c>
      <c r="X819" t="n">
        <v>6</v>
      </c>
      <c r="Y819" t="inlineStr">
        <is>
          <t>ok</t>
        </is>
      </c>
    </row>
    <row r="820" ht="18" customHeight="1">
      <c r="A820" s="54" t="inlineStr">
        <is>
          <t>Donacor</t>
        </is>
      </c>
      <c r="B820" s="54" t="inlineStr">
        <is>
          <t>Calça Legging Lupo Sport Feminina Fitness Academia Original</t>
        </is>
      </c>
      <c r="C820" s="54" t="inlineStr">
        <is>
          <t>Grafite,M - 40 a 42</t>
        </is>
      </c>
      <c r="D820" s="54" t="inlineStr">
        <is>
          <t>LUPO-LEGGING-M-CINZA</t>
        </is>
      </c>
      <c r="E820" s="54" t="n">
        <v>18097716530</v>
      </c>
      <c r="F820" s="54" t="n">
        <v>189175067172</v>
      </c>
      <c r="G820" s="54" t="inlineStr">
        <is>
          <t>NORMAL</t>
        </is>
      </c>
      <c r="H820" s="86" t="n">
        <v>299.9</v>
      </c>
      <c r="I820" s="86" t="n">
        <v>169.9</v>
      </c>
      <c r="J820" s="56" t="inlineStr">
        <is>
          <t>SIM</t>
        </is>
      </c>
      <c r="K820" s="86" t="n">
        <v>169.9</v>
      </c>
      <c r="L820" s="87" t="n">
        <v>169.9</v>
      </c>
      <c r="M820" s="88" t="n">
        <v>1</v>
      </c>
      <c r="N820" s="89" t="n">
        <v>83.06</v>
      </c>
      <c r="O820" s="89">
        <f>ROUND(M820*N820,2)</f>
        <v/>
      </c>
      <c r="P820" s="90">
        <f>IF($O820="","",L820-O820-(L820*IF(L820&lt;=79.99,20%,14%)+IF(L820&lt;=79.99,4,IF(L820&lt;=99.99,16,IF(L820&lt;=199.99,20,IF(L820&lt;=499.99,26,28)))))-L820*1.3%-L820*6%-(L820-O820)*9.25%-L820*3%-L820*3%-1)</f>
        <v/>
      </c>
      <c r="Q820" s="58" t="n">
        <v>0.433</v>
      </c>
      <c r="R820" s="54" t="inlineStr">
        <is>
          <t>488524742865093, 478840979931317</t>
        </is>
      </c>
      <c r="S820" s="59" t="n">
        <v>46248</v>
      </c>
      <c r="T820" s="59" t="n">
        <v>46248.99930555555</v>
      </c>
      <c r="U820" s="54" t="n">
        <v>101313</v>
      </c>
      <c r="V820" t="inlineStr">
        <is>
          <t>214284</t>
        </is>
      </c>
      <c r="W820" t="inlineStr">
        <is>
          <t>venda casada (64 pedidos)</t>
        </is>
      </c>
      <c r="X820" t="n">
        <v>64</v>
      </c>
      <c r="Y820" t="inlineStr">
        <is>
          <t>ok</t>
        </is>
      </c>
    </row>
    <row r="821" ht="18" customHeight="1">
      <c r="A821" s="60" t="inlineStr">
        <is>
          <t>Donacor</t>
        </is>
      </c>
      <c r="B821" s="60" t="inlineStr">
        <is>
          <t>Calça Legging Lupo Sport Feminina Fitness Academia Original</t>
        </is>
      </c>
      <c r="C821" s="60" t="inlineStr">
        <is>
          <t>Grafite,P - 36 a 38</t>
        </is>
      </c>
      <c r="D821" s="60" t="inlineStr">
        <is>
          <t>LUPO-LEGGING-P-CINZA</t>
        </is>
      </c>
      <c r="E821" s="60" t="n">
        <v>18097716530</v>
      </c>
      <c r="F821" s="60" t="n">
        <v>189175067177</v>
      </c>
      <c r="G821" s="60" t="inlineStr">
        <is>
          <t>NORMAL</t>
        </is>
      </c>
      <c r="H821" s="91" t="n">
        <v>299.9</v>
      </c>
      <c r="I821" s="91" t="n">
        <v>299.9</v>
      </c>
      <c r="J821" s="62" t="inlineStr">
        <is>
          <t>NÃO</t>
        </is>
      </c>
      <c r="K821" s="60" t="inlineStr">
        <is>
          <t> </t>
        </is>
      </c>
      <c r="L821" s="87" t="n">
        <v>299.9</v>
      </c>
      <c r="P821" s="92">
        <f>IF($O821="","",L821-O821-(L821*IF(L821&lt;=79.99,20%,14%)+IF(L821&lt;=79.99,4,IF(L821&lt;=99.99,16,IF(L821&lt;=199.99,20,IF(L821&lt;=499.99,26,28)))))-L821*1.3%-L821*6%-(L821-O821)*9.25%-L821*3%-L821*3%-1)</f>
        <v/>
      </c>
      <c r="Q821" s="60" t="inlineStr">
        <is>
          <t> </t>
        </is>
      </c>
      <c r="R821" s="60" t="inlineStr">
        <is>
          <t> </t>
        </is>
      </c>
      <c r="S821" s="60" t="inlineStr">
        <is>
          <t> </t>
        </is>
      </c>
      <c r="T821" s="60" t="inlineStr">
        <is>
          <t> </t>
        </is>
      </c>
      <c r="U821" s="60" t="n">
        <v>101313</v>
      </c>
      <c r="V821" t="inlineStr">
        <is>
          <t>LUPO-LEGGING-P-CINZA</t>
        </is>
      </c>
      <c r="W821" t="inlineStr">
        <is>
          <t>SKU idêntico na Olist · CUSTO ZERADO na Olist (conferido hoje)</t>
        </is>
      </c>
      <c r="Y821" t="inlineStr">
        <is>
          <t>ok</t>
        </is>
      </c>
    </row>
    <row r="822" ht="18" customHeight="1">
      <c r="A822" s="54" t="inlineStr">
        <is>
          <t>Donacor</t>
        </is>
      </c>
      <c r="B822" s="54" t="inlineStr">
        <is>
          <t>Calça Legging Lupo Sport Feminina Fitness Academia Original</t>
        </is>
      </c>
      <c r="C822" s="54" t="inlineStr">
        <is>
          <t>Grafite,XG - 50 a 52</t>
        </is>
      </c>
      <c r="D822" s="54" t="inlineStr">
        <is>
          <t>LUPO-LEGGING</t>
        </is>
      </c>
      <c r="E822" s="54" t="n">
        <v>18097716530</v>
      </c>
      <c r="F822" s="54" t="n">
        <v>189175067156</v>
      </c>
      <c r="G822" s="54" t="inlineStr">
        <is>
          <t>NORMAL</t>
        </is>
      </c>
      <c r="H822" s="86" t="n">
        <v>299.9</v>
      </c>
      <c r="I822" s="86" t="n">
        <v>299.9</v>
      </c>
      <c r="J822" s="69" t="inlineStr">
        <is>
          <t>NÃO</t>
        </is>
      </c>
      <c r="K822" s="54" t="n"/>
      <c r="L822" s="87" t="n">
        <v>299.9</v>
      </c>
      <c r="P822" s="90">
        <f>IF($O822="","",L822-O822-(L822*IF(L822&lt;=79.99,20%,14%)+IF(L822&lt;=79.99,4,IF(L822&lt;=99.99,16,IF(L822&lt;=199.99,20,IF(L822&lt;=499.99,26,28)))))-L822*1.3%-L822*6%-(L822-O822)*9.25%-L822*3%-L822*3%-1)</f>
        <v/>
      </c>
      <c r="Q822" s="54">
        <f>IF(AND(K822&lt;&gt;"",H822&gt;0),(H822-K822)/H822,"")</f>
        <v/>
      </c>
      <c r="R822" s="54" t="n"/>
      <c r="S822" s="54" t="n"/>
      <c r="T822" s="54" t="n"/>
      <c r="U822" s="54" t="n">
        <v>101313</v>
      </c>
      <c r="W822" t="inlineStr">
        <is>
          <t>sem correspondência</t>
        </is>
      </c>
      <c r="Y822" t="inlineStr"/>
    </row>
    <row r="823" ht="18" customHeight="1">
      <c r="A823" s="60" t="inlineStr">
        <is>
          <t>Donacor</t>
        </is>
      </c>
      <c r="B823" s="60" t="inlineStr">
        <is>
          <t>Calça Legging Lupo Sport Feminina Fitness Academia Original</t>
        </is>
      </c>
      <c r="C823" s="60" t="inlineStr">
        <is>
          <t>Marinho,G - 44 a 46</t>
        </is>
      </c>
      <c r="D823" s="60" t="inlineStr">
        <is>
          <t>LUPO-LEGGING-G-MARINHO</t>
        </is>
      </c>
      <c r="E823" s="60" t="n">
        <v>18097716530</v>
      </c>
      <c r="F823" s="60" t="n">
        <v>224672141666</v>
      </c>
      <c r="G823" s="60" t="inlineStr">
        <is>
          <t>NORMAL</t>
        </is>
      </c>
      <c r="H823" s="91" t="n">
        <v>299.9</v>
      </c>
      <c r="I823" s="91" t="n">
        <v>174.9</v>
      </c>
      <c r="J823" s="65" t="inlineStr">
        <is>
          <t>SIM</t>
        </is>
      </c>
      <c r="K823" s="91" t="n">
        <v>174.9</v>
      </c>
      <c r="L823" s="87" t="n">
        <v>174.9</v>
      </c>
      <c r="M823" s="88" t="n">
        <v>1</v>
      </c>
      <c r="N823" s="89" t="n">
        <v>83.06</v>
      </c>
      <c r="O823" s="89">
        <f>ROUND(M823*N823,2)</f>
        <v/>
      </c>
      <c r="P823" s="92">
        <f>IF($O823="","",L823-O823-(L823*IF(L823&lt;=79.99,20%,14%)+IF(L823&lt;=79.99,4,IF(L823&lt;=99.99,16,IF(L823&lt;=199.99,20,IF(L823&lt;=499.99,26,28)))))-L823*1.3%-L823*6%-(L823-O823)*9.25%-L823*3%-L823*3%-1)</f>
        <v/>
      </c>
      <c r="Q823" s="67" t="n">
        <v>0.417</v>
      </c>
      <c r="R823" s="60" t="inlineStr">
        <is>
          <t>478840979931317, 488524742865093, 484945860710786</t>
        </is>
      </c>
      <c r="S823" s="68" t="n">
        <v>46227.73958333334</v>
      </c>
      <c r="T823" s="68" t="n">
        <v>46248.99930555555</v>
      </c>
      <c r="U823" s="60" t="n">
        <v>101313</v>
      </c>
      <c r="V823" t="inlineStr">
        <is>
          <t>215183</t>
        </is>
      </c>
      <c r="W823" t="inlineStr">
        <is>
          <t>venda casada (24 pedidos)</t>
        </is>
      </c>
      <c r="X823" t="n">
        <v>24</v>
      </c>
      <c r="Y823" t="inlineStr">
        <is>
          <t>ok</t>
        </is>
      </c>
    </row>
    <row r="824" ht="18" customHeight="1">
      <c r="A824" s="54" t="inlineStr">
        <is>
          <t>Donacor</t>
        </is>
      </c>
      <c r="B824" s="54" t="inlineStr">
        <is>
          <t>Calça Legging Lupo Sport Feminina Fitness Academia Original</t>
        </is>
      </c>
      <c r="C824" s="54" t="inlineStr">
        <is>
          <t>Marinho,GG - 48 a 50</t>
        </is>
      </c>
      <c r="D824" s="54" t="inlineStr">
        <is>
          <t>LUPO-LEGGING-GG-MARINHO</t>
        </is>
      </c>
      <c r="E824" s="54" t="n">
        <v>18097716530</v>
      </c>
      <c r="F824" s="54" t="n">
        <v>224672141667</v>
      </c>
      <c r="G824" s="54" t="inlineStr">
        <is>
          <t>NORMAL</t>
        </is>
      </c>
      <c r="H824" s="86" t="n">
        <v>299.9</v>
      </c>
      <c r="I824" s="86" t="n">
        <v>174.9</v>
      </c>
      <c r="J824" s="56" t="inlineStr">
        <is>
          <t>SIM</t>
        </is>
      </c>
      <c r="K824" s="86" t="n">
        <v>174.9</v>
      </c>
      <c r="L824" s="87" t="n">
        <v>174.9</v>
      </c>
      <c r="M824" s="88" t="n">
        <v>1</v>
      </c>
      <c r="N824" s="89" t="n">
        <v>83.06</v>
      </c>
      <c r="O824" s="89">
        <f>ROUND(M824*N824,2)</f>
        <v/>
      </c>
      <c r="P824" s="90">
        <f>IF($O824="","",L824-O824-(L824*IF(L824&lt;=79.99,20%,14%)+IF(L824&lt;=79.99,4,IF(L824&lt;=99.99,16,IF(L824&lt;=199.99,20,IF(L824&lt;=499.99,26,28)))))-L824*1.3%-L824*6%-(L824-O824)*9.25%-L824*3%-L824*3%-1)</f>
        <v/>
      </c>
      <c r="Q824" s="58" t="n">
        <v>0.417</v>
      </c>
      <c r="R824" s="54" t="inlineStr">
        <is>
          <t>488524742865093, 478840979931317, 484945860710786</t>
        </is>
      </c>
      <c r="S824" s="59" t="n">
        <v>46227.73958333334</v>
      </c>
      <c r="T824" s="59" t="n">
        <v>46248.99930555555</v>
      </c>
      <c r="U824" s="54" t="n">
        <v>101313</v>
      </c>
      <c r="V824" t="inlineStr">
        <is>
          <t>215184</t>
        </is>
      </c>
      <c r="W824" t="inlineStr">
        <is>
          <t>venda casada (9 pedidos)</t>
        </is>
      </c>
      <c r="X824" t="n">
        <v>9</v>
      </c>
      <c r="Y824" t="inlineStr">
        <is>
          <t>ok</t>
        </is>
      </c>
    </row>
    <row r="825" ht="18" customHeight="1">
      <c r="A825" s="60" t="inlineStr">
        <is>
          <t>Donacor</t>
        </is>
      </c>
      <c r="B825" s="60" t="inlineStr">
        <is>
          <t>Calça Legging Lupo Sport Feminina Fitness Academia Original</t>
        </is>
      </c>
      <c r="C825" s="60" t="inlineStr">
        <is>
          <t>Marinho,M - 40 a 42</t>
        </is>
      </c>
      <c r="D825" s="60" t="inlineStr">
        <is>
          <t>LUPO-LEGGING-M-MARINHO</t>
        </is>
      </c>
      <c r="E825" s="60" t="n">
        <v>18097716530</v>
      </c>
      <c r="F825" s="60" t="n">
        <v>224672141665</v>
      </c>
      <c r="G825" s="60" t="inlineStr">
        <is>
          <t>NORMAL</t>
        </is>
      </c>
      <c r="H825" s="91" t="n">
        <v>299.9</v>
      </c>
      <c r="I825" s="91" t="n">
        <v>174.9</v>
      </c>
      <c r="J825" s="65" t="inlineStr">
        <is>
          <t>SIM</t>
        </is>
      </c>
      <c r="K825" s="91" t="n">
        <v>174.9</v>
      </c>
      <c r="L825" s="87" t="n">
        <v>174.9</v>
      </c>
      <c r="M825" s="88" t="n">
        <v>1</v>
      </c>
      <c r="N825" s="89" t="n">
        <v>83.06</v>
      </c>
      <c r="O825" s="89">
        <f>ROUND(M825*N825,2)</f>
        <v/>
      </c>
      <c r="P825" s="92">
        <f>IF($O825="","",L825-O825-(L825*IF(L825&lt;=79.99,20%,14%)+IF(L825&lt;=79.99,4,IF(L825&lt;=99.99,16,IF(L825&lt;=199.99,20,IF(L825&lt;=499.99,26,28)))))-L825*1.3%-L825*6%-(L825-O825)*9.25%-L825*3%-L825*3%-1)</f>
        <v/>
      </c>
      <c r="Q825" s="67" t="n">
        <v>0.417</v>
      </c>
      <c r="R825" s="60" t="inlineStr">
        <is>
          <t>488524742865093, 484945860710786, 478840979931317</t>
        </is>
      </c>
      <c r="S825" s="68" t="n">
        <v>46227.73958333334</v>
      </c>
      <c r="T825" s="68" t="n">
        <v>46248.99930555555</v>
      </c>
      <c r="U825" s="60" t="n">
        <v>101313</v>
      </c>
      <c r="V825" t="inlineStr">
        <is>
          <t>215182</t>
        </is>
      </c>
      <c r="W825" t="inlineStr">
        <is>
          <t>venda casada (47 pedidos)</t>
        </is>
      </c>
      <c r="X825" t="n">
        <v>47</v>
      </c>
      <c r="Y825" t="inlineStr">
        <is>
          <t>ok</t>
        </is>
      </c>
    </row>
    <row r="826" ht="18" customHeight="1">
      <c r="A826" s="54" t="inlineStr">
        <is>
          <t>Donacor</t>
        </is>
      </c>
      <c r="B826" s="54" t="inlineStr">
        <is>
          <t>Calça Legging Lupo Sport Feminina Fitness Academia Original</t>
        </is>
      </c>
      <c r="C826" s="54" t="inlineStr">
        <is>
          <t>Marinho,P - 36 a 38</t>
        </is>
      </c>
      <c r="D826" s="54" t="inlineStr">
        <is>
          <t>LUPO-LEGGING-P-MARINHO</t>
        </is>
      </c>
      <c r="E826" s="54" t="n">
        <v>18097716530</v>
      </c>
      <c r="F826" s="54" t="n">
        <v>224672141664</v>
      </c>
      <c r="G826" s="54" t="inlineStr">
        <is>
          <t>NORMAL</t>
        </is>
      </c>
      <c r="H826" s="86" t="n">
        <v>299.9</v>
      </c>
      <c r="I826" s="86" t="n">
        <v>174.9</v>
      </c>
      <c r="J826" s="56" t="inlineStr">
        <is>
          <t>SIM</t>
        </is>
      </c>
      <c r="K826" s="86" t="n">
        <v>174.9</v>
      </c>
      <c r="L826" s="87" t="n">
        <v>150.06</v>
      </c>
      <c r="M826" s="88" t="n">
        <v>1</v>
      </c>
      <c r="N826" s="89" t="n">
        <v>83.06</v>
      </c>
      <c r="O826" s="89">
        <f>ROUND(M826*N826,2)</f>
        <v/>
      </c>
      <c r="P826" s="90">
        <f>IF($O826="","",L826-O826-(L826*IF(L826&lt;=79.99,20%,14%)+IF(L826&lt;=79.99,4,IF(L826&lt;=99.99,16,IF(L826&lt;=199.99,20,IF(L826&lt;=499.99,26,28)))))-L826*1.3%-L826*6%-(L826-O826)*9.25%-L826*3%-L826*3%-1)</f>
        <v/>
      </c>
      <c r="Q826" s="58" t="n">
        <v>0.5</v>
      </c>
      <c r="R826" s="54" t="n">
        <v>489982640992484</v>
      </c>
      <c r="S826" s="59" t="n">
        <v>46242</v>
      </c>
      <c r="T826" s="59" t="n">
        <v>46248.99930555555</v>
      </c>
      <c r="U826" s="54" t="n">
        <v>101313</v>
      </c>
      <c r="V826" t="inlineStr">
        <is>
          <t>215181</t>
        </is>
      </c>
      <c r="W826" t="inlineStr">
        <is>
          <t>venda casada (14 pedidos)</t>
        </is>
      </c>
      <c r="X826" t="n">
        <v>14</v>
      </c>
      <c r="Y826" t="inlineStr">
        <is>
          <t>ok</t>
        </is>
      </c>
    </row>
    <row r="827" ht="18" customHeight="1">
      <c r="A827" s="60" t="inlineStr">
        <is>
          <t>Donacor</t>
        </is>
      </c>
      <c r="B827" s="60" t="inlineStr">
        <is>
          <t>Calça Legging Lupo Sport Feminina Fitness Academia Original</t>
        </is>
      </c>
      <c r="C827" s="60" t="inlineStr">
        <is>
          <t>Marinho,XG - 50 a 52</t>
        </is>
      </c>
      <c r="D827" s="60" t="inlineStr">
        <is>
          <t>LUPO-LEGGING-XG-MARINHO</t>
        </is>
      </c>
      <c r="E827" s="60" t="n">
        <v>18097716530</v>
      </c>
      <c r="F827" s="60" t="n">
        <v>224672141668</v>
      </c>
      <c r="G827" s="60" t="inlineStr">
        <is>
          <t>NORMAL</t>
        </is>
      </c>
      <c r="H827" s="91" t="n">
        <v>299.9</v>
      </c>
      <c r="I827" s="91" t="n">
        <v>174.9</v>
      </c>
      <c r="J827" s="65" t="inlineStr">
        <is>
          <t>SIM</t>
        </is>
      </c>
      <c r="K827" s="91" t="n">
        <v>174.9</v>
      </c>
      <c r="L827" s="87" t="n">
        <v>150.06</v>
      </c>
      <c r="M827" s="88" t="n">
        <v>1</v>
      </c>
      <c r="N827" s="89" t="n">
        <v>83.06</v>
      </c>
      <c r="O827" s="89">
        <f>ROUND(M827*N827,2)</f>
        <v/>
      </c>
      <c r="P827" s="92">
        <f>IF($O827="","",L827-O827-(L827*IF(L827&lt;=79.99,20%,14%)+IF(L827&lt;=79.99,4,IF(L827&lt;=99.99,16,IF(L827&lt;=199.99,20,IF(L827&lt;=499.99,26,28)))))-L827*1.3%-L827*6%-(L827-O827)*9.25%-L827*3%-L827*3%-1)</f>
        <v/>
      </c>
      <c r="Q827" s="67" t="n">
        <v>0.5</v>
      </c>
      <c r="R827" s="60" t="n">
        <v>489982640992484</v>
      </c>
      <c r="S827" s="68" t="n">
        <v>46242</v>
      </c>
      <c r="T827" s="68" t="n">
        <v>46248.99930555555</v>
      </c>
      <c r="U827" s="60" t="n">
        <v>101313</v>
      </c>
      <c r="V827" t="inlineStr">
        <is>
          <t>215185</t>
        </is>
      </c>
      <c r="W827" t="inlineStr">
        <is>
          <t>venda casada (6 pedidos)</t>
        </is>
      </c>
      <c r="X827" t="n">
        <v>6</v>
      </c>
      <c r="Y827" t="inlineStr">
        <is>
          <t>ok</t>
        </is>
      </c>
    </row>
    <row r="828" ht="18" customHeight="1">
      <c r="A828" s="54" t="inlineStr">
        <is>
          <t>Donacor</t>
        </is>
      </c>
      <c r="B828" s="54" t="inlineStr">
        <is>
          <t>Calça Legging Lupo Sport Feminina Fitness Academia Original</t>
        </is>
      </c>
      <c r="C828" s="54" t="inlineStr">
        <is>
          <t>Oliva,G - 44 a 46</t>
        </is>
      </c>
      <c r="D828" s="54" t="inlineStr">
        <is>
          <t>LUPO-LEGGING-G-OLIVA</t>
        </is>
      </c>
      <c r="E828" s="54" t="n">
        <v>18097716530</v>
      </c>
      <c r="F828" s="54" t="n">
        <v>287402932104</v>
      </c>
      <c r="G828" s="54" t="inlineStr">
        <is>
          <t>NORMAL</t>
        </is>
      </c>
      <c r="H828" s="86" t="n">
        <v>299.9</v>
      </c>
      <c r="I828" s="86" t="n">
        <v>299.9</v>
      </c>
      <c r="J828" s="69" t="inlineStr">
        <is>
          <t>NÃO</t>
        </is>
      </c>
      <c r="K828" s="54" t="n"/>
      <c r="L828" s="87" t="n">
        <v>299.9</v>
      </c>
      <c r="P828" s="90">
        <f>IF($O828="","",L828-O828-(L828*IF(L828&lt;=79.99,20%,14%)+IF(L828&lt;=79.99,4,IF(L828&lt;=99.99,16,IF(L828&lt;=199.99,20,IF(L828&lt;=499.99,26,28)))))-L828*1.3%-L828*6%-(L828-O828)*9.25%-L828*3%-L828*3%-1)</f>
        <v/>
      </c>
      <c r="Q828" s="54">
        <f>IF(AND(K828&lt;&gt;"",H828&gt;0),(H828-K828)/H828,"")</f>
        <v/>
      </c>
      <c r="R828" s="54" t="n"/>
      <c r="S828" s="54" t="n"/>
      <c r="T828" s="54" t="n"/>
      <c r="U828" s="54" t="n">
        <v>101313</v>
      </c>
      <c r="W828" t="inlineStr">
        <is>
          <t>sem correspondência</t>
        </is>
      </c>
      <c r="Y828" t="inlineStr"/>
    </row>
    <row r="829" ht="18" customHeight="1">
      <c r="A829" s="60" t="inlineStr">
        <is>
          <t>Donacor</t>
        </is>
      </c>
      <c r="B829" s="60" t="inlineStr">
        <is>
          <t>Calça Legging Lupo Sport Feminina Fitness Academia Original</t>
        </is>
      </c>
      <c r="C829" s="60" t="inlineStr">
        <is>
          <t>Oliva,GG - 48 a 50</t>
        </is>
      </c>
      <c r="D829" s="60" t="inlineStr">
        <is>
          <t>LUPO-LEGGING-GG-OLIVA</t>
        </is>
      </c>
      <c r="E829" s="60" t="n">
        <v>18097716530</v>
      </c>
      <c r="F829" s="60" t="n">
        <v>287402932105</v>
      </c>
      <c r="G829" s="60" t="inlineStr">
        <is>
          <t>NORMAL</t>
        </is>
      </c>
      <c r="H829" s="91" t="n">
        <v>299.9</v>
      </c>
      <c r="I829" s="91" t="n">
        <v>299.9</v>
      </c>
      <c r="J829" s="62" t="inlineStr">
        <is>
          <t>NÃO</t>
        </is>
      </c>
      <c r="K829" s="60" t="inlineStr">
        <is>
          <t> </t>
        </is>
      </c>
      <c r="L829" s="87" t="n">
        <v>299.9</v>
      </c>
      <c r="P829" s="92">
        <f>IF($O829="","",L829-O829-(L829*IF(L829&lt;=79.99,20%,14%)+IF(L829&lt;=79.99,4,IF(L829&lt;=99.99,16,IF(L829&lt;=199.99,20,IF(L829&lt;=499.99,26,28)))))-L829*1.3%-L829*6%-(L829-O829)*9.25%-L829*3%-L829*3%-1)</f>
        <v/>
      </c>
      <c r="Q829" s="60" t="inlineStr">
        <is>
          <t> </t>
        </is>
      </c>
      <c r="R829" s="60" t="inlineStr">
        <is>
          <t> </t>
        </is>
      </c>
      <c r="S829" s="60" t="inlineStr">
        <is>
          <t> </t>
        </is>
      </c>
      <c r="T829" s="60" t="inlineStr">
        <is>
          <t> </t>
        </is>
      </c>
      <c r="U829" s="60" t="n">
        <v>101313</v>
      </c>
      <c r="W829" t="inlineStr">
        <is>
          <t>sem correspondência</t>
        </is>
      </c>
      <c r="Y829" t="inlineStr"/>
    </row>
    <row r="830" ht="18" customHeight="1">
      <c r="A830" s="54" t="inlineStr">
        <is>
          <t>Donacor</t>
        </is>
      </c>
      <c r="B830" s="54" t="inlineStr">
        <is>
          <t>Calça Legging Lupo Sport Feminina Fitness Academia Original</t>
        </is>
      </c>
      <c r="C830" s="54" t="inlineStr">
        <is>
          <t>Oliva,M - 40 a 42</t>
        </is>
      </c>
      <c r="D830" s="54" t="inlineStr">
        <is>
          <t>LUPO-LEGGING-M-OLIVA</t>
        </is>
      </c>
      <c r="E830" s="54" t="n">
        <v>18097716530</v>
      </c>
      <c r="F830" s="54" t="n">
        <v>287402932103</v>
      </c>
      <c r="G830" s="54" t="inlineStr">
        <is>
          <t>NORMAL</t>
        </is>
      </c>
      <c r="H830" s="86" t="n">
        <v>299.9</v>
      </c>
      <c r="I830" s="86" t="n">
        <v>299.9</v>
      </c>
      <c r="J830" s="69" t="inlineStr">
        <is>
          <t>NÃO</t>
        </is>
      </c>
      <c r="K830" s="54" t="n"/>
      <c r="L830" s="87" t="n">
        <v>299.9</v>
      </c>
      <c r="P830" s="90">
        <f>IF($O830="","",L830-O830-(L830*IF(L830&lt;=79.99,20%,14%)+IF(L830&lt;=79.99,4,IF(L830&lt;=99.99,16,IF(L830&lt;=199.99,20,IF(L830&lt;=499.99,26,28)))))-L830*1.3%-L830*6%-(L830-O830)*9.25%-L830*3%-L830*3%-1)</f>
        <v/>
      </c>
      <c r="Q830" s="54">
        <f>IF(AND(K830&lt;&gt;"",H830&gt;0),(H830-K830)/H830,"")</f>
        <v/>
      </c>
      <c r="R830" s="54" t="n"/>
      <c r="S830" s="54" t="n"/>
      <c r="T830" s="54" t="n"/>
      <c r="U830" s="54" t="n">
        <v>101313</v>
      </c>
      <c r="W830" t="inlineStr">
        <is>
          <t>sem correspondência</t>
        </is>
      </c>
      <c r="Y830" t="inlineStr"/>
    </row>
    <row r="831" ht="18" customHeight="1">
      <c r="A831" s="60" t="inlineStr">
        <is>
          <t>Donacor</t>
        </is>
      </c>
      <c r="B831" s="60" t="inlineStr">
        <is>
          <t>Calça Legging Lupo Sport Feminina Fitness Academia Original</t>
        </is>
      </c>
      <c r="C831" s="60" t="inlineStr">
        <is>
          <t>Oliva,P - 36 a 38</t>
        </is>
      </c>
      <c r="D831" s="60" t="inlineStr">
        <is>
          <t>LUPO-LEGGING-P-OLIVA</t>
        </is>
      </c>
      <c r="E831" s="60" t="n">
        <v>18097716530</v>
      </c>
      <c r="F831" s="60" t="n">
        <v>287402932102</v>
      </c>
      <c r="G831" s="60" t="inlineStr">
        <is>
          <t>NORMAL</t>
        </is>
      </c>
      <c r="H831" s="91" t="n">
        <v>299.9</v>
      </c>
      <c r="I831" s="91" t="n">
        <v>299.9</v>
      </c>
      <c r="J831" s="62" t="inlineStr">
        <is>
          <t>NÃO</t>
        </is>
      </c>
      <c r="K831" s="60" t="inlineStr">
        <is>
          <t> </t>
        </is>
      </c>
      <c r="L831" s="87" t="n">
        <v>299.9</v>
      </c>
      <c r="P831" s="92">
        <f>IF($O831="","",L831-O831-(L831*IF(L831&lt;=79.99,20%,14%)+IF(L831&lt;=79.99,4,IF(L831&lt;=99.99,16,IF(L831&lt;=199.99,20,IF(L831&lt;=499.99,26,28)))))-L831*1.3%-L831*6%-(L831-O831)*9.25%-L831*3%-L831*3%-1)</f>
        <v/>
      </c>
      <c r="Q831" s="60" t="inlineStr">
        <is>
          <t> </t>
        </is>
      </c>
      <c r="R831" s="60" t="inlineStr">
        <is>
          <t> </t>
        </is>
      </c>
      <c r="S831" s="60" t="inlineStr">
        <is>
          <t> </t>
        </is>
      </c>
      <c r="T831" s="60" t="inlineStr">
        <is>
          <t> </t>
        </is>
      </c>
      <c r="U831" s="60" t="n">
        <v>101313</v>
      </c>
      <c r="W831" t="inlineStr">
        <is>
          <t>sem correspondência</t>
        </is>
      </c>
      <c r="Y831" t="inlineStr"/>
    </row>
    <row r="832" ht="18" customHeight="1">
      <c r="A832" s="54" t="inlineStr">
        <is>
          <t>Donacor</t>
        </is>
      </c>
      <c r="B832" s="54" t="inlineStr">
        <is>
          <t>Calça Legging Lupo Sport Feminina Fitness Academia Original</t>
        </is>
      </c>
      <c r="C832" s="54" t="inlineStr">
        <is>
          <t>Oliva,XG - 50 a 52</t>
        </is>
      </c>
      <c r="D832" s="54" t="inlineStr">
        <is>
          <t>LUPO-LEGGING-XG-OLIVA</t>
        </is>
      </c>
      <c r="E832" s="54" t="n">
        <v>18097716530</v>
      </c>
      <c r="F832" s="54" t="n">
        <v>287402932106</v>
      </c>
      <c r="G832" s="54" t="inlineStr">
        <is>
          <t>NORMAL</t>
        </is>
      </c>
      <c r="H832" s="86" t="n">
        <v>299.9</v>
      </c>
      <c r="I832" s="86" t="n">
        <v>299.9</v>
      </c>
      <c r="J832" s="69" t="inlineStr">
        <is>
          <t>NÃO</t>
        </is>
      </c>
      <c r="K832" s="54" t="n"/>
      <c r="L832" s="87" t="n">
        <v>299.9</v>
      </c>
      <c r="P832" s="90">
        <f>IF($O832="","",L832-O832-(L832*IF(L832&lt;=79.99,20%,14%)+IF(L832&lt;=79.99,4,IF(L832&lt;=99.99,16,IF(L832&lt;=199.99,20,IF(L832&lt;=499.99,26,28)))))-L832*1.3%-L832*6%-(L832-O832)*9.25%-L832*3%-L832*3%-1)</f>
        <v/>
      </c>
      <c r="Q832" s="54">
        <f>IF(AND(K832&lt;&gt;"",H832&gt;0),(H832-K832)/H832,"")</f>
        <v/>
      </c>
      <c r="R832" s="54" t="n"/>
      <c r="S832" s="54" t="n"/>
      <c r="T832" s="54" t="n"/>
      <c r="U832" s="54" t="n">
        <v>101313</v>
      </c>
      <c r="W832" t="inlineStr">
        <is>
          <t>sem correspondência</t>
        </is>
      </c>
      <c r="Y832" t="inlineStr"/>
    </row>
    <row r="833" ht="18" customHeight="1">
      <c r="A833" s="60" t="inlineStr">
        <is>
          <t>Donacor</t>
        </is>
      </c>
      <c r="B833" s="60" t="inlineStr">
        <is>
          <t>Calça Legging Lupo Sport Feminina Fitness Academia Original</t>
        </is>
      </c>
      <c r="C833" s="60" t="inlineStr">
        <is>
          <t>Preto,G - 44 a 46</t>
        </is>
      </c>
      <c r="D833" s="60" t="inlineStr">
        <is>
          <t>LUPO-LEGGING-G</t>
        </is>
      </c>
      <c r="E833" s="60" t="n">
        <v>18097716530</v>
      </c>
      <c r="F833" s="60" t="n">
        <v>209595395140</v>
      </c>
      <c r="G833" s="60" t="inlineStr">
        <is>
          <t>NORMAL</t>
        </is>
      </c>
      <c r="H833" s="91" t="n">
        <v>299.9</v>
      </c>
      <c r="I833" s="91" t="n">
        <v>299.9</v>
      </c>
      <c r="J833" s="62" t="inlineStr">
        <is>
          <t>NÃO</t>
        </is>
      </c>
      <c r="K833" s="60" t="inlineStr">
        <is>
          <t> </t>
        </is>
      </c>
      <c r="L833" s="87" t="n">
        <v>299.9</v>
      </c>
      <c r="P833" s="92">
        <f>IF($O833="","",L833-O833-(L833*IF(L833&lt;=79.99,20%,14%)+IF(L833&lt;=79.99,4,IF(L833&lt;=99.99,16,IF(L833&lt;=199.99,20,IF(L833&lt;=499.99,26,28)))))-L833*1.3%-L833*6%-(L833-O833)*9.25%-L833*3%-L833*3%-1)</f>
        <v/>
      </c>
      <c r="Q833" s="60" t="inlineStr">
        <is>
          <t> </t>
        </is>
      </c>
      <c r="R833" s="60" t="inlineStr">
        <is>
          <t> </t>
        </is>
      </c>
      <c r="S833" s="60" t="inlineStr">
        <is>
          <t> </t>
        </is>
      </c>
      <c r="T833" s="60" t="inlineStr">
        <is>
          <t> </t>
        </is>
      </c>
      <c r="U833" s="60" t="n">
        <v>101313</v>
      </c>
      <c r="V833" t="inlineStr">
        <is>
          <t>LUPO-LEGGING-G</t>
        </is>
      </c>
      <c r="W833" t="inlineStr">
        <is>
          <t>SKU idêntico na Olist · CUSTO ZERADO na Olist (conferido hoje)</t>
        </is>
      </c>
      <c r="Y833" t="inlineStr">
        <is>
          <t>ok</t>
        </is>
      </c>
    </row>
    <row r="834" ht="18" customHeight="1">
      <c r="A834" s="54" t="inlineStr">
        <is>
          <t>Donacor</t>
        </is>
      </c>
      <c r="B834" s="54" t="inlineStr">
        <is>
          <t>Calça Legging Lupo Sport Feminina Fitness Academia Original</t>
        </is>
      </c>
      <c r="C834" s="54" t="inlineStr">
        <is>
          <t>Preto,GG - 48 a 50</t>
        </is>
      </c>
      <c r="D834" s="54" t="inlineStr">
        <is>
          <t>LEG-PRETO-GG</t>
        </is>
      </c>
      <c r="E834" s="54" t="n">
        <v>18097716530</v>
      </c>
      <c r="F834" s="54" t="n">
        <v>209595395130</v>
      </c>
      <c r="G834" s="54" t="inlineStr">
        <is>
          <t>NORMAL</t>
        </is>
      </c>
      <c r="H834" s="86" t="n">
        <v>299.9</v>
      </c>
      <c r="I834" s="86" t="n">
        <v>174.9</v>
      </c>
      <c r="J834" s="56" t="inlineStr">
        <is>
          <t>SIM</t>
        </is>
      </c>
      <c r="K834" s="86" t="n">
        <v>174.9</v>
      </c>
      <c r="L834" s="87" t="n">
        <v>174.9</v>
      </c>
      <c r="M834" s="88" t="n">
        <v>1</v>
      </c>
      <c r="N834" s="89" t="n">
        <v>83.06</v>
      </c>
      <c r="O834" s="89">
        <f>ROUND(M834*N834,2)</f>
        <v/>
      </c>
      <c r="P834" s="90">
        <f>IF($O834="","",L834-O834-(L834*IF(L834&lt;=79.99,20%,14%)+IF(L834&lt;=79.99,4,IF(L834&lt;=99.99,16,IF(L834&lt;=199.99,20,IF(L834&lt;=499.99,26,28)))))-L834*1.3%-L834*6%-(L834-O834)*9.25%-L834*3%-L834*3%-1)</f>
        <v/>
      </c>
      <c r="Q834" s="58" t="n">
        <v>0.417</v>
      </c>
      <c r="R834" s="54" t="n">
        <v>484945860710786</v>
      </c>
      <c r="S834" s="59" t="n">
        <v>46227.73958333334</v>
      </c>
      <c r="T834" s="59" t="n">
        <v>46405.45833333334</v>
      </c>
      <c r="U834" s="54" t="n">
        <v>101313</v>
      </c>
      <c r="V834" t="inlineStr">
        <is>
          <t>214318</t>
        </is>
      </c>
      <c r="W834" t="inlineStr">
        <is>
          <t>venda casada (20 pedidos)</t>
        </is>
      </c>
      <c r="X834" t="n">
        <v>20</v>
      </c>
      <c r="Y834" t="inlineStr">
        <is>
          <t>ok</t>
        </is>
      </c>
    </row>
    <row r="835" ht="18" customHeight="1">
      <c r="A835" s="60" t="inlineStr">
        <is>
          <t>Donacor</t>
        </is>
      </c>
      <c r="B835" s="60" t="inlineStr">
        <is>
          <t>Calça Legging Lupo Sport Feminina Fitness Academia Original</t>
        </is>
      </c>
      <c r="C835" s="60" t="inlineStr">
        <is>
          <t>Preto,M - 40 a 42</t>
        </is>
      </c>
      <c r="D835" s="60" t="inlineStr">
        <is>
          <t>LUPO-LEGGING-M</t>
        </is>
      </c>
      <c r="E835" s="60" t="n">
        <v>18097716530</v>
      </c>
      <c r="F835" s="60" t="n">
        <v>209595395139</v>
      </c>
      <c r="G835" s="60" t="inlineStr">
        <is>
          <t>NORMAL</t>
        </is>
      </c>
      <c r="H835" s="91" t="n">
        <v>299.9</v>
      </c>
      <c r="I835" s="91" t="n">
        <v>174.9</v>
      </c>
      <c r="J835" s="65" t="inlineStr">
        <is>
          <t>SIM</t>
        </is>
      </c>
      <c r="K835" s="91" t="n">
        <v>174.9</v>
      </c>
      <c r="L835" s="87" t="n">
        <v>174.9</v>
      </c>
      <c r="M835" s="88" t="n">
        <v>1</v>
      </c>
      <c r="N835" s="89" t="n">
        <v>83.06</v>
      </c>
      <c r="O835" s="89">
        <f>ROUND(M835*N835,2)</f>
        <v/>
      </c>
      <c r="P835" s="92">
        <f>IF($O835="","",L835-O835-(L835*IF(L835&lt;=79.99,20%,14%)+IF(L835&lt;=79.99,4,IF(L835&lt;=99.99,16,IF(L835&lt;=199.99,20,IF(L835&lt;=499.99,26,28)))))-L835*1.3%-L835*6%-(L835-O835)*9.25%-L835*3%-L835*3%-1)</f>
        <v/>
      </c>
      <c r="Q835" s="67" t="n">
        <v>0.417</v>
      </c>
      <c r="R835" s="60" t="n">
        <v>484945860710786</v>
      </c>
      <c r="S835" s="68" t="n">
        <v>46227.73958333334</v>
      </c>
      <c r="T835" s="68" t="n">
        <v>46405.45833333334</v>
      </c>
      <c r="U835" s="60" t="n">
        <v>101313</v>
      </c>
      <c r="V835" t="inlineStr">
        <is>
          <t>214286</t>
        </is>
      </c>
      <c r="W835" t="inlineStr">
        <is>
          <t>venda casada (90 pedidos)</t>
        </is>
      </c>
      <c r="X835" t="n">
        <v>90</v>
      </c>
      <c r="Y835" t="inlineStr">
        <is>
          <t>ok</t>
        </is>
      </c>
    </row>
    <row r="836" ht="18" customHeight="1">
      <c r="A836" s="54" t="inlineStr">
        <is>
          <t>Donacor</t>
        </is>
      </c>
      <c r="B836" s="54" t="inlineStr">
        <is>
          <t>Calça Legging Lupo Sport Feminina Fitness Academia Original</t>
        </is>
      </c>
      <c r="C836" s="54" t="inlineStr">
        <is>
          <t>Preto,P - 36 a 38</t>
        </is>
      </c>
      <c r="D836" s="54" t="inlineStr">
        <is>
          <t>LUPO-LEGGING-P</t>
        </is>
      </c>
      <c r="E836" s="54" t="n">
        <v>18097716530</v>
      </c>
      <c r="F836" s="54" t="n">
        <v>209595395131</v>
      </c>
      <c r="G836" s="54" t="inlineStr">
        <is>
          <t>NORMAL</t>
        </is>
      </c>
      <c r="H836" s="86" t="n">
        <v>299.9</v>
      </c>
      <c r="I836" s="86" t="n">
        <v>169.9</v>
      </c>
      <c r="J836" s="56" t="inlineStr">
        <is>
          <t>SIM</t>
        </is>
      </c>
      <c r="K836" s="86" t="n">
        <v>169.9</v>
      </c>
      <c r="L836" s="87" t="n">
        <v>169.9</v>
      </c>
      <c r="M836" s="88" t="n">
        <v>1</v>
      </c>
      <c r="N836" s="89" t="n">
        <v>83.06</v>
      </c>
      <c r="O836" s="89">
        <f>ROUND(M836*N836,2)</f>
        <v/>
      </c>
      <c r="P836" s="90">
        <f>IF($O836="","",L836-O836-(L836*IF(L836&lt;=79.99,20%,14%)+IF(L836&lt;=79.99,4,IF(L836&lt;=99.99,16,IF(L836&lt;=199.99,20,IF(L836&lt;=499.99,26,28)))))-L836*1.3%-L836*6%-(L836-O836)*9.25%-L836*3%-L836*3%-1)</f>
        <v/>
      </c>
      <c r="Q836" s="58" t="n">
        <v>0.433</v>
      </c>
      <c r="R836" s="54" t="inlineStr">
        <is>
          <t>488524742865093, 478840979931317</t>
        </is>
      </c>
      <c r="S836" s="59" t="n">
        <v>46248</v>
      </c>
      <c r="T836" s="59" t="n">
        <v>46248.99930555555</v>
      </c>
      <c r="U836" s="54" t="n">
        <v>101313</v>
      </c>
      <c r="V836" t="inlineStr">
        <is>
          <t>214270</t>
        </is>
      </c>
      <c r="W836" t="inlineStr">
        <is>
          <t>venda casada (74 pedidos)</t>
        </is>
      </c>
      <c r="X836" t="n">
        <v>74</v>
      </c>
      <c r="Y836" t="inlineStr">
        <is>
          <t>ok</t>
        </is>
      </c>
    </row>
    <row r="837" ht="18" customHeight="1">
      <c r="A837" s="60" t="inlineStr">
        <is>
          <t>Donacor</t>
        </is>
      </c>
      <c r="B837" s="60" t="inlineStr">
        <is>
          <t>Calça Legging Lupo Sport Feminina Fitness Academia Original</t>
        </is>
      </c>
      <c r="C837" s="60" t="inlineStr">
        <is>
          <t>Preto,XG - 50 a 52</t>
        </is>
      </c>
      <c r="D837" s="60" t="inlineStr">
        <is>
          <t>LEG-PRETO-XG</t>
        </is>
      </c>
      <c r="E837" s="60" t="n">
        <v>18097716530</v>
      </c>
      <c r="F837" s="60" t="n">
        <v>189175067176</v>
      </c>
      <c r="G837" s="60" t="inlineStr">
        <is>
          <t>NORMAL</t>
        </is>
      </c>
      <c r="H837" s="91" t="n">
        <v>299.9</v>
      </c>
      <c r="I837" s="91" t="n">
        <v>299.9</v>
      </c>
      <c r="J837" s="62" t="inlineStr">
        <is>
          <t>NÃO</t>
        </is>
      </c>
      <c r="K837" s="60" t="inlineStr">
        <is>
          <t> </t>
        </is>
      </c>
      <c r="L837" s="87" t="n">
        <v>299.9</v>
      </c>
      <c r="P837" s="92">
        <f>IF($O837="","",L837-O837-(L837*IF(L837&lt;=79.99,20%,14%)+IF(L837&lt;=79.99,4,IF(L837&lt;=99.99,16,IF(L837&lt;=199.99,20,IF(L837&lt;=499.99,26,28)))))-L837*1.3%-L837*6%-(L837-O837)*9.25%-L837*3%-L837*3%-1)</f>
        <v/>
      </c>
      <c r="Q837" s="60" t="inlineStr">
        <is>
          <t> </t>
        </is>
      </c>
      <c r="R837" s="60" t="inlineStr">
        <is>
          <t> </t>
        </is>
      </c>
      <c r="S837" s="60" t="inlineStr">
        <is>
          <t> </t>
        </is>
      </c>
      <c r="T837" s="60" t="inlineStr">
        <is>
          <t> </t>
        </is>
      </c>
      <c r="U837" s="60" t="n">
        <v>101313</v>
      </c>
      <c r="V837" t="inlineStr">
        <is>
          <t>LEG-PRETO-XG</t>
        </is>
      </c>
      <c r="W837" t="inlineStr">
        <is>
          <t>SKU idêntico na Olist · CUSTO ZERADO na Olist (conferido hoje)</t>
        </is>
      </c>
      <c r="Y837" t="inlineStr">
        <is>
          <t>ok</t>
        </is>
      </c>
    </row>
    <row r="838" ht="18" customHeight="1">
      <c r="A838" s="54" t="inlineStr">
        <is>
          <t>Donacor</t>
        </is>
      </c>
      <c r="B838" s="54" t="inlineStr">
        <is>
          <t>Calça Legging Lupo Sport Feminina Fitness Academia Original</t>
        </is>
      </c>
      <c r="C838" s="54" t="inlineStr">
        <is>
          <t>Purple,G - 44 a 46</t>
        </is>
      </c>
      <c r="D838" s="54" t="inlineStr">
        <is>
          <t>LUPO-LEGGING-G-PURPLE</t>
        </is>
      </c>
      <c r="E838" s="54" t="n">
        <v>18097716530</v>
      </c>
      <c r="F838" s="54" t="n">
        <v>286850841382</v>
      </c>
      <c r="G838" s="54" t="inlineStr">
        <is>
          <t>NORMAL</t>
        </is>
      </c>
      <c r="H838" s="86" t="n">
        <v>299.9</v>
      </c>
      <c r="I838" s="86" t="n">
        <v>169.9</v>
      </c>
      <c r="J838" s="56" t="inlineStr">
        <is>
          <t>SIM</t>
        </is>
      </c>
      <c r="K838" s="86" t="n">
        <v>169.9</v>
      </c>
      <c r="L838" s="87" t="n">
        <v>144.84</v>
      </c>
      <c r="M838" s="88" t="n">
        <v>1</v>
      </c>
      <c r="N838" s="89" t="n">
        <v>83.06</v>
      </c>
      <c r="O838" s="89">
        <f>ROUND(M838*N838,2)</f>
        <v/>
      </c>
      <c r="P838" s="90">
        <f>IF($O838="","",L838-O838-(L838*IF(L838&lt;=79.99,20%,14%)+IF(L838&lt;=79.99,4,IF(L838&lt;=99.99,16,IF(L838&lt;=199.99,20,IF(L838&lt;=499.99,26,28)))))-L838*1.3%-L838*6%-(L838-O838)*9.25%-L838*3%-L838*3%-1)</f>
        <v/>
      </c>
      <c r="Q838" s="58" t="n">
        <v>0.517</v>
      </c>
      <c r="R838" s="54" t="n">
        <v>492459130044625</v>
      </c>
      <c r="S838" s="59" t="n">
        <v>46248.47222222222</v>
      </c>
      <c r="T838" s="59" t="n">
        <v>46254.99930555555</v>
      </c>
      <c r="U838" s="54" t="n">
        <v>101313</v>
      </c>
      <c r="V838" t="inlineStr">
        <is>
          <t>215222</t>
        </is>
      </c>
      <c r="W838" t="inlineStr">
        <is>
          <t>venda casada (20 pedidos)</t>
        </is>
      </c>
      <c r="X838" t="n">
        <v>20</v>
      </c>
      <c r="Y838" t="inlineStr">
        <is>
          <t>ok</t>
        </is>
      </c>
    </row>
    <row r="839" ht="18" customHeight="1">
      <c r="A839" s="60" t="inlineStr">
        <is>
          <t>Donacor</t>
        </is>
      </c>
      <c r="B839" s="60" t="inlineStr">
        <is>
          <t>Calça Legging Lupo Sport Feminina Fitness Academia Original</t>
        </is>
      </c>
      <c r="C839" s="60" t="inlineStr">
        <is>
          <t>Purple,GG - 48 a 50</t>
        </is>
      </c>
      <c r="D839" s="60" t="inlineStr">
        <is>
          <t>LUPO-LEGGING-GG-PURPLE</t>
        </is>
      </c>
      <c r="E839" s="60" t="n">
        <v>18097716530</v>
      </c>
      <c r="F839" s="60" t="n">
        <v>286850841383</v>
      </c>
      <c r="G839" s="60" t="inlineStr">
        <is>
          <t>NORMAL</t>
        </is>
      </c>
      <c r="H839" s="91" t="n">
        <v>299.9</v>
      </c>
      <c r="I839" s="91" t="n">
        <v>169.9</v>
      </c>
      <c r="J839" s="65" t="inlineStr">
        <is>
          <t>SIM</t>
        </is>
      </c>
      <c r="K839" s="91" t="n">
        <v>169.9</v>
      </c>
      <c r="L839" s="87" t="n">
        <v>169.9</v>
      </c>
      <c r="M839" s="88" t="n">
        <v>1</v>
      </c>
      <c r="N839" s="89" t="n">
        <v>83.06</v>
      </c>
      <c r="O839" s="89">
        <f>ROUND(M839*N839,2)</f>
        <v/>
      </c>
      <c r="P839" s="92">
        <f>IF($O839="","",L839-O839-(L839*IF(L839&lt;=79.99,20%,14%)+IF(L839&lt;=79.99,4,IF(L839&lt;=99.99,16,IF(L839&lt;=199.99,20,IF(L839&lt;=499.99,26,28)))))-L839*1.3%-L839*6%-(L839-O839)*9.25%-L839*3%-L839*3%-1)</f>
        <v/>
      </c>
      <c r="Q839" s="67" t="n">
        <v>0.433</v>
      </c>
      <c r="R839" s="60" t="n">
        <v>478840979931317</v>
      </c>
      <c r="S839" s="68" t="n">
        <v>46248</v>
      </c>
      <c r="T839" s="68" t="n">
        <v>46248.99930555555</v>
      </c>
      <c r="U839" s="60" t="n">
        <v>101313</v>
      </c>
      <c r="V839" t="inlineStr">
        <is>
          <t>215223</t>
        </is>
      </c>
      <c r="W839" t="inlineStr">
        <is>
          <t>venda casada (4 pedidos)</t>
        </is>
      </c>
      <c r="X839" t="n">
        <v>4</v>
      </c>
      <c r="Y839" t="inlineStr">
        <is>
          <t>ok</t>
        </is>
      </c>
    </row>
    <row r="840" ht="18" customHeight="1">
      <c r="A840" s="54" t="inlineStr">
        <is>
          <t>Donacor</t>
        </is>
      </c>
      <c r="B840" s="54" t="inlineStr">
        <is>
          <t>Calça Legging Lupo Sport Feminina Fitness Academia Original</t>
        </is>
      </c>
      <c r="C840" s="54" t="inlineStr">
        <is>
          <t>Purple,M - 40 a 42</t>
        </is>
      </c>
      <c r="D840" s="54" t="inlineStr">
        <is>
          <t>LUPO-LEGGING-M-PURPLE</t>
        </is>
      </c>
      <c r="E840" s="54" t="n">
        <v>18097716530</v>
      </c>
      <c r="F840" s="54" t="n">
        <v>286850841381</v>
      </c>
      <c r="G840" s="54" t="inlineStr">
        <is>
          <t>NORMAL</t>
        </is>
      </c>
      <c r="H840" s="86" t="n">
        <v>299.9</v>
      </c>
      <c r="I840" s="86" t="n">
        <v>169.9</v>
      </c>
      <c r="J840" s="56" t="inlineStr">
        <is>
          <t>SIM</t>
        </is>
      </c>
      <c r="K840" s="86" t="n">
        <v>169.9</v>
      </c>
      <c r="L840" s="87" t="n">
        <v>169.9</v>
      </c>
      <c r="M840" s="88" t="n">
        <v>1</v>
      </c>
      <c r="N840" s="89" t="n">
        <v>83.06</v>
      </c>
      <c r="O840" s="89">
        <f>ROUND(M840*N840,2)</f>
        <v/>
      </c>
      <c r="P840" s="90">
        <f>IF($O840="","",L840-O840-(L840*IF(L840&lt;=79.99,20%,14%)+IF(L840&lt;=79.99,4,IF(L840&lt;=99.99,16,IF(L840&lt;=199.99,20,IF(L840&lt;=499.99,26,28)))))-L840*1.3%-L840*6%-(L840-O840)*9.25%-L840*3%-L840*3%-1)</f>
        <v/>
      </c>
      <c r="Q840" s="58" t="n">
        <v>0.433</v>
      </c>
      <c r="R840" s="54" t="inlineStr">
        <is>
          <t>488524742865093, 478840979931317</t>
        </is>
      </c>
      <c r="S840" s="59" t="n">
        <v>46248</v>
      </c>
      <c r="T840" s="59" t="n">
        <v>46248.99930555555</v>
      </c>
      <c r="U840" s="54" t="n">
        <v>101313</v>
      </c>
      <c r="V840" t="inlineStr">
        <is>
          <t>215221</t>
        </is>
      </c>
      <c r="W840" t="inlineStr">
        <is>
          <t>venda casada (50 pedidos)</t>
        </is>
      </c>
      <c r="X840" t="n">
        <v>50</v>
      </c>
      <c r="Y840" t="inlineStr">
        <is>
          <t>ok</t>
        </is>
      </c>
    </row>
    <row r="841" ht="18" customHeight="1">
      <c r="A841" s="60" t="inlineStr">
        <is>
          <t>Donacor</t>
        </is>
      </c>
      <c r="B841" s="60" t="inlineStr">
        <is>
          <t>Calça Legging Lupo Sport Feminina Fitness Academia Original</t>
        </is>
      </c>
      <c r="C841" s="60" t="inlineStr">
        <is>
          <t>Purple,P - 36 a 38</t>
        </is>
      </c>
      <c r="D841" s="60" t="inlineStr">
        <is>
          <t>LUPO-LEGGING-P-PURPLE</t>
        </is>
      </c>
      <c r="E841" s="60" t="n">
        <v>18097716530</v>
      </c>
      <c r="F841" s="60" t="n">
        <v>286850841380</v>
      </c>
      <c r="G841" s="60" t="inlineStr">
        <is>
          <t>NORMAL</t>
        </is>
      </c>
      <c r="H841" s="91" t="n">
        <v>299.9</v>
      </c>
      <c r="I841" s="91" t="n">
        <v>169.9</v>
      </c>
      <c r="J841" s="65" t="inlineStr">
        <is>
          <t>SIM</t>
        </is>
      </c>
      <c r="K841" s="91" t="n">
        <v>169.9</v>
      </c>
      <c r="L841" s="87" t="n">
        <v>169.9</v>
      </c>
      <c r="M841" s="88" t="n">
        <v>1</v>
      </c>
      <c r="N841" s="89" t="n">
        <v>83.06</v>
      </c>
      <c r="O841" s="89">
        <f>ROUND(M841*N841,2)</f>
        <v/>
      </c>
      <c r="P841" s="92">
        <f>IF($O841="","",L841-O841-(L841*IF(L841&lt;=79.99,20%,14%)+IF(L841&lt;=79.99,4,IF(L841&lt;=99.99,16,IF(L841&lt;=199.99,20,IF(L841&lt;=499.99,26,28)))))-L841*1.3%-L841*6%-(L841-O841)*9.25%-L841*3%-L841*3%-1)</f>
        <v/>
      </c>
      <c r="Q841" s="67" t="n">
        <v>0.433</v>
      </c>
      <c r="R841" s="60" t="n">
        <v>478840979931317</v>
      </c>
      <c r="S841" s="68" t="n">
        <v>46248</v>
      </c>
      <c r="T841" s="68" t="n">
        <v>46248.99930555555</v>
      </c>
      <c r="U841" s="60" t="n">
        <v>101313</v>
      </c>
      <c r="V841" t="inlineStr">
        <is>
          <t>215220</t>
        </is>
      </c>
      <c r="W841" t="inlineStr">
        <is>
          <t>venda casada (20 pedidos)</t>
        </is>
      </c>
      <c r="X841" t="n">
        <v>20</v>
      </c>
      <c r="Y841" t="inlineStr">
        <is>
          <t>ok</t>
        </is>
      </c>
    </row>
    <row r="842" ht="18" customHeight="1">
      <c r="A842" s="54" t="inlineStr">
        <is>
          <t>Donacor</t>
        </is>
      </c>
      <c r="B842" s="54" t="inlineStr">
        <is>
          <t>Calça Legging Lupo Sport Feminina Fitness Academia Original</t>
        </is>
      </c>
      <c r="C842" s="54" t="inlineStr">
        <is>
          <t>Purple,XG - 50 a 52</t>
        </is>
      </c>
      <c r="D842" s="54" t="inlineStr">
        <is>
          <t>LUPO-LEGGING-XG-PURPLE</t>
        </is>
      </c>
      <c r="E842" s="54" t="n">
        <v>18097716530</v>
      </c>
      <c r="F842" s="54" t="n">
        <v>286850841384</v>
      </c>
      <c r="G842" s="54" t="inlineStr">
        <is>
          <t>NORMAL</t>
        </is>
      </c>
      <c r="H842" s="86" t="n">
        <v>299.9</v>
      </c>
      <c r="I842" s="86" t="n">
        <v>169.9</v>
      </c>
      <c r="J842" s="56" t="inlineStr">
        <is>
          <t>SIM</t>
        </is>
      </c>
      <c r="K842" s="86" t="n">
        <v>169.9</v>
      </c>
      <c r="L842" s="87" t="n">
        <v>169.9</v>
      </c>
      <c r="P842" s="90">
        <f>IF($O842="","",L842-O842-(L842*IF(L842&lt;=79.99,20%,14%)+IF(L842&lt;=79.99,4,IF(L842&lt;=99.99,16,IF(L842&lt;=199.99,20,IF(L842&lt;=499.99,26,28)))))-L842*1.3%-L842*6%-(L842-O842)*9.25%-L842*3%-L842*3%-1)</f>
        <v/>
      </c>
      <c r="Q842" s="58" t="n">
        <v>0.433</v>
      </c>
      <c r="R842" s="54" t="inlineStr">
        <is>
          <t>478840979931317, 488524742865093</t>
        </is>
      </c>
      <c r="S842" s="59" t="n">
        <v>46248</v>
      </c>
      <c r="T842" s="59" t="n">
        <v>46248.99930555555</v>
      </c>
      <c r="U842" s="54" t="n">
        <v>101313</v>
      </c>
      <c r="W842" t="inlineStr">
        <is>
          <t>sem correspondência</t>
        </is>
      </c>
      <c r="Y842" t="inlineStr"/>
    </row>
    <row r="843" ht="18" customHeight="1">
      <c r="A843" s="60" t="inlineStr">
        <is>
          <t>Donacor</t>
        </is>
      </c>
      <c r="B843" s="60" t="inlineStr">
        <is>
          <t>Calça Legging Lupo Sport Feminina Fitness Academia Original</t>
        </is>
      </c>
      <c r="C843" s="60" t="inlineStr">
        <is>
          <t>Rosa,G - 44 a 46</t>
        </is>
      </c>
      <c r="D843" s="60" t="inlineStr">
        <is>
          <t>LUPO-LEGGING-G-ROSA</t>
        </is>
      </c>
      <c r="E843" s="60" t="n">
        <v>18097716530</v>
      </c>
      <c r="F843" s="60" t="n">
        <v>286850841397</v>
      </c>
      <c r="G843" s="60" t="inlineStr">
        <is>
          <t>NORMAL</t>
        </is>
      </c>
      <c r="H843" s="91" t="n">
        <v>299.9</v>
      </c>
      <c r="I843" s="91" t="n">
        <v>299.9</v>
      </c>
      <c r="J843" s="62" t="inlineStr">
        <is>
          <t>NÃO</t>
        </is>
      </c>
      <c r="K843" s="60" t="inlineStr">
        <is>
          <t> </t>
        </is>
      </c>
      <c r="L843" s="87" t="n">
        <v>299.9</v>
      </c>
      <c r="P843" s="92">
        <f>IF($O843="","",L843-O843-(L843*IF(L843&lt;=79.99,20%,14%)+IF(L843&lt;=79.99,4,IF(L843&lt;=99.99,16,IF(L843&lt;=199.99,20,IF(L843&lt;=499.99,26,28)))))-L843*1.3%-L843*6%-(L843-O843)*9.25%-L843*3%-L843*3%-1)</f>
        <v/>
      </c>
      <c r="Q843" s="60" t="inlineStr">
        <is>
          <t> </t>
        </is>
      </c>
      <c r="R843" s="60" t="inlineStr">
        <is>
          <t> </t>
        </is>
      </c>
      <c r="S843" s="60" t="inlineStr">
        <is>
          <t> </t>
        </is>
      </c>
      <c r="T843" s="60" t="inlineStr">
        <is>
          <t> </t>
        </is>
      </c>
      <c r="U843" s="60" t="n">
        <v>101313</v>
      </c>
      <c r="W843" t="inlineStr">
        <is>
          <t>sem correspondência</t>
        </is>
      </c>
      <c r="Y843" t="inlineStr"/>
    </row>
    <row r="844" ht="18" customHeight="1">
      <c r="A844" s="54" t="inlineStr">
        <is>
          <t>Donacor</t>
        </is>
      </c>
      <c r="B844" s="54" t="inlineStr">
        <is>
          <t>Calça Legging Lupo Sport Feminina Fitness Academia Original</t>
        </is>
      </c>
      <c r="C844" s="54" t="inlineStr">
        <is>
          <t>Rosa,GG - 48 a 50</t>
        </is>
      </c>
      <c r="D844" s="54" t="inlineStr">
        <is>
          <t>LUPO-LEGGING-GG-ROSA</t>
        </is>
      </c>
      <c r="E844" s="54" t="n">
        <v>18097716530</v>
      </c>
      <c r="F844" s="54" t="n">
        <v>286850841398</v>
      </c>
      <c r="G844" s="54" t="inlineStr">
        <is>
          <t>NORMAL</t>
        </is>
      </c>
      <c r="H844" s="86" t="n">
        <v>299.9</v>
      </c>
      <c r="I844" s="86" t="n">
        <v>299.9</v>
      </c>
      <c r="J844" s="69" t="inlineStr">
        <is>
          <t>NÃO</t>
        </is>
      </c>
      <c r="K844" s="54" t="n"/>
      <c r="L844" s="87" t="n">
        <v>299.9</v>
      </c>
      <c r="P844" s="90">
        <f>IF($O844="","",L844-O844-(L844*IF(L844&lt;=79.99,20%,14%)+IF(L844&lt;=79.99,4,IF(L844&lt;=99.99,16,IF(L844&lt;=199.99,20,IF(L844&lt;=499.99,26,28)))))-L844*1.3%-L844*6%-(L844-O844)*9.25%-L844*3%-L844*3%-1)</f>
        <v/>
      </c>
      <c r="Q844" s="54">
        <f>IF(AND(K844&lt;&gt;"",H844&gt;0),(H844-K844)/H844,"")</f>
        <v/>
      </c>
      <c r="R844" s="54" t="n"/>
      <c r="S844" s="54" t="n"/>
      <c r="T844" s="54" t="n"/>
      <c r="U844" s="54" t="n">
        <v>101313</v>
      </c>
      <c r="W844" t="inlineStr">
        <is>
          <t>sem correspondência</t>
        </is>
      </c>
      <c r="Y844" t="inlineStr"/>
    </row>
    <row r="845" ht="18" customHeight="1">
      <c r="A845" s="60" t="inlineStr">
        <is>
          <t>Donacor</t>
        </is>
      </c>
      <c r="B845" s="60" t="inlineStr">
        <is>
          <t>Calça Legging Lupo Sport Feminina Fitness Academia Original</t>
        </is>
      </c>
      <c r="C845" s="60" t="inlineStr">
        <is>
          <t>Rosa,M - 40 a 42</t>
        </is>
      </c>
      <c r="D845" s="60" t="inlineStr">
        <is>
          <t>LUPO-LEGGING-M-ROSA</t>
        </is>
      </c>
      <c r="E845" s="60" t="n">
        <v>18097716530</v>
      </c>
      <c r="F845" s="60" t="n">
        <v>286850841396</v>
      </c>
      <c r="G845" s="60" t="inlineStr">
        <is>
          <t>NORMAL</t>
        </is>
      </c>
      <c r="H845" s="91" t="n">
        <v>299.9</v>
      </c>
      <c r="I845" s="91" t="n">
        <v>299.9</v>
      </c>
      <c r="J845" s="62" t="inlineStr">
        <is>
          <t>NÃO</t>
        </is>
      </c>
      <c r="K845" s="60" t="inlineStr">
        <is>
          <t> </t>
        </is>
      </c>
      <c r="L845" s="87" t="n">
        <v>299.9</v>
      </c>
      <c r="P845" s="92">
        <f>IF($O845="","",L845-O845-(L845*IF(L845&lt;=79.99,20%,14%)+IF(L845&lt;=79.99,4,IF(L845&lt;=99.99,16,IF(L845&lt;=199.99,20,IF(L845&lt;=499.99,26,28)))))-L845*1.3%-L845*6%-(L845-O845)*9.25%-L845*3%-L845*3%-1)</f>
        <v/>
      </c>
      <c r="Q845" s="60" t="inlineStr">
        <is>
          <t> </t>
        </is>
      </c>
      <c r="R845" s="60" t="inlineStr">
        <is>
          <t> </t>
        </is>
      </c>
      <c r="S845" s="60" t="inlineStr">
        <is>
          <t> </t>
        </is>
      </c>
      <c r="T845" s="60" t="inlineStr">
        <is>
          <t> </t>
        </is>
      </c>
      <c r="U845" s="60" t="n">
        <v>101313</v>
      </c>
      <c r="W845" t="inlineStr">
        <is>
          <t>sem correspondência</t>
        </is>
      </c>
      <c r="Y845" t="inlineStr"/>
    </row>
    <row r="846" ht="18" customHeight="1">
      <c r="A846" s="54" t="inlineStr">
        <is>
          <t>Donacor</t>
        </is>
      </c>
      <c r="B846" s="54" t="inlineStr">
        <is>
          <t>Calça Legging Lupo Sport Feminina Fitness Academia Original</t>
        </is>
      </c>
      <c r="C846" s="54" t="inlineStr">
        <is>
          <t>Rosa,P - 36 a 38</t>
        </is>
      </c>
      <c r="D846" s="54" t="inlineStr">
        <is>
          <t>LUPO-LEGGING-P-ROSA</t>
        </is>
      </c>
      <c r="E846" s="54" t="n">
        <v>18097716530</v>
      </c>
      <c r="F846" s="54" t="n">
        <v>286850841395</v>
      </c>
      <c r="G846" s="54" t="inlineStr">
        <is>
          <t>NORMAL</t>
        </is>
      </c>
      <c r="H846" s="86" t="n">
        <v>299.9</v>
      </c>
      <c r="I846" s="86" t="n">
        <v>299.9</v>
      </c>
      <c r="J846" s="69" t="inlineStr">
        <is>
          <t>NÃO</t>
        </is>
      </c>
      <c r="K846" s="54" t="n"/>
      <c r="L846" s="87" t="n">
        <v>299.9</v>
      </c>
      <c r="P846" s="90">
        <f>IF($O846="","",L846-O846-(L846*IF(L846&lt;=79.99,20%,14%)+IF(L846&lt;=79.99,4,IF(L846&lt;=99.99,16,IF(L846&lt;=199.99,20,IF(L846&lt;=499.99,26,28)))))-L846*1.3%-L846*6%-(L846-O846)*9.25%-L846*3%-L846*3%-1)</f>
        <v/>
      </c>
      <c r="Q846" s="54">
        <f>IF(AND(K846&lt;&gt;"",H846&gt;0),(H846-K846)/H846,"")</f>
        <v/>
      </c>
      <c r="R846" s="54" t="n"/>
      <c r="S846" s="54" t="n"/>
      <c r="T846" s="54" t="n"/>
      <c r="U846" s="54" t="n">
        <v>101313</v>
      </c>
      <c r="W846" t="inlineStr">
        <is>
          <t>sem correspondência</t>
        </is>
      </c>
      <c r="Y846" t="inlineStr"/>
    </row>
    <row r="847" ht="18" customHeight="1">
      <c r="A847" s="60" t="inlineStr">
        <is>
          <t>Donacor</t>
        </is>
      </c>
      <c r="B847" s="60" t="inlineStr">
        <is>
          <t>Calça Legging Lupo Sport Feminina Fitness Academia Original</t>
        </is>
      </c>
      <c r="C847" s="60" t="inlineStr">
        <is>
          <t>Rosa,XG - 50 a 52</t>
        </is>
      </c>
      <c r="D847" s="60" t="inlineStr">
        <is>
          <t>LUPO-LEGGING-XG-ROSA</t>
        </is>
      </c>
      <c r="E847" s="60" t="n">
        <v>18097716530</v>
      </c>
      <c r="F847" s="60" t="n">
        <v>286850841399</v>
      </c>
      <c r="G847" s="60" t="inlineStr">
        <is>
          <t>NORMAL</t>
        </is>
      </c>
      <c r="H847" s="91" t="n">
        <v>299.9</v>
      </c>
      <c r="I847" s="91" t="n">
        <v>299.9</v>
      </c>
      <c r="J847" s="62" t="inlineStr">
        <is>
          <t>NÃO</t>
        </is>
      </c>
      <c r="K847" s="60" t="inlineStr">
        <is>
          <t> </t>
        </is>
      </c>
      <c r="L847" s="87" t="n">
        <v>299.9</v>
      </c>
      <c r="P847" s="92">
        <f>IF($O847="","",L847-O847-(L847*IF(L847&lt;=79.99,20%,14%)+IF(L847&lt;=79.99,4,IF(L847&lt;=99.99,16,IF(L847&lt;=199.99,20,IF(L847&lt;=499.99,26,28)))))-L847*1.3%-L847*6%-(L847-O847)*9.25%-L847*3%-L847*3%-1)</f>
        <v/>
      </c>
      <c r="Q847" s="60" t="inlineStr">
        <is>
          <t> </t>
        </is>
      </c>
      <c r="R847" s="60" t="inlineStr">
        <is>
          <t> </t>
        </is>
      </c>
      <c r="S847" s="60" t="inlineStr">
        <is>
          <t> </t>
        </is>
      </c>
      <c r="T847" s="60" t="inlineStr">
        <is>
          <t> </t>
        </is>
      </c>
      <c r="U847" s="60" t="n">
        <v>101313</v>
      </c>
      <c r="W847" t="inlineStr">
        <is>
          <t>sem correspondência</t>
        </is>
      </c>
      <c r="Y847" t="inlineStr"/>
    </row>
    <row r="848" ht="18" customHeight="1">
      <c r="A848" s="54" t="inlineStr">
        <is>
          <t>Donacor</t>
        </is>
      </c>
      <c r="B848" s="54" t="inlineStr">
        <is>
          <t>Calça Legging Lupo Sport Feminina Fitness Academia Original</t>
        </is>
      </c>
      <c r="C848" s="54" t="inlineStr">
        <is>
          <t>Telha,G - 44 a 46</t>
        </is>
      </c>
      <c r="D848" s="54" t="inlineStr">
        <is>
          <t>LUPO-LEGGING-G-TELHA</t>
        </is>
      </c>
      <c r="E848" s="54" t="n">
        <v>18097716530</v>
      </c>
      <c r="F848" s="54" t="n">
        <v>286850841367</v>
      </c>
      <c r="G848" s="54" t="inlineStr">
        <is>
          <t>NORMAL</t>
        </is>
      </c>
      <c r="H848" s="86" t="n">
        <v>299.9</v>
      </c>
      <c r="I848" s="86" t="n">
        <v>299.9</v>
      </c>
      <c r="J848" s="69" t="inlineStr">
        <is>
          <t>NÃO</t>
        </is>
      </c>
      <c r="K848" s="54" t="n"/>
      <c r="L848" s="87" t="n">
        <v>299.9</v>
      </c>
      <c r="P848" s="90">
        <f>IF($O848="","",L848-O848-(L848*IF(L848&lt;=79.99,20%,14%)+IF(L848&lt;=79.99,4,IF(L848&lt;=99.99,16,IF(L848&lt;=199.99,20,IF(L848&lt;=499.99,26,28)))))-L848*1.3%-L848*6%-(L848-O848)*9.25%-L848*3%-L848*3%-1)</f>
        <v/>
      </c>
      <c r="Q848" s="54">
        <f>IF(AND(K848&lt;&gt;"",H848&gt;0),(H848-K848)/H848,"")</f>
        <v/>
      </c>
      <c r="R848" s="54" t="n"/>
      <c r="S848" s="54" t="n"/>
      <c r="T848" s="54" t="n"/>
      <c r="U848" s="54" t="n">
        <v>101313</v>
      </c>
      <c r="V848" t="inlineStr">
        <is>
          <t>LUPO-LEGGING-G-TELHA</t>
        </is>
      </c>
      <c r="W848" t="inlineStr">
        <is>
          <t>SKU idêntico na Olist · CUSTO ZERADO na Olist (conferido hoje)</t>
        </is>
      </c>
      <c r="Y848" t="inlineStr">
        <is>
          <t>ok</t>
        </is>
      </c>
    </row>
    <row r="849" ht="18" customHeight="1">
      <c r="A849" s="60" t="inlineStr">
        <is>
          <t>Donacor</t>
        </is>
      </c>
      <c r="B849" s="60" t="inlineStr">
        <is>
          <t>Calça Legging Lupo Sport Feminina Fitness Academia Original</t>
        </is>
      </c>
      <c r="C849" s="60" t="inlineStr">
        <is>
          <t>Telha,GG - 48 a 50</t>
        </is>
      </c>
      <c r="D849" s="60" t="inlineStr">
        <is>
          <t>LUPO-LEGGING-GG-TELHA</t>
        </is>
      </c>
      <c r="E849" s="60" t="n">
        <v>18097716530</v>
      </c>
      <c r="F849" s="60" t="n">
        <v>286850841368</v>
      </c>
      <c r="G849" s="60" t="inlineStr">
        <is>
          <t>NORMAL</t>
        </is>
      </c>
      <c r="H849" s="91" t="n">
        <v>299.9</v>
      </c>
      <c r="I849" s="91" t="n">
        <v>299.9</v>
      </c>
      <c r="J849" s="62" t="inlineStr">
        <is>
          <t>NÃO</t>
        </is>
      </c>
      <c r="K849" s="60" t="inlineStr">
        <is>
          <t> </t>
        </is>
      </c>
      <c r="L849" s="87" t="n">
        <v>299.9</v>
      </c>
      <c r="P849" s="92">
        <f>IF($O849="","",L849-O849-(L849*IF(L849&lt;=79.99,20%,14%)+IF(L849&lt;=79.99,4,IF(L849&lt;=99.99,16,IF(L849&lt;=199.99,20,IF(L849&lt;=499.99,26,28)))))-L849*1.3%-L849*6%-(L849-O849)*9.25%-L849*3%-L849*3%-1)</f>
        <v/>
      </c>
      <c r="Q849" s="60" t="inlineStr">
        <is>
          <t> </t>
        </is>
      </c>
      <c r="R849" s="60" t="inlineStr">
        <is>
          <t> </t>
        </is>
      </c>
      <c r="S849" s="60" t="inlineStr">
        <is>
          <t> </t>
        </is>
      </c>
      <c r="T849" s="60" t="inlineStr">
        <is>
          <t> </t>
        </is>
      </c>
      <c r="U849" s="60" t="n">
        <v>101313</v>
      </c>
      <c r="W849" t="inlineStr">
        <is>
          <t>sem correspondência</t>
        </is>
      </c>
      <c r="Y849" t="inlineStr"/>
    </row>
    <row r="850" ht="18" customHeight="1">
      <c r="A850" s="54" t="inlineStr">
        <is>
          <t>Donacor</t>
        </is>
      </c>
      <c r="B850" s="54" t="inlineStr">
        <is>
          <t>Calça Legging Lupo Sport Feminina Fitness Academia Original</t>
        </is>
      </c>
      <c r="C850" s="54" t="inlineStr">
        <is>
          <t>Telha,M - 40 a 42</t>
        </is>
      </c>
      <c r="D850" s="54" t="inlineStr">
        <is>
          <t>LUPO-LEGGING-M-TELHA</t>
        </is>
      </c>
      <c r="E850" s="54" t="n">
        <v>18097716530</v>
      </c>
      <c r="F850" s="54" t="n">
        <v>286850841366</v>
      </c>
      <c r="G850" s="54" t="inlineStr">
        <is>
          <t>NORMAL</t>
        </is>
      </c>
      <c r="H850" s="86" t="n">
        <v>299.9</v>
      </c>
      <c r="I850" s="86" t="n">
        <v>299.9</v>
      </c>
      <c r="J850" s="69" t="inlineStr">
        <is>
          <t>NÃO</t>
        </is>
      </c>
      <c r="K850" s="54" t="n"/>
      <c r="L850" s="87" t="n">
        <v>299.9</v>
      </c>
      <c r="P850" s="90">
        <f>IF($O850="","",L850-O850-(L850*IF(L850&lt;=79.99,20%,14%)+IF(L850&lt;=79.99,4,IF(L850&lt;=99.99,16,IF(L850&lt;=199.99,20,IF(L850&lt;=499.99,26,28)))))-L850*1.3%-L850*6%-(L850-O850)*9.25%-L850*3%-L850*3%-1)</f>
        <v/>
      </c>
      <c r="Q850" s="54">
        <f>IF(AND(K850&lt;&gt;"",H850&gt;0),(H850-K850)/H850,"")</f>
        <v/>
      </c>
      <c r="R850" s="54" t="n"/>
      <c r="S850" s="54" t="n"/>
      <c r="T850" s="54" t="n"/>
      <c r="U850" s="54" t="n">
        <v>101313</v>
      </c>
      <c r="W850" t="inlineStr">
        <is>
          <t>sem correspondência</t>
        </is>
      </c>
      <c r="Y850" t="inlineStr"/>
    </row>
    <row r="851" ht="18" customHeight="1">
      <c r="A851" s="60" t="inlineStr">
        <is>
          <t>Donacor</t>
        </is>
      </c>
      <c r="B851" s="60" t="inlineStr">
        <is>
          <t>Calça Legging Lupo Sport Feminina Fitness Academia Original</t>
        </is>
      </c>
      <c r="C851" s="60" t="inlineStr">
        <is>
          <t>Telha,P - 36 a 38</t>
        </is>
      </c>
      <c r="D851" s="60" t="inlineStr">
        <is>
          <t>LUPO-LEGGING-P-TELHA</t>
        </is>
      </c>
      <c r="E851" s="60" t="n">
        <v>18097716530</v>
      </c>
      <c r="F851" s="60" t="n">
        <v>286850841365</v>
      </c>
      <c r="G851" s="60" t="inlineStr">
        <is>
          <t>NORMAL</t>
        </is>
      </c>
      <c r="H851" s="91" t="n">
        <v>299.9</v>
      </c>
      <c r="I851" s="91" t="n">
        <v>299.9</v>
      </c>
      <c r="J851" s="62" t="inlineStr">
        <is>
          <t>NÃO</t>
        </is>
      </c>
      <c r="K851" s="60" t="inlineStr">
        <is>
          <t> </t>
        </is>
      </c>
      <c r="L851" s="87" t="n">
        <v>299.9</v>
      </c>
      <c r="P851" s="92">
        <f>IF($O851="","",L851-O851-(L851*IF(L851&lt;=79.99,20%,14%)+IF(L851&lt;=79.99,4,IF(L851&lt;=99.99,16,IF(L851&lt;=199.99,20,IF(L851&lt;=499.99,26,28)))))-L851*1.3%-L851*6%-(L851-O851)*9.25%-L851*3%-L851*3%-1)</f>
        <v/>
      </c>
      <c r="Q851" s="60" t="inlineStr">
        <is>
          <t> </t>
        </is>
      </c>
      <c r="R851" s="60" t="inlineStr">
        <is>
          <t> </t>
        </is>
      </c>
      <c r="S851" s="60" t="inlineStr">
        <is>
          <t> </t>
        </is>
      </c>
      <c r="T851" s="60" t="inlineStr">
        <is>
          <t> </t>
        </is>
      </c>
      <c r="U851" s="60" t="n">
        <v>101313</v>
      </c>
      <c r="W851" t="inlineStr">
        <is>
          <t>sem correspondência</t>
        </is>
      </c>
      <c r="Y851" t="inlineStr"/>
    </row>
    <row r="852" ht="18" customHeight="1">
      <c r="A852" s="54" t="inlineStr">
        <is>
          <t>Donacor</t>
        </is>
      </c>
      <c r="B852" s="54" t="inlineStr">
        <is>
          <t>Calça Legging Lupo Sport Feminina Fitness Academia Original</t>
        </is>
      </c>
      <c r="C852" s="54" t="inlineStr">
        <is>
          <t>Telha,XG - 50 a 52</t>
        </is>
      </c>
      <c r="D852" s="54" t="inlineStr">
        <is>
          <t>LUPO-LEGGING-XG-TELHA</t>
        </is>
      </c>
      <c r="E852" s="54" t="n">
        <v>18097716530</v>
      </c>
      <c r="F852" s="54" t="n">
        <v>286850841369</v>
      </c>
      <c r="G852" s="54" t="inlineStr">
        <is>
          <t>NORMAL</t>
        </is>
      </c>
      <c r="H852" s="86" t="n">
        <v>299.9</v>
      </c>
      <c r="I852" s="86" t="n">
        <v>299.9</v>
      </c>
      <c r="J852" s="69" t="inlineStr">
        <is>
          <t>NÃO</t>
        </is>
      </c>
      <c r="K852" s="54" t="n"/>
      <c r="L852" s="87" t="n">
        <v>299.9</v>
      </c>
      <c r="P852" s="90">
        <f>IF($O852="","",L852-O852-(L852*IF(L852&lt;=79.99,20%,14%)+IF(L852&lt;=79.99,4,IF(L852&lt;=99.99,16,IF(L852&lt;=199.99,20,IF(L852&lt;=499.99,26,28)))))-L852*1.3%-L852*6%-(L852-O852)*9.25%-L852*3%-L852*3%-1)</f>
        <v/>
      </c>
      <c r="Q852" s="54">
        <f>IF(AND(K852&lt;&gt;"",H852&gt;0),(H852-K852)/H852,"")</f>
        <v/>
      </c>
      <c r="R852" s="54" t="n"/>
      <c r="S852" s="54" t="n"/>
      <c r="T852" s="54" t="n"/>
      <c r="U852" s="54" t="n">
        <v>101313</v>
      </c>
      <c r="W852" t="inlineStr">
        <is>
          <t>sem correspondência</t>
        </is>
      </c>
      <c r="Y852" t="inlineStr"/>
    </row>
    <row r="853" ht="18" customHeight="1">
      <c r="A853" s="60" t="inlineStr">
        <is>
          <t>Donacor</t>
        </is>
      </c>
      <c r="B853" s="60" t="inlineStr">
        <is>
          <t>Calça Legging Lupo Sport Feminina Fitness Academia Original</t>
        </is>
      </c>
      <c r="C853" s="60" t="inlineStr">
        <is>
          <t>Tijolo,G - 44 a 46</t>
        </is>
      </c>
      <c r="D853" s="60" t="inlineStr">
        <is>
          <t>LUPO-LEGGING-G-TIJOLO</t>
        </is>
      </c>
      <c r="E853" s="60" t="n">
        <v>18097716530</v>
      </c>
      <c r="F853" s="60" t="n">
        <v>286850841372</v>
      </c>
      <c r="G853" s="60" t="inlineStr">
        <is>
          <t>NORMAL</t>
        </is>
      </c>
      <c r="H853" s="91" t="n">
        <v>299.9</v>
      </c>
      <c r="I853" s="91" t="n">
        <v>299.9</v>
      </c>
      <c r="J853" s="62" t="inlineStr">
        <is>
          <t>NÃO</t>
        </is>
      </c>
      <c r="K853" s="60" t="inlineStr">
        <is>
          <t> </t>
        </is>
      </c>
      <c r="L853" s="87" t="n">
        <v>299.9</v>
      </c>
      <c r="P853" s="92">
        <f>IF($O853="","",L853-O853-(L853*IF(L853&lt;=79.99,20%,14%)+IF(L853&lt;=79.99,4,IF(L853&lt;=99.99,16,IF(L853&lt;=199.99,20,IF(L853&lt;=499.99,26,28)))))-L853*1.3%-L853*6%-(L853-O853)*9.25%-L853*3%-L853*3%-1)</f>
        <v/>
      </c>
      <c r="Q853" s="60" t="inlineStr">
        <is>
          <t> </t>
        </is>
      </c>
      <c r="R853" s="60" t="inlineStr">
        <is>
          <t> </t>
        </is>
      </c>
      <c r="S853" s="60" t="inlineStr">
        <is>
          <t> </t>
        </is>
      </c>
      <c r="T853" s="60" t="inlineStr">
        <is>
          <t> </t>
        </is>
      </c>
      <c r="U853" s="60" t="n">
        <v>101313</v>
      </c>
      <c r="W853" t="inlineStr">
        <is>
          <t>sem correspondência</t>
        </is>
      </c>
      <c r="Y853" t="inlineStr"/>
    </row>
    <row r="854" ht="18" customHeight="1">
      <c r="A854" s="54" t="inlineStr">
        <is>
          <t>Donacor</t>
        </is>
      </c>
      <c r="B854" s="54" t="inlineStr">
        <is>
          <t>Calça Legging Lupo Sport Feminina Fitness Academia Original</t>
        </is>
      </c>
      <c r="C854" s="54" t="inlineStr">
        <is>
          <t>Tijolo,GG - 48 a 50</t>
        </is>
      </c>
      <c r="D854" s="54" t="inlineStr">
        <is>
          <t>LUPO-LEGGING-GG-TIJOLO</t>
        </is>
      </c>
      <c r="E854" s="54" t="n">
        <v>18097716530</v>
      </c>
      <c r="F854" s="54" t="n">
        <v>286850841373</v>
      </c>
      <c r="G854" s="54" t="inlineStr">
        <is>
          <t>NORMAL</t>
        </is>
      </c>
      <c r="H854" s="86" t="n">
        <v>299.9</v>
      </c>
      <c r="I854" s="86" t="n">
        <v>299.9</v>
      </c>
      <c r="J854" s="69" t="inlineStr">
        <is>
          <t>NÃO</t>
        </is>
      </c>
      <c r="K854" s="54" t="n"/>
      <c r="L854" s="87" t="n">
        <v>299.9</v>
      </c>
      <c r="P854" s="90">
        <f>IF($O854="","",L854-O854-(L854*IF(L854&lt;=79.99,20%,14%)+IF(L854&lt;=79.99,4,IF(L854&lt;=99.99,16,IF(L854&lt;=199.99,20,IF(L854&lt;=499.99,26,28)))))-L854*1.3%-L854*6%-(L854-O854)*9.25%-L854*3%-L854*3%-1)</f>
        <v/>
      </c>
      <c r="Q854" s="54">
        <f>IF(AND(K854&lt;&gt;"",H854&gt;0),(H854-K854)/H854,"")</f>
        <v/>
      </c>
      <c r="R854" s="54" t="n"/>
      <c r="S854" s="54" t="n"/>
      <c r="T854" s="54" t="n"/>
      <c r="U854" s="54" t="n">
        <v>101313</v>
      </c>
      <c r="V854" t="inlineStr">
        <is>
          <t>LUPO-LEGGING-GG-TIJOLO</t>
        </is>
      </c>
      <c r="W854" t="inlineStr">
        <is>
          <t>SKU idêntico na Olist · CUSTO ZERADO na Olist (conferido hoje)</t>
        </is>
      </c>
      <c r="Y854" t="inlineStr">
        <is>
          <t>ok</t>
        </is>
      </c>
    </row>
    <row r="855" ht="18" customHeight="1">
      <c r="A855" s="60" t="inlineStr">
        <is>
          <t>Donacor</t>
        </is>
      </c>
      <c r="B855" s="60" t="inlineStr">
        <is>
          <t>Calça Legging Lupo Sport Feminina Fitness Academia Original</t>
        </is>
      </c>
      <c r="C855" s="60" t="inlineStr">
        <is>
          <t>Tijolo,M - 40 a 42</t>
        </is>
      </c>
      <c r="D855" s="60" t="inlineStr">
        <is>
          <t>LUPO-LEGGING-M-TIJOLO</t>
        </is>
      </c>
      <c r="E855" s="60" t="n">
        <v>18097716530</v>
      </c>
      <c r="F855" s="60" t="n">
        <v>286850841371</v>
      </c>
      <c r="G855" s="60" t="inlineStr">
        <is>
          <t>NORMAL</t>
        </is>
      </c>
      <c r="H855" s="91" t="n">
        <v>299.9</v>
      </c>
      <c r="I855" s="91" t="n">
        <v>299.9</v>
      </c>
      <c r="J855" s="62" t="inlineStr">
        <is>
          <t>NÃO</t>
        </is>
      </c>
      <c r="K855" s="60" t="inlineStr">
        <is>
          <t> </t>
        </is>
      </c>
      <c r="L855" s="87" t="n">
        <v>299.9</v>
      </c>
      <c r="P855" s="92">
        <f>IF($O855="","",L855-O855-(L855*IF(L855&lt;=79.99,20%,14%)+IF(L855&lt;=79.99,4,IF(L855&lt;=99.99,16,IF(L855&lt;=199.99,20,IF(L855&lt;=499.99,26,28)))))-L855*1.3%-L855*6%-(L855-O855)*9.25%-L855*3%-L855*3%-1)</f>
        <v/>
      </c>
      <c r="Q855" s="60" t="inlineStr">
        <is>
          <t> </t>
        </is>
      </c>
      <c r="R855" s="60" t="inlineStr">
        <is>
          <t> </t>
        </is>
      </c>
      <c r="S855" s="60" t="inlineStr">
        <is>
          <t> </t>
        </is>
      </c>
      <c r="T855" s="60" t="inlineStr">
        <is>
          <t> </t>
        </is>
      </c>
      <c r="U855" s="60" t="n">
        <v>101313</v>
      </c>
      <c r="W855" t="inlineStr">
        <is>
          <t>sem correspondência</t>
        </is>
      </c>
      <c r="Y855" t="inlineStr"/>
    </row>
    <row r="856" ht="18" customHeight="1">
      <c r="A856" s="54" t="inlineStr">
        <is>
          <t>Donacor</t>
        </is>
      </c>
      <c r="B856" s="54" t="inlineStr">
        <is>
          <t>Calça Legging Lupo Sport Feminina Fitness Academia Original</t>
        </is>
      </c>
      <c r="C856" s="54" t="inlineStr">
        <is>
          <t>Tijolo,P - 36 a 38</t>
        </is>
      </c>
      <c r="D856" s="54" t="inlineStr">
        <is>
          <t>LUPO-LEGGING-P-TIJOLO</t>
        </is>
      </c>
      <c r="E856" s="54" t="n">
        <v>18097716530</v>
      </c>
      <c r="F856" s="54" t="n">
        <v>286850841370</v>
      </c>
      <c r="G856" s="54" t="inlineStr">
        <is>
          <t>NORMAL</t>
        </is>
      </c>
      <c r="H856" s="86" t="n">
        <v>299.9</v>
      </c>
      <c r="I856" s="86" t="n">
        <v>299.9</v>
      </c>
      <c r="J856" s="69" t="inlineStr">
        <is>
          <t>NÃO</t>
        </is>
      </c>
      <c r="K856" s="54" t="n"/>
      <c r="L856" s="87" t="n">
        <v>299.9</v>
      </c>
      <c r="P856" s="90">
        <f>IF($O856="","",L856-O856-(L856*IF(L856&lt;=79.99,20%,14%)+IF(L856&lt;=79.99,4,IF(L856&lt;=99.99,16,IF(L856&lt;=199.99,20,IF(L856&lt;=499.99,26,28)))))-L856*1.3%-L856*6%-(L856-O856)*9.25%-L856*3%-L856*3%-1)</f>
        <v/>
      </c>
      <c r="Q856" s="54">
        <f>IF(AND(K856&lt;&gt;"",H856&gt;0),(H856-K856)/H856,"")</f>
        <v/>
      </c>
      <c r="R856" s="54" t="n"/>
      <c r="S856" s="54" t="n"/>
      <c r="T856" s="54" t="n"/>
      <c r="U856" s="54" t="n">
        <v>101313</v>
      </c>
      <c r="W856" t="inlineStr">
        <is>
          <t>sem correspondência</t>
        </is>
      </c>
      <c r="Y856" t="inlineStr"/>
    </row>
    <row r="857" ht="18" customHeight="1">
      <c r="A857" s="60" t="inlineStr">
        <is>
          <t>Donacor</t>
        </is>
      </c>
      <c r="B857" s="60" t="inlineStr">
        <is>
          <t>Calça Legging Lupo Sport Feminina Fitness Academia Original</t>
        </is>
      </c>
      <c r="C857" s="60" t="inlineStr">
        <is>
          <t>Tijolo,XG - 50 a 52</t>
        </is>
      </c>
      <c r="D857" s="60" t="inlineStr">
        <is>
          <t>LUPO-LEGGING-XG-TIJOLO</t>
        </is>
      </c>
      <c r="E857" s="60" t="n">
        <v>18097716530</v>
      </c>
      <c r="F857" s="60" t="n">
        <v>286850841374</v>
      </c>
      <c r="G857" s="60" t="inlineStr">
        <is>
          <t>NORMAL</t>
        </is>
      </c>
      <c r="H857" s="91" t="n">
        <v>299.9</v>
      </c>
      <c r="I857" s="91" t="n">
        <v>299.9</v>
      </c>
      <c r="J857" s="62" t="inlineStr">
        <is>
          <t>NÃO</t>
        </is>
      </c>
      <c r="K857" s="60" t="inlineStr">
        <is>
          <t> </t>
        </is>
      </c>
      <c r="L857" s="87" t="n">
        <v>299.9</v>
      </c>
      <c r="P857" s="92">
        <f>IF($O857="","",L857-O857-(L857*IF(L857&lt;=79.99,20%,14%)+IF(L857&lt;=79.99,4,IF(L857&lt;=99.99,16,IF(L857&lt;=199.99,20,IF(L857&lt;=499.99,26,28)))))-L857*1.3%-L857*6%-(L857-O857)*9.25%-L857*3%-L857*3%-1)</f>
        <v/>
      </c>
      <c r="Q857" s="60" t="inlineStr">
        <is>
          <t> </t>
        </is>
      </c>
      <c r="R857" s="60" t="inlineStr">
        <is>
          <t> </t>
        </is>
      </c>
      <c r="S857" s="60" t="inlineStr">
        <is>
          <t> </t>
        </is>
      </c>
      <c r="T857" s="60" t="inlineStr">
        <is>
          <t> </t>
        </is>
      </c>
      <c r="U857" s="60" t="n">
        <v>101313</v>
      </c>
      <c r="W857" t="inlineStr">
        <is>
          <t>sem correspondência</t>
        </is>
      </c>
      <c r="Y857" t="inlineStr"/>
    </row>
    <row r="858" ht="18" customHeight="1">
      <c r="A858" s="54" t="inlineStr">
        <is>
          <t>Donacor</t>
        </is>
      </c>
      <c r="B858" s="54" t="inlineStr">
        <is>
          <t>Calça Legging Lupo Sport Feminina Fitness Academia Original</t>
        </is>
      </c>
      <c r="C858" s="54" t="inlineStr">
        <is>
          <t>Verde Fresh,G - 44 a 46</t>
        </is>
      </c>
      <c r="D858" s="54" t="inlineStr">
        <is>
          <t>LUPO-LEGGING-G-VERDEFRESH</t>
        </is>
      </c>
      <c r="E858" s="54" t="n">
        <v>18097716530</v>
      </c>
      <c r="F858" s="54" t="n">
        <v>286850841377</v>
      </c>
      <c r="G858" s="54" t="inlineStr">
        <is>
          <t>NORMAL</t>
        </is>
      </c>
      <c r="H858" s="86" t="n">
        <v>299.9</v>
      </c>
      <c r="I858" s="86" t="n">
        <v>299.9</v>
      </c>
      <c r="J858" s="69" t="inlineStr">
        <is>
          <t>NÃO</t>
        </is>
      </c>
      <c r="K858" s="54" t="n"/>
      <c r="L858" s="87" t="n">
        <v>299.9</v>
      </c>
      <c r="P858" s="90">
        <f>IF($O858="","",L858-O858-(L858*IF(L858&lt;=79.99,20%,14%)+IF(L858&lt;=79.99,4,IF(L858&lt;=99.99,16,IF(L858&lt;=199.99,20,IF(L858&lt;=499.99,26,28)))))-L858*1.3%-L858*6%-(L858-O858)*9.25%-L858*3%-L858*3%-1)</f>
        <v/>
      </c>
      <c r="Q858" s="54">
        <f>IF(AND(K858&lt;&gt;"",H858&gt;0),(H858-K858)/H858,"")</f>
        <v/>
      </c>
      <c r="R858" s="54" t="n"/>
      <c r="S858" s="54" t="n"/>
      <c r="T858" s="54" t="n"/>
      <c r="U858" s="54" t="n">
        <v>101313</v>
      </c>
      <c r="V858" t="inlineStr">
        <is>
          <t>LUPO-LEGGING-G-VERDEFRESH</t>
        </is>
      </c>
      <c r="W858" t="inlineStr">
        <is>
          <t>SKU idêntico na Olist · CUSTO ZERADO na Olist (conferido hoje)</t>
        </is>
      </c>
      <c r="Y858" t="inlineStr">
        <is>
          <t>ok</t>
        </is>
      </c>
    </row>
    <row r="859" ht="18" customHeight="1">
      <c r="A859" s="60" t="inlineStr">
        <is>
          <t>Donacor</t>
        </is>
      </c>
      <c r="B859" s="60" t="inlineStr">
        <is>
          <t>Calça Legging Lupo Sport Feminina Fitness Academia Original</t>
        </is>
      </c>
      <c r="C859" s="60" t="inlineStr">
        <is>
          <t>Verde Fresh,GG - 48 a 50</t>
        </is>
      </c>
      <c r="D859" s="60" t="inlineStr">
        <is>
          <t>LUPO-LEGGING-GG-VERDEFRESH</t>
        </is>
      </c>
      <c r="E859" s="60" t="n">
        <v>18097716530</v>
      </c>
      <c r="F859" s="60" t="n">
        <v>286850841378</v>
      </c>
      <c r="G859" s="60" t="inlineStr">
        <is>
          <t>NORMAL</t>
        </is>
      </c>
      <c r="H859" s="91" t="n">
        <v>299.9</v>
      </c>
      <c r="I859" s="91" t="n">
        <v>299.9</v>
      </c>
      <c r="J859" s="62" t="inlineStr">
        <is>
          <t>NÃO</t>
        </is>
      </c>
      <c r="K859" s="60" t="inlineStr">
        <is>
          <t> </t>
        </is>
      </c>
      <c r="L859" s="87" t="n">
        <v>299.9</v>
      </c>
      <c r="P859" s="92">
        <f>IF($O859="","",L859-O859-(L859*IF(L859&lt;=79.99,20%,14%)+IF(L859&lt;=79.99,4,IF(L859&lt;=99.99,16,IF(L859&lt;=199.99,20,IF(L859&lt;=499.99,26,28)))))-L859*1.3%-L859*6%-(L859-O859)*9.25%-L859*3%-L859*3%-1)</f>
        <v/>
      </c>
      <c r="Q859" s="60" t="inlineStr">
        <is>
          <t> </t>
        </is>
      </c>
      <c r="R859" s="60" t="inlineStr">
        <is>
          <t> </t>
        </is>
      </c>
      <c r="S859" s="60" t="inlineStr">
        <is>
          <t> </t>
        </is>
      </c>
      <c r="T859" s="60" t="inlineStr">
        <is>
          <t> </t>
        </is>
      </c>
      <c r="U859" s="60" t="n">
        <v>101313</v>
      </c>
      <c r="V859" t="inlineStr">
        <is>
          <t>LUPO-LEGGING-GG-VERDEFRESH</t>
        </is>
      </c>
      <c r="W859" t="inlineStr">
        <is>
          <t>SKU idêntico na Olist · CUSTO ZERADO na Olist (conferido hoje)</t>
        </is>
      </c>
      <c r="Y859" t="inlineStr">
        <is>
          <t>ok</t>
        </is>
      </c>
    </row>
    <row r="860" ht="18" customHeight="1">
      <c r="A860" s="54" t="inlineStr">
        <is>
          <t>Donacor</t>
        </is>
      </c>
      <c r="B860" s="54" t="inlineStr">
        <is>
          <t>Calça Legging Lupo Sport Feminina Fitness Academia Original</t>
        </is>
      </c>
      <c r="C860" s="54" t="inlineStr">
        <is>
          <t>Verde Fresh,M - 40 a 42</t>
        </is>
      </c>
      <c r="D860" s="54" t="inlineStr">
        <is>
          <t>LUPO-LEGGING-M-VERDEFRESH</t>
        </is>
      </c>
      <c r="E860" s="54" t="n">
        <v>18097716530</v>
      </c>
      <c r="F860" s="54" t="n">
        <v>286850841376</v>
      </c>
      <c r="G860" s="54" t="inlineStr">
        <is>
          <t>NORMAL</t>
        </is>
      </c>
      <c r="H860" s="86" t="n">
        <v>299.9</v>
      </c>
      <c r="I860" s="86" t="n">
        <v>299.9</v>
      </c>
      <c r="J860" s="69" t="inlineStr">
        <is>
          <t>NÃO</t>
        </is>
      </c>
      <c r="K860" s="54" t="n"/>
      <c r="L860" s="87" t="n">
        <v>299.9</v>
      </c>
      <c r="P860" s="90">
        <f>IF($O860="","",L860-O860-(L860*IF(L860&lt;=79.99,20%,14%)+IF(L860&lt;=79.99,4,IF(L860&lt;=99.99,16,IF(L860&lt;=199.99,20,IF(L860&lt;=499.99,26,28)))))-L860*1.3%-L860*6%-(L860-O860)*9.25%-L860*3%-L860*3%-1)</f>
        <v/>
      </c>
      <c r="Q860" s="54">
        <f>IF(AND(K860&lt;&gt;"",H860&gt;0),(H860-K860)/H860,"")</f>
        <v/>
      </c>
      <c r="R860" s="54" t="n"/>
      <c r="S860" s="54" t="n"/>
      <c r="T860" s="54" t="n"/>
      <c r="U860" s="54" t="n">
        <v>101313</v>
      </c>
      <c r="W860" t="inlineStr">
        <is>
          <t>sem correspondência</t>
        </is>
      </c>
      <c r="Y860" t="inlineStr"/>
    </row>
    <row r="861" ht="18" customHeight="1">
      <c r="A861" s="60" t="inlineStr">
        <is>
          <t>Donacor</t>
        </is>
      </c>
      <c r="B861" s="60" t="inlineStr">
        <is>
          <t>Calça Legging Lupo Sport Feminina Fitness Academia Original</t>
        </is>
      </c>
      <c r="C861" s="60" t="inlineStr">
        <is>
          <t>Verde Fresh,P - 36 a 38</t>
        </is>
      </c>
      <c r="D861" s="60" t="inlineStr">
        <is>
          <t>LUPO-LEGGING-P-VERDEFRESH</t>
        </is>
      </c>
      <c r="E861" s="60" t="n">
        <v>18097716530</v>
      </c>
      <c r="F861" s="60" t="n">
        <v>286850841375</v>
      </c>
      <c r="G861" s="60" t="inlineStr">
        <is>
          <t>NORMAL</t>
        </is>
      </c>
      <c r="H861" s="91" t="n">
        <v>299.9</v>
      </c>
      <c r="I861" s="91" t="n">
        <v>299.9</v>
      </c>
      <c r="J861" s="62" t="inlineStr">
        <is>
          <t>NÃO</t>
        </is>
      </c>
      <c r="K861" s="60" t="inlineStr">
        <is>
          <t> </t>
        </is>
      </c>
      <c r="L861" s="87" t="n">
        <v>299.9</v>
      </c>
      <c r="P861" s="92">
        <f>IF($O861="","",L861-O861-(L861*IF(L861&lt;=79.99,20%,14%)+IF(L861&lt;=79.99,4,IF(L861&lt;=99.99,16,IF(L861&lt;=199.99,20,IF(L861&lt;=499.99,26,28)))))-L861*1.3%-L861*6%-(L861-O861)*9.25%-L861*3%-L861*3%-1)</f>
        <v/>
      </c>
      <c r="Q861" s="60" t="inlineStr">
        <is>
          <t> </t>
        </is>
      </c>
      <c r="R861" s="60" t="inlineStr">
        <is>
          <t> </t>
        </is>
      </c>
      <c r="S861" s="60" t="inlineStr">
        <is>
          <t> </t>
        </is>
      </c>
      <c r="T861" s="60" t="inlineStr">
        <is>
          <t> </t>
        </is>
      </c>
      <c r="U861" s="60" t="n">
        <v>101313</v>
      </c>
      <c r="W861" t="inlineStr">
        <is>
          <t>sem correspondência</t>
        </is>
      </c>
      <c r="Y861" t="inlineStr"/>
    </row>
    <row r="862" ht="18" customHeight="1">
      <c r="A862" s="54" t="inlineStr">
        <is>
          <t>Donacor</t>
        </is>
      </c>
      <c r="B862" s="54" t="inlineStr">
        <is>
          <t>Calça Legging Lupo Sport Feminina Fitness Academia Original</t>
        </is>
      </c>
      <c r="C862" s="54" t="inlineStr">
        <is>
          <t>Verde Fresh,XG - 50 a 52</t>
        </is>
      </c>
      <c r="D862" s="54" t="inlineStr">
        <is>
          <t>LUPO-LEGGING-XG-VERDEFRESH</t>
        </is>
      </c>
      <c r="E862" s="54" t="n">
        <v>18097716530</v>
      </c>
      <c r="F862" s="54" t="n">
        <v>286850841379</v>
      </c>
      <c r="G862" s="54" t="inlineStr">
        <is>
          <t>NORMAL</t>
        </is>
      </c>
      <c r="H862" s="86" t="n">
        <v>299.9</v>
      </c>
      <c r="I862" s="86" t="n">
        <v>299.9</v>
      </c>
      <c r="J862" s="69" t="inlineStr">
        <is>
          <t>NÃO</t>
        </is>
      </c>
      <c r="K862" s="54" t="n"/>
      <c r="L862" s="87" t="n">
        <v>299.9</v>
      </c>
      <c r="P862" s="90">
        <f>IF($O862="","",L862-O862-(L862*IF(L862&lt;=79.99,20%,14%)+IF(L862&lt;=79.99,4,IF(L862&lt;=99.99,16,IF(L862&lt;=199.99,20,IF(L862&lt;=499.99,26,28)))))-L862*1.3%-L862*6%-(L862-O862)*9.25%-L862*3%-L862*3%-1)</f>
        <v/>
      </c>
      <c r="Q862" s="54">
        <f>IF(AND(K862&lt;&gt;"",H862&gt;0),(H862-K862)/H862,"")</f>
        <v/>
      </c>
      <c r="R862" s="54" t="n"/>
      <c r="S862" s="54" t="n"/>
      <c r="T862" s="54" t="n"/>
      <c r="U862" s="54" t="n">
        <v>101313</v>
      </c>
      <c r="W862" t="inlineStr">
        <is>
          <t>sem correspondência</t>
        </is>
      </c>
      <c r="Y862" t="inlineStr"/>
    </row>
    <row r="863" ht="18" customHeight="1">
      <c r="A863" s="60" t="inlineStr">
        <is>
          <t>Donacor</t>
        </is>
      </c>
      <c r="B863" s="60" t="inlineStr">
        <is>
          <t>Calça Legging Lupo Sport Feminina Fitness Academia Original</t>
        </is>
      </c>
      <c r="C863" s="60" t="inlineStr">
        <is>
          <t>Verde,G - 44 a 46</t>
        </is>
      </c>
      <c r="D863" s="60" t="inlineStr">
        <is>
          <t>LUPO-LEGGING-VERDE -G</t>
        </is>
      </c>
      <c r="E863" s="60" t="n">
        <v>18097716530</v>
      </c>
      <c r="F863" s="60" t="n">
        <v>109864678562</v>
      </c>
      <c r="G863" s="60" t="inlineStr">
        <is>
          <t>NORMAL</t>
        </is>
      </c>
      <c r="H863" s="91" t="n">
        <v>299.9</v>
      </c>
      <c r="I863" s="91" t="n">
        <v>299.9</v>
      </c>
      <c r="J863" s="62" t="inlineStr">
        <is>
          <t>NÃO</t>
        </is>
      </c>
      <c r="K863" s="60" t="inlineStr">
        <is>
          <t> </t>
        </is>
      </c>
      <c r="L863" s="87" t="n">
        <v>299.9</v>
      </c>
      <c r="M863" s="88" t="n">
        <v>1</v>
      </c>
      <c r="N863" s="89" t="n">
        <v>83.06</v>
      </c>
      <c r="O863" s="89">
        <f>ROUND(M863*N863,2)</f>
        <v/>
      </c>
      <c r="P863" s="92">
        <f>IF($O863="","",L863-O863-(L863*IF(L863&lt;=79.99,20%,14%)+IF(L863&lt;=79.99,4,IF(L863&lt;=99.99,16,IF(L863&lt;=199.99,20,IF(L863&lt;=499.99,26,28)))))-L863*1.3%-L863*6%-(L863-O863)*9.25%-L863*3%-L863*3%-1)</f>
        <v/>
      </c>
      <c r="Q863" s="60" t="inlineStr">
        <is>
          <t> </t>
        </is>
      </c>
      <c r="R863" s="60" t="inlineStr">
        <is>
          <t> </t>
        </is>
      </c>
      <c r="S863" s="60" t="inlineStr">
        <is>
          <t> </t>
        </is>
      </c>
      <c r="T863" s="60" t="inlineStr">
        <is>
          <t> </t>
        </is>
      </c>
      <c r="U863" s="60" t="n">
        <v>101313</v>
      </c>
      <c r="V863" t="inlineStr">
        <is>
          <t>214293</t>
        </is>
      </c>
      <c r="W863" t="inlineStr">
        <is>
          <t>venda casada (4 pedidos)</t>
        </is>
      </c>
      <c r="X863" t="n">
        <v>4</v>
      </c>
      <c r="Y863" t="inlineStr">
        <is>
          <t>ok</t>
        </is>
      </c>
    </row>
    <row r="864" ht="18" customHeight="1">
      <c r="A864" s="54" t="inlineStr">
        <is>
          <t>Donacor</t>
        </is>
      </c>
      <c r="B864" s="54" t="inlineStr">
        <is>
          <t>Calça Legging Lupo Sport Feminina Fitness Academia Original</t>
        </is>
      </c>
      <c r="C864" s="54" t="inlineStr">
        <is>
          <t>Verde,GG - 48 a 50</t>
        </is>
      </c>
      <c r="D864" s="54" t="inlineStr">
        <is>
          <t>LUPO-LEGGING-VERDE -GG</t>
        </is>
      </c>
      <c r="E864" s="54" t="n">
        <v>18097716530</v>
      </c>
      <c r="F864" s="54" t="n">
        <v>109864678563</v>
      </c>
      <c r="G864" s="54" t="inlineStr">
        <is>
          <t>NORMAL</t>
        </is>
      </c>
      <c r="H864" s="86" t="n">
        <v>299.9</v>
      </c>
      <c r="I864" s="86" t="n">
        <v>146.97</v>
      </c>
      <c r="J864" s="56" t="inlineStr">
        <is>
          <t>SIM</t>
        </is>
      </c>
      <c r="K864" s="86" t="n">
        <v>146.97</v>
      </c>
      <c r="L864" s="87" t="n">
        <v>146.97</v>
      </c>
      <c r="M864" s="88" t="n">
        <v>1</v>
      </c>
      <c r="N864" s="89" t="n">
        <v>83.06</v>
      </c>
      <c r="O864" s="89">
        <f>ROUND(M864*N864,2)</f>
        <v/>
      </c>
      <c r="P864" s="90">
        <f>IF($O864="","",L864-O864-(L864*IF(L864&lt;=79.99,20%,14%)+IF(L864&lt;=79.99,4,IF(L864&lt;=99.99,16,IF(L864&lt;=199.99,20,IF(L864&lt;=499.99,26,28)))))-L864*1.3%-L864*6%-(L864-O864)*9.25%-L864*3%-L864*3%-1)</f>
        <v/>
      </c>
      <c r="Q864" s="58" t="n">
        <v>0.51</v>
      </c>
      <c r="R864" s="54" t="n">
        <v>478840979931317</v>
      </c>
      <c r="S864" s="59" t="n">
        <v>46248</v>
      </c>
      <c r="T864" s="59" t="n">
        <v>46248.99930555555</v>
      </c>
      <c r="U864" s="54" t="n">
        <v>101313</v>
      </c>
      <c r="V864" t="inlineStr">
        <is>
          <t>214309</t>
        </is>
      </c>
      <c r="W864" t="inlineStr">
        <is>
          <t>venda casada (5 pedidos)</t>
        </is>
      </c>
      <c r="X864" t="n">
        <v>5</v>
      </c>
      <c r="Y864" t="inlineStr">
        <is>
          <t>ok</t>
        </is>
      </c>
    </row>
    <row r="865" ht="18" customHeight="1">
      <c r="A865" s="60" t="inlineStr">
        <is>
          <t>Donacor</t>
        </is>
      </c>
      <c r="B865" s="60" t="inlineStr">
        <is>
          <t>Calça Legging Lupo Sport Feminina Fitness Academia Original</t>
        </is>
      </c>
      <c r="C865" s="60" t="inlineStr">
        <is>
          <t>Verde,M - 40 a 42</t>
        </is>
      </c>
      <c r="D865" s="60" t="inlineStr">
        <is>
          <t>LUPO-LEGGING-VERDE -M</t>
        </is>
      </c>
      <c r="E865" s="60" t="n">
        <v>18097716530</v>
      </c>
      <c r="F865" s="60" t="n">
        <v>109864678572</v>
      </c>
      <c r="G865" s="60" t="inlineStr">
        <is>
          <t>NORMAL</t>
        </is>
      </c>
      <c r="H865" s="91" t="n">
        <v>299.9</v>
      </c>
      <c r="I865" s="91" t="n">
        <v>299.9</v>
      </c>
      <c r="J865" s="62" t="inlineStr">
        <is>
          <t>NÃO</t>
        </is>
      </c>
      <c r="K865" s="60" t="inlineStr">
        <is>
          <t> </t>
        </is>
      </c>
      <c r="L865" s="87" t="n">
        <v>299.9</v>
      </c>
      <c r="P865" s="92">
        <f>IF($O865="","",L865-O865-(L865*IF(L865&lt;=79.99,20%,14%)+IF(L865&lt;=79.99,4,IF(L865&lt;=99.99,16,IF(L865&lt;=199.99,20,IF(L865&lt;=499.99,26,28)))))-L865*1.3%-L865*6%-(L865-O865)*9.25%-L865*3%-L865*3%-1)</f>
        <v/>
      </c>
      <c r="Q865" s="60" t="inlineStr">
        <is>
          <t> </t>
        </is>
      </c>
      <c r="R865" s="60" t="inlineStr">
        <is>
          <t> </t>
        </is>
      </c>
      <c r="S865" s="60" t="inlineStr">
        <is>
          <t> </t>
        </is>
      </c>
      <c r="T865" s="60" t="inlineStr">
        <is>
          <t> </t>
        </is>
      </c>
      <c r="U865" s="60" t="n">
        <v>101313</v>
      </c>
      <c r="V865" t="inlineStr">
        <is>
          <t>LUPO-LEGGING-VERDE -M</t>
        </is>
      </c>
      <c r="W865" t="inlineStr">
        <is>
          <t>SKU idêntico na Olist · CUSTO ZERADO na Olist (conferido hoje)</t>
        </is>
      </c>
      <c r="Y865" t="inlineStr">
        <is>
          <t>ok</t>
        </is>
      </c>
    </row>
    <row r="866" ht="18" customHeight="1">
      <c r="A866" s="54" t="inlineStr">
        <is>
          <t>Donacor</t>
        </is>
      </c>
      <c r="B866" s="54" t="inlineStr">
        <is>
          <t>Calça Legging Lupo Sport Feminina Fitness Academia Original</t>
        </is>
      </c>
      <c r="C866" s="54" t="inlineStr">
        <is>
          <t>Verde,P - 36 a 38</t>
        </is>
      </c>
      <c r="D866" s="54" t="inlineStr">
        <is>
          <t>LUPO-LEGGING-VERDE -P</t>
        </is>
      </c>
      <c r="E866" s="54" t="n">
        <v>18097716530</v>
      </c>
      <c r="F866" s="54" t="n">
        <v>109864678565</v>
      </c>
      <c r="G866" s="54" t="inlineStr">
        <is>
          <t>NORMAL</t>
        </is>
      </c>
      <c r="H866" s="86" t="n">
        <v>299.9</v>
      </c>
      <c r="I866" s="86" t="n">
        <v>299.9</v>
      </c>
      <c r="J866" s="69" t="inlineStr">
        <is>
          <t>NÃO</t>
        </is>
      </c>
      <c r="K866" s="54" t="n"/>
      <c r="L866" s="87" t="n">
        <v>299.9</v>
      </c>
      <c r="P866" s="90">
        <f>IF($O866="","",L866-O866-(L866*IF(L866&lt;=79.99,20%,14%)+IF(L866&lt;=79.99,4,IF(L866&lt;=99.99,16,IF(L866&lt;=199.99,20,IF(L866&lt;=499.99,26,28)))))-L866*1.3%-L866*6%-(L866-O866)*9.25%-L866*3%-L866*3%-1)</f>
        <v/>
      </c>
      <c r="Q866" s="54">
        <f>IF(AND(K866&lt;&gt;"",H866&gt;0),(H866-K866)/H866,"")</f>
        <v/>
      </c>
      <c r="R866" s="54" t="n"/>
      <c r="S866" s="54" t="n"/>
      <c r="T866" s="54" t="n"/>
      <c r="U866" s="54" t="n">
        <v>101313</v>
      </c>
      <c r="V866" t="inlineStr">
        <is>
          <t>LUPO-LEGGING-VERDE -P</t>
        </is>
      </c>
      <c r="W866" t="inlineStr">
        <is>
          <t>SKU idêntico na Olist · CUSTO ZERADO na Olist (conferido hoje)</t>
        </is>
      </c>
      <c r="Y866" t="inlineStr">
        <is>
          <t>ok</t>
        </is>
      </c>
    </row>
    <row r="867" ht="18" customHeight="1">
      <c r="A867" s="60" t="inlineStr">
        <is>
          <t>Donacor</t>
        </is>
      </c>
      <c r="B867" s="60" t="inlineStr">
        <is>
          <t>Calça Legging Lupo Sport Feminina Fitness Academia Original</t>
        </is>
      </c>
      <c r="C867" s="60" t="inlineStr">
        <is>
          <t>Verde,XG - 50 a 52</t>
        </is>
      </c>
      <c r="D867" s="60" t="inlineStr">
        <is>
          <t>LUPO-LEGGING-VERDE -XG</t>
        </is>
      </c>
      <c r="E867" s="60" t="n">
        <v>18097716530</v>
      </c>
      <c r="F867" s="60" t="n">
        <v>189175067158</v>
      </c>
      <c r="G867" s="60" t="inlineStr">
        <is>
          <t>NORMAL</t>
        </is>
      </c>
      <c r="H867" s="91" t="n">
        <v>299.9</v>
      </c>
      <c r="I867" s="91" t="n">
        <v>169.9</v>
      </c>
      <c r="J867" s="65" t="inlineStr">
        <is>
          <t>SIM</t>
        </is>
      </c>
      <c r="K867" s="91" t="n">
        <v>169.9</v>
      </c>
      <c r="L867" s="87" t="n">
        <v>169.9</v>
      </c>
      <c r="M867" s="88" t="n">
        <v>1</v>
      </c>
      <c r="N867" s="89" t="n">
        <v>83.06</v>
      </c>
      <c r="O867" s="89">
        <f>ROUND(M867*N867,2)</f>
        <v/>
      </c>
      <c r="P867" s="92">
        <f>IF($O867="","",L867-O867-(L867*IF(L867&lt;=79.99,20%,14%)+IF(L867&lt;=79.99,4,IF(L867&lt;=99.99,16,IF(L867&lt;=199.99,20,IF(L867&lt;=499.99,26,28)))))-L867*1.3%-L867*6%-(L867-O867)*9.25%-L867*3%-L867*3%-1)</f>
        <v/>
      </c>
      <c r="Q867" s="67" t="n">
        <v>0.433</v>
      </c>
      <c r="R867" s="60" t="n">
        <v>478840979931317</v>
      </c>
      <c r="S867" s="68" t="n">
        <v>46248</v>
      </c>
      <c r="T867" s="68" t="n">
        <v>46248.99930555555</v>
      </c>
      <c r="U867" s="60" t="n">
        <v>101313</v>
      </c>
      <c r="V867" t="inlineStr">
        <is>
          <t>214325</t>
        </is>
      </c>
      <c r="W867" t="inlineStr">
        <is>
          <t>venda casada (1 pedido)</t>
        </is>
      </c>
      <c r="X867" t="n">
        <v>1</v>
      </c>
      <c r="Y867" t="inlineStr">
        <is>
          <t>⚠ evidência fraca (1 pedido)</t>
        </is>
      </c>
    </row>
    <row r="868" ht="18" customHeight="1">
      <c r="A868" s="54" t="inlineStr">
        <is>
          <t>Donacor</t>
        </is>
      </c>
      <c r="B868" s="54" t="inlineStr">
        <is>
          <t>Calcinha Básica Sem Costura Loba Lupo 40300</t>
        </is>
      </c>
      <c r="C868" s="54" t="inlineStr">
        <is>
          <t>Natural,G</t>
        </is>
      </c>
      <c r="D868" s="54" t="inlineStr">
        <is>
          <t>CALCINHA-SEM-COSTURA-NATURAL-G</t>
        </is>
      </c>
      <c r="E868" s="54" t="n">
        <v>52157333776</v>
      </c>
      <c r="F868" s="54" t="n">
        <v>370652843394</v>
      </c>
      <c r="G868" s="54" t="inlineStr">
        <is>
          <t>NORMAL</t>
        </is>
      </c>
      <c r="H868" s="86" t="n">
        <v>89.90000000000001</v>
      </c>
      <c r="I868" s="86" t="n">
        <v>89.90000000000001</v>
      </c>
      <c r="J868" s="69" t="inlineStr">
        <is>
          <t>NÃO</t>
        </is>
      </c>
      <c r="K868" s="54" t="n"/>
      <c r="L868" s="87" t="n">
        <v>89.90000000000001</v>
      </c>
      <c r="M868" s="88" t="n">
        <v>1</v>
      </c>
      <c r="N868" s="89" t="n">
        <v>21.27</v>
      </c>
      <c r="O868" s="89">
        <f>ROUND(M868*N868,2)</f>
        <v/>
      </c>
      <c r="P868" s="90">
        <f>IF($O868="","",L868-O868-(L868*IF(L868&lt;=79.99,20%,14%)+IF(L868&lt;=79.99,4,IF(L868&lt;=99.99,16,IF(L868&lt;=199.99,20,IF(L868&lt;=499.99,26,28)))))-L868*1.3%-L868*6%-(L868-O868)*9.25%-L868*3%-L868*3%-1)</f>
        <v/>
      </c>
      <c r="Q868" s="54">
        <f>IF(AND(K868&lt;&gt;"",H868&gt;0),(H868-K868)/H868,"")</f>
        <v/>
      </c>
      <c r="R868" s="54" t="n"/>
      <c r="S868" s="54" t="n"/>
      <c r="T868" s="54" t="n"/>
      <c r="U868" s="54" t="n">
        <v>100382</v>
      </c>
      <c r="V868" t="inlineStr">
        <is>
          <t>215058</t>
        </is>
      </c>
      <c r="W868" t="inlineStr">
        <is>
          <t>herdado do anúncio</t>
        </is>
      </c>
      <c r="Y868" t="inlineStr">
        <is>
          <t>ok</t>
        </is>
      </c>
    </row>
    <row r="869" ht="18" customHeight="1">
      <c r="A869" s="60" t="inlineStr">
        <is>
          <t>Donacor</t>
        </is>
      </c>
      <c r="B869" s="60" t="inlineStr">
        <is>
          <t>Calcinha Básica Sem Costura Loba Lupo 40300</t>
        </is>
      </c>
      <c r="C869" s="60" t="inlineStr">
        <is>
          <t>Natural,GG</t>
        </is>
      </c>
      <c r="D869" s="60" t="inlineStr">
        <is>
          <t>CALCINHA-SEM-COSTURA-NATURAL-GG</t>
        </is>
      </c>
      <c r="E869" s="60" t="n">
        <v>52157333776</v>
      </c>
      <c r="F869" s="60" t="n">
        <v>370652843395</v>
      </c>
      <c r="G869" s="60" t="inlineStr">
        <is>
          <t>NORMAL</t>
        </is>
      </c>
      <c r="H869" s="91" t="n">
        <v>89.90000000000001</v>
      </c>
      <c r="I869" s="91" t="n">
        <v>44.9</v>
      </c>
      <c r="J869" s="65" t="inlineStr">
        <is>
          <t>SIM</t>
        </is>
      </c>
      <c r="K869" s="91" t="n">
        <v>44.9</v>
      </c>
      <c r="L869" s="87" t="n">
        <v>44.9</v>
      </c>
      <c r="M869" s="88" t="n">
        <v>1</v>
      </c>
      <c r="N869" s="89" t="n">
        <v>21.27</v>
      </c>
      <c r="O869" s="89">
        <f>ROUND(M869*N869,2)</f>
        <v/>
      </c>
      <c r="P869" s="92">
        <f>IF($O869="","",L869-O869-(L869*IF(L869&lt;=79.99,20%,14%)+IF(L869&lt;=79.99,4,IF(L869&lt;=99.99,16,IF(L869&lt;=199.99,20,IF(L869&lt;=499.99,26,28)))))-L869*1.3%-L869*6%-(L869-O869)*9.25%-L869*3%-L869*3%-1)</f>
        <v/>
      </c>
      <c r="Q869" s="67" t="n">
        <v>0.501</v>
      </c>
      <c r="R869" s="60" t="n">
        <v>484945860710786</v>
      </c>
      <c r="S869" s="68" t="n">
        <v>46227.73958333334</v>
      </c>
      <c r="T869" s="68" t="n">
        <v>46405.45833333334</v>
      </c>
      <c r="U869" s="60" t="n">
        <v>100382</v>
      </c>
      <c r="V869" t="inlineStr">
        <is>
          <t>215058</t>
        </is>
      </c>
      <c r="W869" t="inlineStr">
        <is>
          <t>venda casada (1 pedido)</t>
        </is>
      </c>
      <c r="X869" t="n">
        <v>1</v>
      </c>
      <c r="Y869" t="inlineStr">
        <is>
          <t>⚠ evidência fraca (1 pedido)</t>
        </is>
      </c>
    </row>
    <row r="870" ht="18" customHeight="1">
      <c r="A870" s="54" t="inlineStr">
        <is>
          <t>Donacor</t>
        </is>
      </c>
      <c r="B870" s="54" t="inlineStr">
        <is>
          <t>Calcinha Básica Sem Costura Loba Lupo 40300</t>
        </is>
      </c>
      <c r="C870" s="54" t="inlineStr">
        <is>
          <t>Natural,M</t>
        </is>
      </c>
      <c r="D870" s="54" t="n"/>
      <c r="E870" s="54" t="n">
        <v>52157333776</v>
      </c>
      <c r="F870" s="54" t="n">
        <v>370652843393</v>
      </c>
      <c r="G870" s="54" t="inlineStr">
        <is>
          <t>NORMAL</t>
        </is>
      </c>
      <c r="H870" s="86" t="n">
        <v>89.90000000000001</v>
      </c>
      <c r="I870" s="86" t="n">
        <v>89.90000000000001</v>
      </c>
      <c r="J870" s="69" t="inlineStr">
        <is>
          <t>NÃO</t>
        </is>
      </c>
      <c r="K870" s="54" t="n"/>
      <c r="L870" s="87" t="n">
        <v>89.90000000000001</v>
      </c>
      <c r="M870" s="88" t="n">
        <v>1</v>
      </c>
      <c r="N870" s="89" t="n">
        <v>21.27</v>
      </c>
      <c r="O870" s="89">
        <f>ROUND(M870*N870,2)</f>
        <v/>
      </c>
      <c r="P870" s="90">
        <f>IF($O870="","",L870-O870-(L870*IF(L870&lt;=79.99,20%,14%)+IF(L870&lt;=79.99,4,IF(L870&lt;=99.99,16,IF(L870&lt;=199.99,20,IF(L870&lt;=499.99,26,28)))))-L870*1.3%-L870*6%-(L870-O870)*9.25%-L870*3%-L870*3%-1)</f>
        <v/>
      </c>
      <c r="Q870" s="54">
        <f>IF(AND(K870&lt;&gt;"",H870&gt;0),(H870-K870)/H870,"")</f>
        <v/>
      </c>
      <c r="R870" s="54" t="n"/>
      <c r="S870" s="54" t="n"/>
      <c r="T870" s="54" t="n"/>
      <c r="U870" s="54" t="n">
        <v>100382</v>
      </c>
      <c r="V870" t="inlineStr">
        <is>
          <t>215058</t>
        </is>
      </c>
      <c r="W870" t="inlineStr">
        <is>
          <t>herdado do anúncio</t>
        </is>
      </c>
      <c r="Y870" t="inlineStr">
        <is>
          <t>ok</t>
        </is>
      </c>
    </row>
    <row r="871" ht="18" customHeight="1">
      <c r="A871" s="60" t="inlineStr">
        <is>
          <t>Donacor</t>
        </is>
      </c>
      <c r="B871" s="60" t="inlineStr">
        <is>
          <t>Calcinha Básica Sem Costura Loba Lupo 40300</t>
        </is>
      </c>
      <c r="C871" s="60" t="inlineStr">
        <is>
          <t>Natural,P</t>
        </is>
      </c>
      <c r="D871" s="60" t="inlineStr">
        <is>
          <t> </t>
        </is>
      </c>
      <c r="E871" s="60" t="n">
        <v>52157333776</v>
      </c>
      <c r="F871" s="60" t="n">
        <v>370652843392</v>
      </c>
      <c r="G871" s="60" t="inlineStr">
        <is>
          <t>NORMAL</t>
        </is>
      </c>
      <c r="H871" s="91" t="n">
        <v>89.90000000000001</v>
      </c>
      <c r="I871" s="91" t="n">
        <v>89.90000000000001</v>
      </c>
      <c r="J871" s="62" t="inlineStr">
        <is>
          <t>NÃO</t>
        </is>
      </c>
      <c r="K871" s="60" t="inlineStr">
        <is>
          <t> </t>
        </is>
      </c>
      <c r="L871" s="87" t="n">
        <v>89.90000000000001</v>
      </c>
      <c r="M871" s="88" t="n">
        <v>1</v>
      </c>
      <c r="N871" s="89" t="n">
        <v>21.27</v>
      </c>
      <c r="O871" s="89">
        <f>ROUND(M871*N871,2)</f>
        <v/>
      </c>
      <c r="P871" s="92">
        <f>IF($O871="","",L871-O871-(L871*IF(L871&lt;=79.99,20%,14%)+IF(L871&lt;=79.99,4,IF(L871&lt;=99.99,16,IF(L871&lt;=199.99,20,IF(L871&lt;=499.99,26,28)))))-L871*1.3%-L871*6%-(L871-O871)*9.25%-L871*3%-L871*3%-1)</f>
        <v/>
      </c>
      <c r="Q871" s="60" t="inlineStr">
        <is>
          <t> </t>
        </is>
      </c>
      <c r="R871" s="60" t="inlineStr">
        <is>
          <t> </t>
        </is>
      </c>
      <c r="S871" s="60" t="inlineStr">
        <is>
          <t> </t>
        </is>
      </c>
      <c r="T871" s="60" t="inlineStr">
        <is>
          <t> </t>
        </is>
      </c>
      <c r="U871" s="60" t="n">
        <v>100382</v>
      </c>
      <c r="V871" t="inlineStr">
        <is>
          <t>215058</t>
        </is>
      </c>
      <c r="W871" t="inlineStr">
        <is>
          <t>herdado do anúncio</t>
        </is>
      </c>
      <c r="Y871" t="inlineStr">
        <is>
          <t>ok</t>
        </is>
      </c>
    </row>
    <row r="872" ht="18" customHeight="1">
      <c r="A872" s="54" t="inlineStr">
        <is>
          <t>Donacor</t>
        </is>
      </c>
      <c r="B872" s="54" t="inlineStr">
        <is>
          <t>Calcinha Básica Sem Costura Loba Lupo 40300</t>
        </is>
      </c>
      <c r="C872" s="54" t="inlineStr">
        <is>
          <t>Nude,G</t>
        </is>
      </c>
      <c r="D872" s="54" t="inlineStr">
        <is>
          <t>CALCINHA-SEM-COSTURA-NUDE-G</t>
        </is>
      </c>
      <c r="E872" s="54" t="n">
        <v>52157333776</v>
      </c>
      <c r="F872" s="54" t="n">
        <v>370652843398</v>
      </c>
      <c r="G872" s="54" t="inlineStr">
        <is>
          <t>NORMAL</t>
        </is>
      </c>
      <c r="H872" s="86" t="n">
        <v>89.90000000000001</v>
      </c>
      <c r="I872" s="86" t="n">
        <v>89.90000000000001</v>
      </c>
      <c r="J872" s="69" t="inlineStr">
        <is>
          <t>NÃO</t>
        </is>
      </c>
      <c r="K872" s="54" t="n"/>
      <c r="L872" s="87" t="n">
        <v>89.90000000000001</v>
      </c>
      <c r="M872" s="88" t="n">
        <v>1</v>
      </c>
      <c r="N872" s="89" t="n">
        <v>21.27</v>
      </c>
      <c r="O872" s="89">
        <f>ROUND(M872*N872,2)</f>
        <v/>
      </c>
      <c r="P872" s="90">
        <f>IF($O872="","",L872-O872-(L872*IF(L872&lt;=79.99,20%,14%)+IF(L872&lt;=79.99,4,IF(L872&lt;=99.99,16,IF(L872&lt;=199.99,20,IF(L872&lt;=499.99,26,28)))))-L872*1.3%-L872*6%-(L872-O872)*9.25%-L872*3%-L872*3%-1)</f>
        <v/>
      </c>
      <c r="Q872" s="54">
        <f>IF(AND(K872&lt;&gt;"",H872&gt;0),(H872-K872)/H872,"")</f>
        <v/>
      </c>
      <c r="R872" s="54" t="n"/>
      <c r="S872" s="54" t="n"/>
      <c r="T872" s="54" t="n"/>
      <c r="U872" s="54" t="n">
        <v>100382</v>
      </c>
      <c r="V872" t="inlineStr">
        <is>
          <t>215058</t>
        </is>
      </c>
      <c r="W872" t="inlineStr">
        <is>
          <t>herdado do anúncio</t>
        </is>
      </c>
      <c r="Y872" t="inlineStr">
        <is>
          <t>ok</t>
        </is>
      </c>
    </row>
    <row r="873" ht="18" customHeight="1">
      <c r="A873" s="60" t="inlineStr">
        <is>
          <t>Donacor</t>
        </is>
      </c>
      <c r="B873" s="60" t="inlineStr">
        <is>
          <t>Calcinha Básica Sem Costura Loba Lupo 40300</t>
        </is>
      </c>
      <c r="C873" s="60" t="inlineStr">
        <is>
          <t>Nude,GG</t>
        </is>
      </c>
      <c r="D873" s="60" t="inlineStr">
        <is>
          <t>CALCINHA-SEM-COSTURA-NUDE-GG</t>
        </is>
      </c>
      <c r="E873" s="60" t="n">
        <v>52157333776</v>
      </c>
      <c r="F873" s="60" t="n">
        <v>370652843399</v>
      </c>
      <c r="G873" s="60" t="inlineStr">
        <is>
          <t>NORMAL</t>
        </is>
      </c>
      <c r="H873" s="91" t="n">
        <v>89.90000000000001</v>
      </c>
      <c r="I873" s="91" t="n">
        <v>89.90000000000001</v>
      </c>
      <c r="J873" s="62" t="inlineStr">
        <is>
          <t>NÃO</t>
        </is>
      </c>
      <c r="K873" s="60" t="inlineStr">
        <is>
          <t> </t>
        </is>
      </c>
      <c r="L873" s="87" t="n">
        <v>89.90000000000001</v>
      </c>
      <c r="M873" s="88" t="n">
        <v>1</v>
      </c>
      <c r="N873" s="89" t="n">
        <v>21.27</v>
      </c>
      <c r="O873" s="89">
        <f>ROUND(M873*N873,2)</f>
        <v/>
      </c>
      <c r="P873" s="92">
        <f>IF($O873="","",L873-O873-(L873*IF(L873&lt;=79.99,20%,14%)+IF(L873&lt;=79.99,4,IF(L873&lt;=99.99,16,IF(L873&lt;=199.99,20,IF(L873&lt;=499.99,26,28)))))-L873*1.3%-L873*6%-(L873-O873)*9.25%-L873*3%-L873*3%-1)</f>
        <v/>
      </c>
      <c r="Q873" s="60" t="inlineStr">
        <is>
          <t> </t>
        </is>
      </c>
      <c r="R873" s="60" t="inlineStr">
        <is>
          <t> </t>
        </is>
      </c>
      <c r="S873" s="60" t="inlineStr">
        <is>
          <t> </t>
        </is>
      </c>
      <c r="T873" s="60" t="inlineStr">
        <is>
          <t> </t>
        </is>
      </c>
      <c r="U873" s="60" t="n">
        <v>100382</v>
      </c>
      <c r="V873" t="inlineStr">
        <is>
          <t>215058</t>
        </is>
      </c>
      <c r="W873" t="inlineStr">
        <is>
          <t>herdado do anúncio</t>
        </is>
      </c>
      <c r="Y873" t="inlineStr">
        <is>
          <t>ok</t>
        </is>
      </c>
    </row>
    <row r="874" ht="18" customHeight="1">
      <c r="A874" s="54" t="inlineStr">
        <is>
          <t>Donacor</t>
        </is>
      </c>
      <c r="B874" s="54" t="inlineStr">
        <is>
          <t>Calcinha Básica Sem Costura Loba Lupo 40300</t>
        </is>
      </c>
      <c r="C874" s="54" t="inlineStr">
        <is>
          <t>Nude,M</t>
        </is>
      </c>
      <c r="D874" s="54" t="n"/>
      <c r="E874" s="54" t="n">
        <v>52157333776</v>
      </c>
      <c r="F874" s="54" t="n">
        <v>370652843397</v>
      </c>
      <c r="G874" s="54" t="inlineStr">
        <is>
          <t>NORMAL</t>
        </is>
      </c>
      <c r="H874" s="86" t="n">
        <v>89.90000000000001</v>
      </c>
      <c r="I874" s="86" t="n">
        <v>89.90000000000001</v>
      </c>
      <c r="J874" s="69" t="inlineStr">
        <is>
          <t>NÃO</t>
        </is>
      </c>
      <c r="K874" s="54" t="n"/>
      <c r="L874" s="87" t="n">
        <v>89.90000000000001</v>
      </c>
      <c r="M874" s="88" t="n">
        <v>1</v>
      </c>
      <c r="N874" s="89" t="n">
        <v>21.27</v>
      </c>
      <c r="O874" s="89">
        <f>ROUND(M874*N874,2)</f>
        <v/>
      </c>
      <c r="P874" s="90">
        <f>IF($O874="","",L874-O874-(L874*IF(L874&lt;=79.99,20%,14%)+IF(L874&lt;=79.99,4,IF(L874&lt;=99.99,16,IF(L874&lt;=199.99,20,IF(L874&lt;=499.99,26,28)))))-L874*1.3%-L874*6%-(L874-O874)*9.25%-L874*3%-L874*3%-1)</f>
        <v/>
      </c>
      <c r="Q874" s="54">
        <f>IF(AND(K874&lt;&gt;"",H874&gt;0),(H874-K874)/H874,"")</f>
        <v/>
      </c>
      <c r="R874" s="54" t="n"/>
      <c r="S874" s="54" t="n"/>
      <c r="T874" s="54" t="n"/>
      <c r="U874" s="54" t="n">
        <v>100382</v>
      </c>
      <c r="V874" t="inlineStr">
        <is>
          <t>215058</t>
        </is>
      </c>
      <c r="W874" t="inlineStr">
        <is>
          <t>herdado do anúncio</t>
        </is>
      </c>
      <c r="Y874" t="inlineStr">
        <is>
          <t>ok</t>
        </is>
      </c>
    </row>
    <row r="875" ht="18" customHeight="1">
      <c r="A875" s="60" t="inlineStr">
        <is>
          <t>Donacor</t>
        </is>
      </c>
      <c r="B875" s="60" t="inlineStr">
        <is>
          <t>Calcinha Básica Sem Costura Loba Lupo 40300</t>
        </is>
      </c>
      <c r="C875" s="60" t="inlineStr">
        <is>
          <t>Nude,P</t>
        </is>
      </c>
      <c r="D875" s="60" t="inlineStr">
        <is>
          <t> </t>
        </is>
      </c>
      <c r="E875" s="60" t="n">
        <v>52157333776</v>
      </c>
      <c r="F875" s="60" t="n">
        <v>370652843396</v>
      </c>
      <c r="G875" s="60" t="inlineStr">
        <is>
          <t>NORMAL</t>
        </is>
      </c>
      <c r="H875" s="91" t="n">
        <v>89.90000000000001</v>
      </c>
      <c r="I875" s="91" t="n">
        <v>89.90000000000001</v>
      </c>
      <c r="J875" s="62" t="inlineStr">
        <is>
          <t>NÃO</t>
        </is>
      </c>
      <c r="K875" s="60" t="inlineStr">
        <is>
          <t> </t>
        </is>
      </c>
      <c r="L875" s="87" t="n">
        <v>89.90000000000001</v>
      </c>
      <c r="M875" s="88" t="n">
        <v>1</v>
      </c>
      <c r="N875" s="89" t="n">
        <v>21.27</v>
      </c>
      <c r="O875" s="89">
        <f>ROUND(M875*N875,2)</f>
        <v/>
      </c>
      <c r="P875" s="92">
        <f>IF($O875="","",L875-O875-(L875*IF(L875&lt;=79.99,20%,14%)+IF(L875&lt;=79.99,4,IF(L875&lt;=99.99,16,IF(L875&lt;=199.99,20,IF(L875&lt;=499.99,26,28)))))-L875*1.3%-L875*6%-(L875-O875)*9.25%-L875*3%-L875*3%-1)</f>
        <v/>
      </c>
      <c r="Q875" s="60" t="inlineStr">
        <is>
          <t> </t>
        </is>
      </c>
      <c r="R875" s="60" t="inlineStr">
        <is>
          <t> </t>
        </is>
      </c>
      <c r="S875" s="60" t="inlineStr">
        <is>
          <t> </t>
        </is>
      </c>
      <c r="T875" s="60" t="inlineStr">
        <is>
          <t> </t>
        </is>
      </c>
      <c r="U875" s="60" t="n">
        <v>100382</v>
      </c>
      <c r="V875" t="inlineStr">
        <is>
          <t>215058</t>
        </is>
      </c>
      <c r="W875" t="inlineStr">
        <is>
          <t>herdado do anúncio</t>
        </is>
      </c>
      <c r="Y875" t="inlineStr">
        <is>
          <t>ok</t>
        </is>
      </c>
    </row>
    <row r="876" ht="18" customHeight="1">
      <c r="A876" s="54" t="inlineStr">
        <is>
          <t>Donacor</t>
        </is>
      </c>
      <c r="B876" s="54" t="inlineStr">
        <is>
          <t>Calcinha Básica Sem Costura Loba Lupo 40300</t>
        </is>
      </c>
      <c r="C876" s="54" t="inlineStr">
        <is>
          <t>Preto,G</t>
        </is>
      </c>
      <c r="D876" s="54" t="inlineStr">
        <is>
          <t>CALCINHA-SEM-COSTURA-PRETO-G</t>
        </is>
      </c>
      <c r="E876" s="54" t="n">
        <v>52157333776</v>
      </c>
      <c r="F876" s="54" t="n">
        <v>370652843390</v>
      </c>
      <c r="G876" s="54" t="inlineStr">
        <is>
          <t>NORMAL</t>
        </is>
      </c>
      <c r="H876" s="86" t="n">
        <v>89.90000000000001</v>
      </c>
      <c r="I876" s="86" t="n">
        <v>89.90000000000001</v>
      </c>
      <c r="J876" s="69" t="inlineStr">
        <is>
          <t>NÃO</t>
        </is>
      </c>
      <c r="K876" s="54" t="n"/>
      <c r="L876" s="87" t="n">
        <v>89.90000000000001</v>
      </c>
      <c r="M876" s="88" t="n">
        <v>1</v>
      </c>
      <c r="N876" s="89" t="n">
        <v>21.27</v>
      </c>
      <c r="O876" s="89">
        <f>ROUND(M876*N876,2)</f>
        <v/>
      </c>
      <c r="P876" s="90">
        <f>IF($O876="","",L876-O876-(L876*IF(L876&lt;=79.99,20%,14%)+IF(L876&lt;=79.99,4,IF(L876&lt;=99.99,16,IF(L876&lt;=199.99,20,IF(L876&lt;=499.99,26,28)))))-L876*1.3%-L876*6%-(L876-O876)*9.25%-L876*3%-L876*3%-1)</f>
        <v/>
      </c>
      <c r="Q876" s="54">
        <f>IF(AND(K876&lt;&gt;"",H876&gt;0),(H876-K876)/H876,"")</f>
        <v/>
      </c>
      <c r="R876" s="54" t="n"/>
      <c r="S876" s="54" t="n"/>
      <c r="T876" s="54" t="n"/>
      <c r="U876" s="54" t="n">
        <v>100382</v>
      </c>
      <c r="V876" t="inlineStr">
        <is>
          <t>215058</t>
        </is>
      </c>
      <c r="W876" t="inlineStr">
        <is>
          <t>herdado do anúncio</t>
        </is>
      </c>
      <c r="Y876" t="inlineStr">
        <is>
          <t>ok</t>
        </is>
      </c>
    </row>
    <row r="877" ht="18" customHeight="1">
      <c r="A877" s="60" t="inlineStr">
        <is>
          <t>Donacor</t>
        </is>
      </c>
      <c r="B877" s="60" t="inlineStr">
        <is>
          <t>Calcinha Básica Sem Costura Loba Lupo 40300</t>
        </is>
      </c>
      <c r="C877" s="60" t="inlineStr">
        <is>
          <t>Preto,GG</t>
        </is>
      </c>
      <c r="D877" s="60" t="inlineStr">
        <is>
          <t>CALCINHA-SEM-COSTURA-PRETO-GG</t>
        </is>
      </c>
      <c r="E877" s="60" t="n">
        <v>52157333776</v>
      </c>
      <c r="F877" s="60" t="n">
        <v>370652843391</v>
      </c>
      <c r="G877" s="60" t="inlineStr">
        <is>
          <t>NORMAL</t>
        </is>
      </c>
      <c r="H877" s="91" t="n">
        <v>89.90000000000001</v>
      </c>
      <c r="I877" s="91" t="n">
        <v>89.90000000000001</v>
      </c>
      <c r="J877" s="62" t="inlineStr">
        <is>
          <t>NÃO</t>
        </is>
      </c>
      <c r="K877" s="60" t="inlineStr">
        <is>
          <t> </t>
        </is>
      </c>
      <c r="L877" s="87" t="n">
        <v>89.90000000000001</v>
      </c>
      <c r="M877" s="88" t="n">
        <v>1</v>
      </c>
      <c r="N877" s="89" t="n">
        <v>21.27</v>
      </c>
      <c r="O877" s="89">
        <f>ROUND(M877*N877,2)</f>
        <v/>
      </c>
      <c r="P877" s="92">
        <f>IF($O877="","",L877-O877-(L877*IF(L877&lt;=79.99,20%,14%)+IF(L877&lt;=79.99,4,IF(L877&lt;=99.99,16,IF(L877&lt;=199.99,20,IF(L877&lt;=499.99,26,28)))))-L877*1.3%-L877*6%-(L877-O877)*9.25%-L877*3%-L877*3%-1)</f>
        <v/>
      </c>
      <c r="Q877" s="60" t="inlineStr">
        <is>
          <t> </t>
        </is>
      </c>
      <c r="R877" s="60" t="inlineStr">
        <is>
          <t> </t>
        </is>
      </c>
      <c r="S877" s="60" t="inlineStr">
        <is>
          <t> </t>
        </is>
      </c>
      <c r="T877" s="60" t="inlineStr">
        <is>
          <t> </t>
        </is>
      </c>
      <c r="U877" s="60" t="n">
        <v>100382</v>
      </c>
      <c r="V877" t="inlineStr">
        <is>
          <t>215058</t>
        </is>
      </c>
      <c r="W877" t="inlineStr">
        <is>
          <t>herdado do anúncio</t>
        </is>
      </c>
      <c r="Y877" t="inlineStr">
        <is>
          <t>ok</t>
        </is>
      </c>
    </row>
    <row r="878" ht="18" customHeight="1">
      <c r="A878" s="54" t="inlineStr">
        <is>
          <t>Donacor</t>
        </is>
      </c>
      <c r="B878" s="54" t="inlineStr">
        <is>
          <t>Calcinha Básica Sem Costura Loba Lupo 40300</t>
        </is>
      </c>
      <c r="C878" s="54" t="inlineStr">
        <is>
          <t>Preto,M</t>
        </is>
      </c>
      <c r="D878" s="54" t="inlineStr">
        <is>
          <t>CALCINHA-SEM-COSTURA-PRETO-M</t>
        </is>
      </c>
      <c r="E878" s="54" t="n">
        <v>52157333776</v>
      </c>
      <c r="F878" s="54" t="n">
        <v>370652843389</v>
      </c>
      <c r="G878" s="54" t="inlineStr">
        <is>
          <t>NORMAL</t>
        </is>
      </c>
      <c r="H878" s="86" t="n">
        <v>89.90000000000001</v>
      </c>
      <c r="I878" s="86" t="n">
        <v>89.90000000000001</v>
      </c>
      <c r="J878" s="69" t="inlineStr">
        <is>
          <t>NÃO</t>
        </is>
      </c>
      <c r="K878" s="54" t="n"/>
      <c r="L878" s="87" t="n">
        <v>89.90000000000001</v>
      </c>
      <c r="M878" s="88" t="n">
        <v>1</v>
      </c>
      <c r="N878" s="89" t="n">
        <v>21.27</v>
      </c>
      <c r="O878" s="89">
        <f>ROUND(M878*N878,2)</f>
        <v/>
      </c>
      <c r="P878" s="90">
        <f>IF($O878="","",L878-O878-(L878*IF(L878&lt;=79.99,20%,14%)+IF(L878&lt;=79.99,4,IF(L878&lt;=99.99,16,IF(L878&lt;=199.99,20,IF(L878&lt;=499.99,26,28)))))-L878*1.3%-L878*6%-(L878-O878)*9.25%-L878*3%-L878*3%-1)</f>
        <v/>
      </c>
      <c r="Q878" s="54">
        <f>IF(AND(K878&lt;&gt;"",H878&gt;0),(H878-K878)/H878,"")</f>
        <v/>
      </c>
      <c r="R878" s="54" t="n"/>
      <c r="S878" s="54" t="n"/>
      <c r="T878" s="54" t="n"/>
      <c r="U878" s="54" t="n">
        <v>100382</v>
      </c>
      <c r="V878" t="inlineStr">
        <is>
          <t>215058</t>
        </is>
      </c>
      <c r="W878" t="inlineStr">
        <is>
          <t>herdado do anúncio</t>
        </is>
      </c>
      <c r="Y878" t="inlineStr">
        <is>
          <t>ok</t>
        </is>
      </c>
    </row>
    <row r="879" ht="18" customHeight="1">
      <c r="A879" s="60" t="inlineStr">
        <is>
          <t>Donacor</t>
        </is>
      </c>
      <c r="B879" s="60" t="inlineStr">
        <is>
          <t>Calcinha Básica Sem Costura Loba Lupo 40300</t>
        </is>
      </c>
      <c r="C879" s="60" t="inlineStr">
        <is>
          <t>Preto,P</t>
        </is>
      </c>
      <c r="D879" s="60" t="inlineStr">
        <is>
          <t> </t>
        </is>
      </c>
      <c r="E879" s="60" t="n">
        <v>52157333776</v>
      </c>
      <c r="F879" s="60" t="n">
        <v>370652843388</v>
      </c>
      <c r="G879" s="60" t="inlineStr">
        <is>
          <t>NORMAL</t>
        </is>
      </c>
      <c r="H879" s="91" t="n">
        <v>89.90000000000001</v>
      </c>
      <c r="I879" s="91" t="n">
        <v>89.90000000000001</v>
      </c>
      <c r="J879" s="62" t="inlineStr">
        <is>
          <t>NÃO</t>
        </is>
      </c>
      <c r="K879" s="60" t="inlineStr">
        <is>
          <t> </t>
        </is>
      </c>
      <c r="L879" s="87" t="n">
        <v>89.90000000000001</v>
      </c>
      <c r="M879" s="88" t="n">
        <v>1</v>
      </c>
      <c r="N879" s="89" t="n">
        <v>21.27</v>
      </c>
      <c r="O879" s="89">
        <f>ROUND(M879*N879,2)</f>
        <v/>
      </c>
      <c r="P879" s="92">
        <f>IF($O879="","",L879-O879-(L879*IF(L879&lt;=79.99,20%,14%)+IF(L879&lt;=79.99,4,IF(L879&lt;=99.99,16,IF(L879&lt;=199.99,20,IF(L879&lt;=499.99,26,28)))))-L879*1.3%-L879*6%-(L879-O879)*9.25%-L879*3%-L879*3%-1)</f>
        <v/>
      </c>
      <c r="Q879" s="60" t="inlineStr">
        <is>
          <t> </t>
        </is>
      </c>
      <c r="R879" s="60" t="inlineStr">
        <is>
          <t> </t>
        </is>
      </c>
      <c r="S879" s="60" t="inlineStr">
        <is>
          <t> </t>
        </is>
      </c>
      <c r="T879" s="60" t="inlineStr">
        <is>
          <t> </t>
        </is>
      </c>
      <c r="U879" s="60" t="n">
        <v>100382</v>
      </c>
      <c r="V879" t="inlineStr">
        <is>
          <t>215058</t>
        </is>
      </c>
      <c r="W879" t="inlineStr">
        <is>
          <t>herdado do anúncio</t>
        </is>
      </c>
      <c r="Y879" t="inlineStr">
        <is>
          <t>ok</t>
        </is>
      </c>
    </row>
    <row r="880" ht="18" customHeight="1">
      <c r="A880" s="54" t="inlineStr">
        <is>
          <t>Donacor</t>
        </is>
      </c>
      <c r="B880" s="54" t="inlineStr">
        <is>
          <t>Calcinha Fio Dental Loba Lupo Microfibra Sem Costura 40600</t>
        </is>
      </c>
      <c r="C880" s="54" t="inlineStr">
        <is>
          <t>Branco,G</t>
        </is>
      </c>
      <c r="D880" s="54" t="inlineStr">
        <is>
          <t>CALCINHA-LUPO-BRANCA-G</t>
        </is>
      </c>
      <c r="E880" s="54" t="n">
        <v>22097594413</v>
      </c>
      <c r="F880" s="54" t="n">
        <v>189163457595</v>
      </c>
      <c r="G880" s="54" t="inlineStr">
        <is>
          <t>NORMAL</t>
        </is>
      </c>
      <c r="H880" s="86" t="n">
        <v>49.9</v>
      </c>
      <c r="I880" s="86" t="n">
        <v>49.9</v>
      </c>
      <c r="J880" s="69" t="inlineStr">
        <is>
          <t>NÃO</t>
        </is>
      </c>
      <c r="K880" s="54" t="n"/>
      <c r="L880" s="87" t="n">
        <v>49.9</v>
      </c>
      <c r="P880" s="90">
        <f>IF($O880="","",L880-O880-(L880*IF(L880&lt;=79.99,20%,14%)+IF(L880&lt;=79.99,4,IF(L880&lt;=99.99,16,IF(L880&lt;=199.99,20,IF(L880&lt;=499.99,26,28)))))-L880*1.3%-L880*6%-(L880-O880)*9.25%-L880*3%-L880*3%-1)</f>
        <v/>
      </c>
      <c r="Q880" s="54">
        <f>IF(AND(K880&lt;&gt;"",H880&gt;0),(H880-K880)/H880,"")</f>
        <v/>
      </c>
      <c r="R880" s="54" t="n"/>
      <c r="S880" s="54" t="n"/>
      <c r="T880" s="54" t="n"/>
      <c r="U880" s="54" t="n">
        <v>100382</v>
      </c>
      <c r="W880" t="inlineStr">
        <is>
          <t>sem correspondência</t>
        </is>
      </c>
      <c r="Y880" t="inlineStr"/>
    </row>
    <row r="881" ht="18" customHeight="1">
      <c r="A881" s="60" t="inlineStr">
        <is>
          <t>Donacor</t>
        </is>
      </c>
      <c r="B881" s="60" t="inlineStr">
        <is>
          <t>Calcinha Fio Dental Loba Lupo Microfibra Sem Costura 40600</t>
        </is>
      </c>
      <c r="C881" s="60" t="inlineStr">
        <is>
          <t>Branco,GG</t>
        </is>
      </c>
      <c r="D881" s="60" t="inlineStr">
        <is>
          <t>CALCINHA-LUPO-BRANCA-GG</t>
        </is>
      </c>
      <c r="E881" s="60" t="n">
        <v>22097594413</v>
      </c>
      <c r="F881" s="60" t="n">
        <v>189163457596</v>
      </c>
      <c r="G881" s="60" t="inlineStr">
        <is>
          <t>NORMAL</t>
        </is>
      </c>
      <c r="H881" s="91" t="n">
        <v>49.9</v>
      </c>
      <c r="I881" s="91" t="n">
        <v>49.9</v>
      </c>
      <c r="J881" s="62" t="inlineStr">
        <is>
          <t>NÃO</t>
        </is>
      </c>
      <c r="K881" s="60" t="inlineStr">
        <is>
          <t> </t>
        </is>
      </c>
      <c r="L881" s="87" t="n">
        <v>49.9</v>
      </c>
      <c r="P881" s="92">
        <f>IF($O881="","",L881-O881-(L881*IF(L881&lt;=79.99,20%,14%)+IF(L881&lt;=79.99,4,IF(L881&lt;=99.99,16,IF(L881&lt;=199.99,20,IF(L881&lt;=499.99,26,28)))))-L881*1.3%-L881*6%-(L881-O881)*9.25%-L881*3%-L881*3%-1)</f>
        <v/>
      </c>
      <c r="Q881" s="60" t="inlineStr">
        <is>
          <t> </t>
        </is>
      </c>
      <c r="R881" s="60" t="inlineStr">
        <is>
          <t> </t>
        </is>
      </c>
      <c r="S881" s="60" t="inlineStr">
        <is>
          <t> </t>
        </is>
      </c>
      <c r="T881" s="60" t="inlineStr">
        <is>
          <t> </t>
        </is>
      </c>
      <c r="U881" s="60" t="n">
        <v>100382</v>
      </c>
      <c r="W881" t="inlineStr">
        <is>
          <t>sem correspondência</t>
        </is>
      </c>
      <c r="Y881" t="inlineStr"/>
    </row>
    <row r="882" ht="18" customHeight="1">
      <c r="A882" s="54" t="inlineStr">
        <is>
          <t>Donacor</t>
        </is>
      </c>
      <c r="B882" s="54" t="inlineStr">
        <is>
          <t>Calcinha Fio Dental Loba Lupo Microfibra Sem Costura 40600</t>
        </is>
      </c>
      <c r="C882" s="54" t="inlineStr">
        <is>
          <t>Branco,M</t>
        </is>
      </c>
      <c r="D882" s="54" t="inlineStr">
        <is>
          <t>CALCINHA-LUPO-BRANCA-M</t>
        </is>
      </c>
      <c r="E882" s="54" t="n">
        <v>22097594413</v>
      </c>
      <c r="F882" s="54" t="n">
        <v>189163457601</v>
      </c>
      <c r="G882" s="54" t="inlineStr">
        <is>
          <t>NORMAL</t>
        </is>
      </c>
      <c r="H882" s="86" t="n">
        <v>49.9</v>
      </c>
      <c r="I882" s="86" t="n">
        <v>49.9</v>
      </c>
      <c r="J882" s="69" t="inlineStr">
        <is>
          <t>NÃO</t>
        </is>
      </c>
      <c r="K882" s="54" t="n"/>
      <c r="L882" s="87" t="n">
        <v>49.9</v>
      </c>
      <c r="P882" s="90">
        <f>IF($O882="","",L882-O882-(L882*IF(L882&lt;=79.99,20%,14%)+IF(L882&lt;=79.99,4,IF(L882&lt;=99.99,16,IF(L882&lt;=199.99,20,IF(L882&lt;=499.99,26,28)))))-L882*1.3%-L882*6%-(L882-O882)*9.25%-L882*3%-L882*3%-1)</f>
        <v/>
      </c>
      <c r="Q882" s="54">
        <f>IF(AND(K882&lt;&gt;"",H882&gt;0),(H882-K882)/H882,"")</f>
        <v/>
      </c>
      <c r="R882" s="54" t="n"/>
      <c r="S882" s="54" t="n"/>
      <c r="T882" s="54" t="n"/>
      <c r="U882" s="54" t="n">
        <v>100382</v>
      </c>
      <c r="W882" t="inlineStr">
        <is>
          <t>sem correspondência</t>
        </is>
      </c>
      <c r="Y882" t="inlineStr"/>
    </row>
    <row r="883" ht="18" customHeight="1">
      <c r="A883" s="60" t="inlineStr">
        <is>
          <t>Donacor</t>
        </is>
      </c>
      <c r="B883" s="60" t="inlineStr">
        <is>
          <t>Calcinha Fio Dental Loba Lupo Microfibra Sem Costura 40600</t>
        </is>
      </c>
      <c r="C883" s="60" t="inlineStr">
        <is>
          <t>Branco,P</t>
        </is>
      </c>
      <c r="D883" s="60" t="inlineStr">
        <is>
          <t>CALCINHA-LUPO-BRANCA-P</t>
        </is>
      </c>
      <c r="E883" s="60" t="n">
        <v>22097594413</v>
      </c>
      <c r="F883" s="60" t="n">
        <v>189163457594</v>
      </c>
      <c r="G883" s="60" t="inlineStr">
        <is>
          <t>NORMAL</t>
        </is>
      </c>
      <c r="H883" s="91" t="n">
        <v>49.9</v>
      </c>
      <c r="I883" s="91" t="n">
        <v>49.9</v>
      </c>
      <c r="J883" s="62" t="inlineStr">
        <is>
          <t>NÃO</t>
        </is>
      </c>
      <c r="K883" s="60" t="inlineStr">
        <is>
          <t> </t>
        </is>
      </c>
      <c r="L883" s="87" t="n">
        <v>49.9</v>
      </c>
      <c r="P883" s="92">
        <f>IF($O883="","",L883-O883-(L883*IF(L883&lt;=79.99,20%,14%)+IF(L883&lt;=79.99,4,IF(L883&lt;=99.99,16,IF(L883&lt;=199.99,20,IF(L883&lt;=499.99,26,28)))))-L883*1.3%-L883*6%-(L883-O883)*9.25%-L883*3%-L883*3%-1)</f>
        <v/>
      </c>
      <c r="Q883" s="60" t="inlineStr">
        <is>
          <t> </t>
        </is>
      </c>
      <c r="R883" s="60" t="inlineStr">
        <is>
          <t> </t>
        </is>
      </c>
      <c r="S883" s="60" t="inlineStr">
        <is>
          <t> </t>
        </is>
      </c>
      <c r="T883" s="60" t="inlineStr">
        <is>
          <t> </t>
        </is>
      </c>
      <c r="U883" s="60" t="n">
        <v>100382</v>
      </c>
      <c r="W883" t="inlineStr">
        <is>
          <t>sem correspondência</t>
        </is>
      </c>
      <c r="Y883" t="inlineStr"/>
    </row>
    <row r="884" ht="18" customHeight="1">
      <c r="A884" s="54" t="inlineStr">
        <is>
          <t>Donacor</t>
        </is>
      </c>
      <c r="B884" s="54" t="inlineStr">
        <is>
          <t>Calcinha Fio Dental Loba Lupo Microfibra Sem Costura 40600</t>
        </is>
      </c>
      <c r="C884" s="54" t="inlineStr">
        <is>
          <t>Natural,G</t>
        </is>
      </c>
      <c r="D884" s="54" t="inlineStr">
        <is>
          <t>CALCINHA-NATURAL-LUPO-G</t>
        </is>
      </c>
      <c r="E884" s="54" t="n">
        <v>22097594413</v>
      </c>
      <c r="F884" s="54" t="n">
        <v>292096136890</v>
      </c>
      <c r="G884" s="54" t="inlineStr">
        <is>
          <t>NORMAL</t>
        </is>
      </c>
      <c r="H884" s="86" t="n">
        <v>49.9</v>
      </c>
      <c r="I884" s="86" t="n">
        <v>49.9</v>
      </c>
      <c r="J884" s="69" t="inlineStr">
        <is>
          <t>NÃO</t>
        </is>
      </c>
      <c r="K884" s="54" t="n"/>
      <c r="L884" s="87" t="n">
        <v>49.9</v>
      </c>
      <c r="P884" s="90">
        <f>IF($O884="","",L884-O884-(L884*IF(L884&lt;=79.99,20%,14%)+IF(L884&lt;=79.99,4,IF(L884&lt;=99.99,16,IF(L884&lt;=199.99,20,IF(L884&lt;=499.99,26,28)))))-L884*1.3%-L884*6%-(L884-O884)*9.25%-L884*3%-L884*3%-1)</f>
        <v/>
      </c>
      <c r="Q884" s="54">
        <f>IF(AND(K884&lt;&gt;"",H884&gt;0),(H884-K884)/H884,"")</f>
        <v/>
      </c>
      <c r="R884" s="54" t="n"/>
      <c r="S884" s="54" t="n"/>
      <c r="T884" s="54" t="n"/>
      <c r="U884" s="54" t="n">
        <v>100382</v>
      </c>
      <c r="V884" t="inlineStr">
        <is>
          <t>CALCINHA-NATURAL-LUPO-G</t>
        </is>
      </c>
      <c r="W884" t="inlineStr">
        <is>
          <t>SKU idêntico na Olist · CUSTO ZERADO na Olist (conferido hoje)</t>
        </is>
      </c>
      <c r="Y884" t="inlineStr">
        <is>
          <t>ok</t>
        </is>
      </c>
    </row>
    <row r="885" ht="18" customHeight="1">
      <c r="A885" s="60" t="inlineStr">
        <is>
          <t>Donacor</t>
        </is>
      </c>
      <c r="B885" s="60" t="inlineStr">
        <is>
          <t>Calcinha Fio Dental Loba Lupo Microfibra Sem Costura 40600</t>
        </is>
      </c>
      <c r="C885" s="60" t="inlineStr">
        <is>
          <t>Natural,GG</t>
        </is>
      </c>
      <c r="D885" s="60" t="inlineStr">
        <is>
          <t>CALCINHA-NATURAL-LUPO-GG</t>
        </is>
      </c>
      <c r="E885" s="60" t="n">
        <v>22097594413</v>
      </c>
      <c r="F885" s="60" t="n">
        <v>292096136891</v>
      </c>
      <c r="G885" s="60" t="inlineStr">
        <is>
          <t>NORMAL</t>
        </is>
      </c>
      <c r="H885" s="91" t="n">
        <v>49.9</v>
      </c>
      <c r="I885" s="91" t="n">
        <v>49.9</v>
      </c>
      <c r="J885" s="62" t="inlineStr">
        <is>
          <t>NÃO</t>
        </is>
      </c>
      <c r="K885" s="60" t="inlineStr">
        <is>
          <t> </t>
        </is>
      </c>
      <c r="L885" s="87" t="n">
        <v>49.9</v>
      </c>
      <c r="P885" s="92">
        <f>IF($O885="","",L885-O885-(L885*IF(L885&lt;=79.99,20%,14%)+IF(L885&lt;=79.99,4,IF(L885&lt;=99.99,16,IF(L885&lt;=199.99,20,IF(L885&lt;=499.99,26,28)))))-L885*1.3%-L885*6%-(L885-O885)*9.25%-L885*3%-L885*3%-1)</f>
        <v/>
      </c>
      <c r="Q885" s="60" t="inlineStr">
        <is>
          <t> </t>
        </is>
      </c>
      <c r="R885" s="60" t="inlineStr">
        <is>
          <t> </t>
        </is>
      </c>
      <c r="S885" s="60" t="inlineStr">
        <is>
          <t> </t>
        </is>
      </c>
      <c r="T885" s="60" t="inlineStr">
        <is>
          <t> </t>
        </is>
      </c>
      <c r="U885" s="60" t="n">
        <v>100382</v>
      </c>
      <c r="W885" t="inlineStr">
        <is>
          <t>sem correspondência</t>
        </is>
      </c>
      <c r="Y885" t="inlineStr"/>
    </row>
    <row r="886" ht="18" customHeight="1">
      <c r="A886" s="54" t="inlineStr">
        <is>
          <t>Donacor</t>
        </is>
      </c>
      <c r="B886" s="54" t="inlineStr">
        <is>
          <t>Calcinha Fio Dental Loba Lupo Microfibra Sem Costura 40600</t>
        </is>
      </c>
      <c r="C886" s="54" t="inlineStr">
        <is>
          <t>Natural,M</t>
        </is>
      </c>
      <c r="D886" s="54" t="inlineStr">
        <is>
          <t>CALCINHA-NATURAL-LUPO-M</t>
        </is>
      </c>
      <c r="E886" s="54" t="n">
        <v>22097594413</v>
      </c>
      <c r="F886" s="54" t="n">
        <v>292096136889</v>
      </c>
      <c r="G886" s="54" t="inlineStr">
        <is>
          <t>NORMAL</t>
        </is>
      </c>
      <c r="H886" s="86" t="n">
        <v>49.9</v>
      </c>
      <c r="I886" s="86" t="n">
        <v>49.9</v>
      </c>
      <c r="J886" s="69" t="inlineStr">
        <is>
          <t>NÃO</t>
        </is>
      </c>
      <c r="K886" s="54" t="n"/>
      <c r="L886" s="87" t="n">
        <v>49.9</v>
      </c>
      <c r="P886" s="90">
        <f>IF($O886="","",L886-O886-(L886*IF(L886&lt;=79.99,20%,14%)+IF(L886&lt;=79.99,4,IF(L886&lt;=99.99,16,IF(L886&lt;=199.99,20,IF(L886&lt;=499.99,26,28)))))-L886*1.3%-L886*6%-(L886-O886)*9.25%-L886*3%-L886*3%-1)</f>
        <v/>
      </c>
      <c r="Q886" s="54">
        <f>IF(AND(K886&lt;&gt;"",H886&gt;0),(H886-K886)/H886,"")</f>
        <v/>
      </c>
      <c r="R886" s="54" t="n"/>
      <c r="S886" s="54" t="n"/>
      <c r="T886" s="54" t="n"/>
      <c r="U886" s="54" t="n">
        <v>100382</v>
      </c>
      <c r="V886" t="inlineStr">
        <is>
          <t>CALCINHA-NATURAL-LUPO-M</t>
        </is>
      </c>
      <c r="W886" t="inlineStr">
        <is>
          <t>SKU idêntico na Olist · CUSTO ZERADO na Olist (conferido hoje)</t>
        </is>
      </c>
      <c r="Y886" t="inlineStr">
        <is>
          <t>ok</t>
        </is>
      </c>
    </row>
    <row r="887" ht="18" customHeight="1">
      <c r="A887" s="60" t="inlineStr">
        <is>
          <t>Donacor</t>
        </is>
      </c>
      <c r="B887" s="60" t="inlineStr">
        <is>
          <t>Calcinha Fio Dental Loba Lupo Microfibra Sem Costura 40600</t>
        </is>
      </c>
      <c r="C887" s="60" t="inlineStr">
        <is>
          <t>Natural,P</t>
        </is>
      </c>
      <c r="D887" s="60" t="inlineStr">
        <is>
          <t>CALCINHA-NATURAL-LUPO-P</t>
        </is>
      </c>
      <c r="E887" s="60" t="n">
        <v>22097594413</v>
      </c>
      <c r="F887" s="60" t="n">
        <v>292096136888</v>
      </c>
      <c r="G887" s="60" t="inlineStr">
        <is>
          <t>NORMAL</t>
        </is>
      </c>
      <c r="H887" s="91" t="n">
        <v>49.9</v>
      </c>
      <c r="I887" s="91" t="n">
        <v>49.9</v>
      </c>
      <c r="J887" s="62" t="inlineStr">
        <is>
          <t>NÃO</t>
        </is>
      </c>
      <c r="K887" s="60" t="inlineStr">
        <is>
          <t> </t>
        </is>
      </c>
      <c r="L887" s="87" t="n">
        <v>49.9</v>
      </c>
      <c r="P887" s="92">
        <f>IF($O887="","",L887-O887-(L887*IF(L887&lt;=79.99,20%,14%)+IF(L887&lt;=79.99,4,IF(L887&lt;=99.99,16,IF(L887&lt;=199.99,20,IF(L887&lt;=499.99,26,28)))))-L887*1.3%-L887*6%-(L887-O887)*9.25%-L887*3%-L887*3%-1)</f>
        <v/>
      </c>
      <c r="Q887" s="60" t="inlineStr">
        <is>
          <t> </t>
        </is>
      </c>
      <c r="R887" s="60" t="inlineStr">
        <is>
          <t> </t>
        </is>
      </c>
      <c r="S887" s="60" t="inlineStr">
        <is>
          <t> </t>
        </is>
      </c>
      <c r="T887" s="60" t="inlineStr">
        <is>
          <t> </t>
        </is>
      </c>
      <c r="U887" s="60" t="n">
        <v>100382</v>
      </c>
      <c r="V887" t="inlineStr">
        <is>
          <t>CALCINHA-NATURAL-LUPO-P</t>
        </is>
      </c>
      <c r="W887" t="inlineStr">
        <is>
          <t>SKU idêntico na Olist · CUSTO ZERADO na Olist (conferido hoje)</t>
        </is>
      </c>
      <c r="Y887" t="inlineStr">
        <is>
          <t>ok</t>
        </is>
      </c>
    </row>
    <row r="888" ht="18" customHeight="1">
      <c r="A888" s="54" t="inlineStr">
        <is>
          <t>Donacor</t>
        </is>
      </c>
      <c r="B888" s="54" t="inlineStr">
        <is>
          <t>Calcinha Fio Dental Loba Lupo Microfibra Sem Costura 40600</t>
        </is>
      </c>
      <c r="C888" s="54" t="inlineStr">
        <is>
          <t>Nude,G</t>
        </is>
      </c>
      <c r="D888" s="54" t="inlineStr">
        <is>
          <t>CALCINHA-NUDE-LUPO-G</t>
        </is>
      </c>
      <c r="E888" s="54" t="n">
        <v>22097594413</v>
      </c>
      <c r="F888" s="54" t="n">
        <v>189163457604</v>
      </c>
      <c r="G888" s="54" t="inlineStr">
        <is>
          <t>NORMAL</t>
        </is>
      </c>
      <c r="H888" s="86" t="n">
        <v>49.9</v>
      </c>
      <c r="I888" s="86" t="n">
        <v>49.9</v>
      </c>
      <c r="J888" s="69" t="inlineStr">
        <is>
          <t>NÃO</t>
        </is>
      </c>
      <c r="K888" s="54" t="n"/>
      <c r="L888" s="87" t="n">
        <v>49.9</v>
      </c>
      <c r="P888" s="90">
        <f>IF($O888="","",L888-O888-(L888*IF(L888&lt;=79.99,20%,14%)+IF(L888&lt;=79.99,4,IF(L888&lt;=99.99,16,IF(L888&lt;=199.99,20,IF(L888&lt;=499.99,26,28)))))-L888*1.3%-L888*6%-(L888-O888)*9.25%-L888*3%-L888*3%-1)</f>
        <v/>
      </c>
      <c r="Q888" s="54">
        <f>IF(AND(K888&lt;&gt;"",H888&gt;0),(H888-K888)/H888,"")</f>
        <v/>
      </c>
      <c r="R888" s="54" t="n"/>
      <c r="S888" s="54" t="n"/>
      <c r="T888" s="54" t="n"/>
      <c r="U888" s="54" t="n">
        <v>100382</v>
      </c>
      <c r="W888" t="inlineStr">
        <is>
          <t>sem correspondência</t>
        </is>
      </c>
      <c r="Y888" t="inlineStr"/>
    </row>
    <row r="889" ht="18" customHeight="1">
      <c r="A889" s="60" t="inlineStr">
        <is>
          <t>Donacor</t>
        </is>
      </c>
      <c r="B889" s="60" t="inlineStr">
        <is>
          <t>Calcinha Fio Dental Loba Lupo Microfibra Sem Costura 40600</t>
        </is>
      </c>
      <c r="C889" s="60" t="inlineStr">
        <is>
          <t>Nude,GG</t>
        </is>
      </c>
      <c r="D889" s="60" t="inlineStr">
        <is>
          <t>CALCINHA-NUDE-LUPO-GG</t>
        </is>
      </c>
      <c r="E889" s="60" t="n">
        <v>22097594413</v>
      </c>
      <c r="F889" s="60" t="n">
        <v>189163457605</v>
      </c>
      <c r="G889" s="60" t="inlineStr">
        <is>
          <t>NORMAL</t>
        </is>
      </c>
      <c r="H889" s="91" t="n">
        <v>49.9</v>
      </c>
      <c r="I889" s="91" t="n">
        <v>49.9</v>
      </c>
      <c r="J889" s="62" t="inlineStr">
        <is>
          <t>NÃO</t>
        </is>
      </c>
      <c r="K889" s="60" t="inlineStr">
        <is>
          <t> </t>
        </is>
      </c>
      <c r="L889" s="87" t="n">
        <v>49.9</v>
      </c>
      <c r="P889" s="92">
        <f>IF($O889="","",L889-O889-(L889*IF(L889&lt;=79.99,20%,14%)+IF(L889&lt;=79.99,4,IF(L889&lt;=99.99,16,IF(L889&lt;=199.99,20,IF(L889&lt;=499.99,26,28)))))-L889*1.3%-L889*6%-(L889-O889)*9.25%-L889*3%-L889*3%-1)</f>
        <v/>
      </c>
      <c r="Q889" s="60" t="inlineStr">
        <is>
          <t> </t>
        </is>
      </c>
      <c r="R889" s="60" t="inlineStr">
        <is>
          <t> </t>
        </is>
      </c>
      <c r="S889" s="60" t="inlineStr">
        <is>
          <t> </t>
        </is>
      </c>
      <c r="T889" s="60" t="inlineStr">
        <is>
          <t> </t>
        </is>
      </c>
      <c r="U889" s="60" t="n">
        <v>100382</v>
      </c>
      <c r="W889" t="inlineStr">
        <is>
          <t>sem correspondência</t>
        </is>
      </c>
      <c r="Y889" t="inlineStr"/>
    </row>
    <row r="890" ht="18" customHeight="1">
      <c r="A890" s="54" t="inlineStr">
        <is>
          <t>Donacor</t>
        </is>
      </c>
      <c r="B890" s="54" t="inlineStr">
        <is>
          <t>Calcinha Fio Dental Loba Lupo Microfibra Sem Costura 40600</t>
        </is>
      </c>
      <c r="C890" s="54" t="inlineStr">
        <is>
          <t>Nude,M</t>
        </is>
      </c>
      <c r="D890" s="54" t="inlineStr">
        <is>
          <t>CALCINHA-NUDE-LUPO-M</t>
        </is>
      </c>
      <c r="E890" s="54" t="n">
        <v>22097594413</v>
      </c>
      <c r="F890" s="54" t="n">
        <v>189163457600</v>
      </c>
      <c r="G890" s="54" t="inlineStr">
        <is>
          <t>NORMAL</t>
        </is>
      </c>
      <c r="H890" s="86" t="n">
        <v>49.9</v>
      </c>
      <c r="I890" s="86" t="n">
        <v>49.9</v>
      </c>
      <c r="J890" s="69" t="inlineStr">
        <is>
          <t>NÃO</t>
        </is>
      </c>
      <c r="K890" s="54" t="n"/>
      <c r="L890" s="87" t="n">
        <v>49.9</v>
      </c>
      <c r="P890" s="90">
        <f>IF($O890="","",L890-O890-(L890*IF(L890&lt;=79.99,20%,14%)+IF(L890&lt;=79.99,4,IF(L890&lt;=99.99,16,IF(L890&lt;=199.99,20,IF(L890&lt;=499.99,26,28)))))-L890*1.3%-L890*6%-(L890-O890)*9.25%-L890*3%-L890*3%-1)</f>
        <v/>
      </c>
      <c r="Q890" s="54">
        <f>IF(AND(K890&lt;&gt;"",H890&gt;0),(H890-K890)/H890,"")</f>
        <v/>
      </c>
      <c r="R890" s="54" t="n"/>
      <c r="S890" s="54" t="n"/>
      <c r="T890" s="54" t="n"/>
      <c r="U890" s="54" t="n">
        <v>100382</v>
      </c>
      <c r="V890" t="inlineStr">
        <is>
          <t>CALCINHA-NUDE-LUPO-M</t>
        </is>
      </c>
      <c r="W890" t="inlineStr">
        <is>
          <t>SKU idêntico na Olist · CUSTO ZERADO na Olist (conferido hoje)</t>
        </is>
      </c>
      <c r="Y890" t="inlineStr">
        <is>
          <t>ok</t>
        </is>
      </c>
    </row>
    <row r="891" ht="18" customHeight="1">
      <c r="A891" s="60" t="inlineStr">
        <is>
          <t>Donacor</t>
        </is>
      </c>
      <c r="B891" s="60" t="inlineStr">
        <is>
          <t>Calcinha Fio Dental Loba Lupo Microfibra Sem Costura 40600</t>
        </is>
      </c>
      <c r="C891" s="60" t="inlineStr">
        <is>
          <t>Nude,P</t>
        </is>
      </c>
      <c r="D891" s="60" t="inlineStr">
        <is>
          <t>CALCINHA-NUDE-LUPO-P</t>
        </is>
      </c>
      <c r="E891" s="60" t="n">
        <v>22097594413</v>
      </c>
      <c r="F891" s="60" t="n">
        <v>189163457603</v>
      </c>
      <c r="G891" s="60" t="inlineStr">
        <is>
          <t>NORMAL</t>
        </is>
      </c>
      <c r="H891" s="91" t="n">
        <v>49.9</v>
      </c>
      <c r="I891" s="91" t="n">
        <v>49.9</v>
      </c>
      <c r="J891" s="62" t="inlineStr">
        <is>
          <t>NÃO</t>
        </is>
      </c>
      <c r="K891" s="60" t="inlineStr">
        <is>
          <t> </t>
        </is>
      </c>
      <c r="L891" s="87" t="n">
        <v>49.9</v>
      </c>
      <c r="P891" s="92">
        <f>IF($O891="","",L891-O891-(L891*IF(L891&lt;=79.99,20%,14%)+IF(L891&lt;=79.99,4,IF(L891&lt;=99.99,16,IF(L891&lt;=199.99,20,IF(L891&lt;=499.99,26,28)))))-L891*1.3%-L891*6%-(L891-O891)*9.25%-L891*3%-L891*3%-1)</f>
        <v/>
      </c>
      <c r="Q891" s="60" t="inlineStr">
        <is>
          <t> </t>
        </is>
      </c>
      <c r="R891" s="60" t="inlineStr">
        <is>
          <t> </t>
        </is>
      </c>
      <c r="S891" s="60" t="inlineStr">
        <is>
          <t> </t>
        </is>
      </c>
      <c r="T891" s="60" t="inlineStr">
        <is>
          <t> </t>
        </is>
      </c>
      <c r="U891" s="60" t="n">
        <v>100382</v>
      </c>
      <c r="V891" t="inlineStr">
        <is>
          <t>CALCINHA-NUDE-LUPO-P</t>
        </is>
      </c>
      <c r="W891" t="inlineStr">
        <is>
          <t>SKU idêntico na Olist · CUSTO ZERADO na Olist (conferido hoje)</t>
        </is>
      </c>
      <c r="Y891" t="inlineStr">
        <is>
          <t>ok</t>
        </is>
      </c>
    </row>
    <row r="892" ht="18" customHeight="1">
      <c r="A892" s="54" t="inlineStr">
        <is>
          <t>Donacor</t>
        </is>
      </c>
      <c r="B892" s="54" t="inlineStr">
        <is>
          <t>Calcinha Fio Dental Loba Lupo Microfibra Sem Costura 40600</t>
        </is>
      </c>
      <c r="C892" s="54" t="inlineStr">
        <is>
          <t>Preto,G</t>
        </is>
      </c>
      <c r="D892" s="54" t="inlineStr">
        <is>
          <t>CALCINHA-PRETA-LUPO-G</t>
        </is>
      </c>
      <c r="E892" s="54" t="n">
        <v>22097594413</v>
      </c>
      <c r="F892" s="54" t="n">
        <v>189163457602</v>
      </c>
      <c r="G892" s="54" t="inlineStr">
        <is>
          <t>NORMAL</t>
        </is>
      </c>
      <c r="H892" s="86" t="n">
        <v>49.9</v>
      </c>
      <c r="I892" s="86" t="n">
        <v>49.9</v>
      </c>
      <c r="J892" s="69" t="inlineStr">
        <is>
          <t>NÃO</t>
        </is>
      </c>
      <c r="K892" s="54" t="n"/>
      <c r="L892" s="87" t="n">
        <v>49.9</v>
      </c>
      <c r="P892" s="90">
        <f>IF($O892="","",L892-O892-(L892*IF(L892&lt;=79.99,20%,14%)+IF(L892&lt;=79.99,4,IF(L892&lt;=99.99,16,IF(L892&lt;=199.99,20,IF(L892&lt;=499.99,26,28)))))-L892*1.3%-L892*6%-(L892-O892)*9.25%-L892*3%-L892*3%-1)</f>
        <v/>
      </c>
      <c r="Q892" s="54">
        <f>IF(AND(K892&lt;&gt;"",H892&gt;0),(H892-K892)/H892,"")</f>
        <v/>
      </c>
      <c r="R892" s="54" t="n"/>
      <c r="S892" s="54" t="n"/>
      <c r="T892" s="54" t="n"/>
      <c r="U892" s="54" t="n">
        <v>100382</v>
      </c>
      <c r="V892" t="inlineStr">
        <is>
          <t>CALCINHA-PRETA-LUPO-G</t>
        </is>
      </c>
      <c r="W892" t="inlineStr">
        <is>
          <t>SKU idêntico na Olist · CUSTO ZERADO na Olist (conferido hoje)</t>
        </is>
      </c>
      <c r="Y892" t="inlineStr">
        <is>
          <t>ok</t>
        </is>
      </c>
    </row>
    <row r="893" ht="18" customHeight="1">
      <c r="A893" s="60" t="inlineStr">
        <is>
          <t>Donacor</t>
        </is>
      </c>
      <c r="B893" s="60" t="inlineStr">
        <is>
          <t>Calcinha Fio Dental Loba Lupo Microfibra Sem Costura 40600</t>
        </is>
      </c>
      <c r="C893" s="60" t="inlineStr">
        <is>
          <t>Preto,GG</t>
        </is>
      </c>
      <c r="D893" s="60" t="inlineStr">
        <is>
          <t>CALCINHA-PRETA-LUPO-GG</t>
        </is>
      </c>
      <c r="E893" s="60" t="n">
        <v>22097594413</v>
      </c>
      <c r="F893" s="60" t="n">
        <v>189163457599</v>
      </c>
      <c r="G893" s="60" t="inlineStr">
        <is>
          <t>NORMAL</t>
        </is>
      </c>
      <c r="H893" s="91" t="n">
        <v>49.9</v>
      </c>
      <c r="I893" s="91" t="n">
        <v>49.9</v>
      </c>
      <c r="J893" s="62" t="inlineStr">
        <is>
          <t>NÃO</t>
        </is>
      </c>
      <c r="K893" s="60" t="inlineStr">
        <is>
          <t> </t>
        </is>
      </c>
      <c r="L893" s="87" t="n">
        <v>49.9</v>
      </c>
      <c r="M893" s="88" t="n">
        <v>1</v>
      </c>
      <c r="N893" s="89" t="n">
        <v>24.8</v>
      </c>
      <c r="O893" s="89">
        <f>ROUND(M893*N893,2)</f>
        <v/>
      </c>
      <c r="P893" s="92">
        <f>IF($O893="","",L893-O893-(L893*IF(L893&lt;=79.99,20%,14%)+IF(L893&lt;=79.99,4,IF(L893&lt;=99.99,16,IF(L893&lt;=199.99,20,IF(L893&lt;=499.99,26,28)))))-L893*1.3%-L893*6%-(L893-O893)*9.25%-L893*3%-L893*3%-1)</f>
        <v/>
      </c>
      <c r="Q893" s="60" t="inlineStr">
        <is>
          <t> </t>
        </is>
      </c>
      <c r="R893" s="60" t="inlineStr">
        <is>
          <t> </t>
        </is>
      </c>
      <c r="S893" s="60" t="inlineStr">
        <is>
          <t> </t>
        </is>
      </c>
      <c r="T893" s="60" t="inlineStr">
        <is>
          <t> </t>
        </is>
      </c>
      <c r="U893" s="60" t="n">
        <v>100382</v>
      </c>
      <c r="V893" t="inlineStr">
        <is>
          <t>214465</t>
        </is>
      </c>
      <c r="W893" t="inlineStr">
        <is>
          <t>venda casada (1 pedido)</t>
        </is>
      </c>
      <c r="X893" t="n">
        <v>1</v>
      </c>
      <c r="Y893" t="inlineStr">
        <is>
          <t>⚠ evidência fraca (1 pedido)</t>
        </is>
      </c>
    </row>
    <row r="894" ht="18" customHeight="1">
      <c r="A894" s="54" t="inlineStr">
        <is>
          <t>Donacor</t>
        </is>
      </c>
      <c r="B894" s="54" t="inlineStr">
        <is>
          <t>Calcinha Fio Dental Loba Lupo Microfibra Sem Costura 40600</t>
        </is>
      </c>
      <c r="C894" s="54" t="inlineStr">
        <is>
          <t>Preto,M</t>
        </is>
      </c>
      <c r="D894" s="54" t="inlineStr">
        <is>
          <t>CALCINHA-PRETA-LUPO-M</t>
        </is>
      </c>
      <c r="E894" s="54" t="n">
        <v>22097594413</v>
      </c>
      <c r="F894" s="54" t="n">
        <v>189163457598</v>
      </c>
      <c r="G894" s="54" t="inlineStr">
        <is>
          <t>NORMAL</t>
        </is>
      </c>
      <c r="H894" s="86" t="n">
        <v>49.9</v>
      </c>
      <c r="I894" s="86" t="n">
        <v>49.9</v>
      </c>
      <c r="J894" s="69" t="inlineStr">
        <is>
          <t>NÃO</t>
        </is>
      </c>
      <c r="K894" s="54" t="n"/>
      <c r="L894" s="87" t="n">
        <v>49.9</v>
      </c>
      <c r="P894" s="90">
        <f>IF($O894="","",L894-O894-(L894*IF(L894&lt;=79.99,20%,14%)+IF(L894&lt;=79.99,4,IF(L894&lt;=99.99,16,IF(L894&lt;=199.99,20,IF(L894&lt;=499.99,26,28)))))-L894*1.3%-L894*6%-(L894-O894)*9.25%-L894*3%-L894*3%-1)</f>
        <v/>
      </c>
      <c r="Q894" s="54">
        <f>IF(AND(K894&lt;&gt;"",H894&gt;0),(H894-K894)/H894,"")</f>
        <v/>
      </c>
      <c r="R894" s="54" t="n"/>
      <c r="S894" s="54" t="n"/>
      <c r="T894" s="54" t="n"/>
      <c r="U894" s="54" t="n">
        <v>100382</v>
      </c>
      <c r="V894" t="inlineStr">
        <is>
          <t>CALCINHA-PRETA-LUPO-M</t>
        </is>
      </c>
      <c r="W894" t="inlineStr">
        <is>
          <t>SKU idêntico na Olist · CUSTO ZERADO na Olist (conferido hoje)</t>
        </is>
      </c>
      <c r="Y894" t="inlineStr">
        <is>
          <t>ok</t>
        </is>
      </c>
    </row>
    <row r="895" ht="18" customHeight="1">
      <c r="A895" s="60" t="inlineStr">
        <is>
          <t>Donacor</t>
        </is>
      </c>
      <c r="B895" s="60" t="inlineStr">
        <is>
          <t>Calcinha Fio Dental Loba Lupo Microfibra Sem Costura 40600</t>
        </is>
      </c>
      <c r="C895" s="60" t="inlineStr">
        <is>
          <t>Preto,P</t>
        </is>
      </c>
      <c r="D895" s="60" t="inlineStr">
        <is>
          <t>CALCINHA-PRETA-LUPO-P</t>
        </is>
      </c>
      <c r="E895" s="60" t="n">
        <v>22097594413</v>
      </c>
      <c r="F895" s="60" t="n">
        <v>189163457597</v>
      </c>
      <c r="G895" s="60" t="inlineStr">
        <is>
          <t>NORMAL</t>
        </is>
      </c>
      <c r="H895" s="91" t="n">
        <v>49.9</v>
      </c>
      <c r="I895" s="91" t="n">
        <v>49.9</v>
      </c>
      <c r="J895" s="62" t="inlineStr">
        <is>
          <t>NÃO</t>
        </is>
      </c>
      <c r="K895" s="60" t="inlineStr">
        <is>
          <t> </t>
        </is>
      </c>
      <c r="L895" s="87" t="n">
        <v>49.9</v>
      </c>
      <c r="P895" s="92">
        <f>IF($O895="","",L895-O895-(L895*IF(L895&lt;=79.99,20%,14%)+IF(L895&lt;=79.99,4,IF(L895&lt;=99.99,16,IF(L895&lt;=199.99,20,IF(L895&lt;=499.99,26,28)))))-L895*1.3%-L895*6%-(L895-O895)*9.25%-L895*3%-L895*3%-1)</f>
        <v/>
      </c>
      <c r="Q895" s="60" t="inlineStr">
        <is>
          <t> </t>
        </is>
      </c>
      <c r="R895" s="60" t="inlineStr">
        <is>
          <t> </t>
        </is>
      </c>
      <c r="S895" s="60" t="inlineStr">
        <is>
          <t> </t>
        </is>
      </c>
      <c r="T895" s="60" t="inlineStr">
        <is>
          <t> </t>
        </is>
      </c>
      <c r="U895" s="60" t="n">
        <v>100382</v>
      </c>
      <c r="V895" t="inlineStr">
        <is>
          <t>CALCINHA-PRETA-LUPO-P</t>
        </is>
      </c>
      <c r="W895" t="inlineStr">
        <is>
          <t>SKU idêntico na Olist · CUSTO ZERADO na Olist (conferido hoje)</t>
        </is>
      </c>
      <c r="Y895" t="inlineStr">
        <is>
          <t>ok</t>
        </is>
      </c>
    </row>
    <row r="896" ht="18" customHeight="1">
      <c r="A896" s="54" t="inlineStr">
        <is>
          <t>Donacor</t>
        </is>
      </c>
      <c r="B896" s="54" t="inlineStr">
        <is>
          <t>Canelito Lupo Original Alta Compressão Suporte Panturrilha</t>
        </is>
      </c>
      <c r="C896" s="54" t="inlineStr">
        <is>
          <t>Preto,G</t>
        </is>
      </c>
      <c r="D896" s="54" t="inlineStr">
        <is>
          <t>Canelito G</t>
        </is>
      </c>
      <c r="E896" s="54" t="n">
        <v>23297543596</v>
      </c>
      <c r="F896" s="54" t="n">
        <v>219607515283</v>
      </c>
      <c r="G896" s="54" t="inlineStr">
        <is>
          <t>NORMAL</t>
        </is>
      </c>
      <c r="H896" s="86" t="n">
        <v>69.90000000000001</v>
      </c>
      <c r="I896" s="86" t="n">
        <v>69.90000000000001</v>
      </c>
      <c r="J896" s="69" t="inlineStr">
        <is>
          <t>NÃO</t>
        </is>
      </c>
      <c r="K896" s="54" t="n"/>
      <c r="L896" s="87" t="n">
        <v>69.90000000000001</v>
      </c>
      <c r="M896" s="88" t="n">
        <v>1</v>
      </c>
      <c r="N896" s="89" t="n">
        <v>28.02</v>
      </c>
      <c r="O896" s="89">
        <f>ROUND(M896*N896,2)</f>
        <v/>
      </c>
      <c r="P896" s="90">
        <f>IF($O896="","",L896-O896-(L896*IF(L896&lt;=79.99,20%,14%)+IF(L896&lt;=79.99,4,IF(L896&lt;=99.99,16,IF(L896&lt;=199.99,20,IF(L896&lt;=499.99,26,28)))))-L896*1.3%-L896*6%-(L896-O896)*9.25%-L896*3%-L896*3%-1)</f>
        <v/>
      </c>
      <c r="Q896" s="54">
        <f>IF(AND(K896&lt;&gt;"",H896&gt;0),(H896-K896)/H896,"")</f>
        <v/>
      </c>
      <c r="R896" s="54" t="n"/>
      <c r="S896" s="54" t="n"/>
      <c r="T896" s="54" t="n"/>
      <c r="U896" s="54" t="n">
        <v>101328</v>
      </c>
      <c r="V896" t="inlineStr">
        <is>
          <t>214739</t>
        </is>
      </c>
      <c r="W896" t="inlineStr">
        <is>
          <t>herdado do anúncio</t>
        </is>
      </c>
      <c r="Y896" t="inlineStr">
        <is>
          <t>ok</t>
        </is>
      </c>
    </row>
    <row r="897" ht="18" customHeight="1">
      <c r="A897" s="60" t="inlineStr">
        <is>
          <t>Donacor</t>
        </is>
      </c>
      <c r="B897" s="60" t="inlineStr">
        <is>
          <t>Canelito Lupo Original Alta Compressão Suporte Panturrilha</t>
        </is>
      </c>
      <c r="C897" s="60" t="inlineStr">
        <is>
          <t>Preto,M</t>
        </is>
      </c>
      <c r="D897" s="60" t="inlineStr">
        <is>
          <t>Canelito M</t>
        </is>
      </c>
      <c r="E897" s="60" t="n">
        <v>23297543596</v>
      </c>
      <c r="F897" s="60" t="n">
        <v>159777419190</v>
      </c>
      <c r="G897" s="60" t="inlineStr">
        <is>
          <t>NORMAL</t>
        </is>
      </c>
      <c r="H897" s="91" t="n">
        <v>69.90000000000001</v>
      </c>
      <c r="I897" s="91" t="n">
        <v>69.90000000000001</v>
      </c>
      <c r="J897" s="62" t="inlineStr">
        <is>
          <t>NÃO</t>
        </is>
      </c>
      <c r="K897" s="60" t="inlineStr">
        <is>
          <t> </t>
        </is>
      </c>
      <c r="L897" s="87" t="n">
        <v>69.90000000000001</v>
      </c>
      <c r="M897" s="88" t="n">
        <v>1</v>
      </c>
      <c r="N897" s="89" t="n">
        <v>28.02</v>
      </c>
      <c r="O897" s="89">
        <f>ROUND(M897*N897,2)</f>
        <v/>
      </c>
      <c r="P897" s="92">
        <f>IF($O897="","",L897-O897-(L897*IF(L897&lt;=79.99,20%,14%)+IF(L897&lt;=79.99,4,IF(L897&lt;=99.99,16,IF(L897&lt;=199.99,20,IF(L897&lt;=499.99,26,28)))))-L897*1.3%-L897*6%-(L897-O897)*9.25%-L897*3%-L897*3%-1)</f>
        <v/>
      </c>
      <c r="Q897" s="60" t="inlineStr">
        <is>
          <t> </t>
        </is>
      </c>
      <c r="R897" s="60" t="inlineStr">
        <is>
          <t> </t>
        </is>
      </c>
      <c r="S897" s="60" t="inlineStr">
        <is>
          <t> </t>
        </is>
      </c>
      <c r="T897" s="60" t="inlineStr">
        <is>
          <t> </t>
        </is>
      </c>
      <c r="U897" s="60" t="n">
        <v>101328</v>
      </c>
      <c r="V897" t="inlineStr">
        <is>
          <t>214739</t>
        </is>
      </c>
      <c r="W897" t="inlineStr">
        <is>
          <t>herdado do anúncio</t>
        </is>
      </c>
      <c r="Y897" t="inlineStr">
        <is>
          <t>ok</t>
        </is>
      </c>
    </row>
    <row r="898" ht="18" customHeight="1">
      <c r="A898" s="54" t="inlineStr">
        <is>
          <t>Donacor</t>
        </is>
      </c>
      <c r="B898" s="54" t="inlineStr">
        <is>
          <t>Canelito Lupo Original Alta Compressão Suporte Panturrilha</t>
        </is>
      </c>
      <c r="C898" s="54" t="inlineStr">
        <is>
          <t>Preto,P</t>
        </is>
      </c>
      <c r="D898" s="54" t="inlineStr">
        <is>
          <t>Canelito P</t>
        </is>
      </c>
      <c r="E898" s="54" t="n">
        <v>23297543596</v>
      </c>
      <c r="F898" s="54" t="n">
        <v>159777419189</v>
      </c>
      <c r="G898" s="54" t="inlineStr">
        <is>
          <t>NORMAL</t>
        </is>
      </c>
      <c r="H898" s="86" t="n">
        <v>69.90000000000001</v>
      </c>
      <c r="I898" s="86" t="n">
        <v>69.90000000000001</v>
      </c>
      <c r="J898" s="69" t="inlineStr">
        <is>
          <t>NÃO</t>
        </is>
      </c>
      <c r="K898" s="54" t="n"/>
      <c r="L898" s="87" t="n">
        <v>69.90000000000001</v>
      </c>
      <c r="M898" s="88" t="n">
        <v>1</v>
      </c>
      <c r="N898" s="89" t="n">
        <v>28.02</v>
      </c>
      <c r="O898" s="89">
        <f>ROUND(M898*N898,2)</f>
        <v/>
      </c>
      <c r="P898" s="90">
        <f>IF($O898="","",L898-O898-(L898*IF(L898&lt;=79.99,20%,14%)+IF(L898&lt;=79.99,4,IF(L898&lt;=99.99,16,IF(L898&lt;=199.99,20,IF(L898&lt;=499.99,26,28)))))-L898*1.3%-L898*6%-(L898-O898)*9.25%-L898*3%-L898*3%-1)</f>
        <v/>
      </c>
      <c r="Q898" s="54">
        <f>IF(AND(K898&lt;&gt;"",H898&gt;0),(H898-K898)/H898,"")</f>
        <v/>
      </c>
      <c r="R898" s="54" t="n"/>
      <c r="S898" s="54" t="n"/>
      <c r="T898" s="54" t="n"/>
      <c r="U898" s="54" t="n">
        <v>101328</v>
      </c>
      <c r="V898" t="inlineStr">
        <is>
          <t>214739</t>
        </is>
      </c>
      <c r="W898" t="inlineStr">
        <is>
          <t>venda casada (2 pedidos)</t>
        </is>
      </c>
      <c r="X898" t="n">
        <v>2</v>
      </c>
      <c r="Y898" t="inlineStr">
        <is>
          <t>ok</t>
        </is>
      </c>
    </row>
    <row r="899" ht="18" customHeight="1">
      <c r="A899" s="60" t="inlineStr">
        <is>
          <t>Donacor</t>
        </is>
      </c>
      <c r="B899" s="60" t="inlineStr">
        <is>
          <t>Cascata 120 Led Natal Estrela Decoração 8 Funções 110V/220V 3 Metros</t>
        </is>
      </c>
      <c r="C899" s="60" t="inlineStr">
        <is>
          <t>Branco Frio,110V</t>
        </is>
      </c>
      <c r="D899" s="60" t="inlineStr">
        <is>
          <t>CASCATA-120LED-110V-BRANCO-FRIO</t>
        </is>
      </c>
      <c r="E899" s="60" t="n">
        <v>44273567556</v>
      </c>
      <c r="F899" s="60" t="n">
        <v>355113003696</v>
      </c>
      <c r="G899" s="60" t="inlineStr">
        <is>
          <t>NORMAL</t>
        </is>
      </c>
      <c r="H899" s="91" t="n">
        <v>109.9</v>
      </c>
      <c r="I899" s="91" t="n">
        <v>109.9</v>
      </c>
      <c r="J899" s="62" t="inlineStr">
        <is>
          <t>NÃO</t>
        </is>
      </c>
      <c r="K899" s="60" t="inlineStr">
        <is>
          <t> </t>
        </is>
      </c>
      <c r="L899" s="87" t="n">
        <v>109.9</v>
      </c>
      <c r="P899" s="92">
        <f>IF($O899="","",L899-O899-(L899*IF(L899&lt;=79.99,20%,14%)+IF(L899&lt;=79.99,4,IF(L899&lt;=99.99,16,IF(L899&lt;=199.99,20,IF(L899&lt;=499.99,26,28)))))-L899*1.3%-L899*6%-(L899-O899)*9.25%-L899*3%-L899*3%-1)</f>
        <v/>
      </c>
      <c r="Q899" s="60" t="inlineStr">
        <is>
          <t> </t>
        </is>
      </c>
      <c r="R899" s="60" t="inlineStr">
        <is>
          <t> </t>
        </is>
      </c>
      <c r="S899" s="60" t="inlineStr">
        <is>
          <t> </t>
        </is>
      </c>
      <c r="T899" s="60" t="inlineStr">
        <is>
          <t> </t>
        </is>
      </c>
      <c r="U899" s="60" t="n">
        <v>100719</v>
      </c>
      <c r="W899" t="inlineStr">
        <is>
          <t>sem correspondência</t>
        </is>
      </c>
      <c r="Y899" t="inlineStr"/>
    </row>
    <row r="900" ht="18" customHeight="1">
      <c r="A900" s="54" t="inlineStr">
        <is>
          <t>Donacor</t>
        </is>
      </c>
      <c r="B900" s="54" t="inlineStr">
        <is>
          <t>Cascata 120 Led Natal Estrela Decoração 8 Funções 110V/220V 3 Metros</t>
        </is>
      </c>
      <c r="C900" s="54" t="inlineStr">
        <is>
          <t>Branco Frio,220</t>
        </is>
      </c>
      <c r="D900" s="54" t="inlineStr">
        <is>
          <t>CASCATA-120LED-220V-BRANCO-FRIO</t>
        </is>
      </c>
      <c r="E900" s="54" t="n">
        <v>44273567556</v>
      </c>
      <c r="F900" s="54" t="n">
        <v>355113003697</v>
      </c>
      <c r="G900" s="54" t="inlineStr">
        <is>
          <t>NORMAL</t>
        </is>
      </c>
      <c r="H900" s="86" t="n">
        <v>109.9</v>
      </c>
      <c r="I900" s="86" t="n">
        <v>58.9</v>
      </c>
      <c r="J900" s="56" t="inlineStr">
        <is>
          <t>SIM</t>
        </is>
      </c>
      <c r="K900" s="86" t="n">
        <v>58.9</v>
      </c>
      <c r="L900" s="87" t="n">
        <v>58.9</v>
      </c>
      <c r="P900" s="90">
        <f>IF($O900="","",L900-O900-(L900*IF(L900&lt;=79.99,20%,14%)+IF(L900&lt;=79.99,4,IF(L900&lt;=99.99,16,IF(L900&lt;=199.99,20,IF(L900&lt;=499.99,26,28)))))-L900*1.3%-L900*6%-(L900-O900)*9.25%-L900*3%-L900*3%-1)</f>
        <v/>
      </c>
      <c r="Q900" s="58" t="n">
        <v>0.464</v>
      </c>
      <c r="R900" s="54" t="inlineStr">
        <is>
          <t>484945860710786, 478840979931317</t>
        </is>
      </c>
      <c r="S900" s="59" t="n">
        <v>46227.73958333334</v>
      </c>
      <c r="T900" s="59" t="n">
        <v>46248.99930555555</v>
      </c>
      <c r="U900" s="54" t="n">
        <v>100719</v>
      </c>
      <c r="W900" t="inlineStr">
        <is>
          <t>ambíguo: 215150 (50%) vs CASCATA-120LED-220V-BRANCO-FRIO</t>
        </is>
      </c>
      <c r="X900" t="n">
        <v>2</v>
      </c>
      <c r="Y900" t="inlineStr"/>
    </row>
    <row r="901" ht="18" customHeight="1">
      <c r="A901" s="60" t="inlineStr">
        <is>
          <t>Donacor</t>
        </is>
      </c>
      <c r="B901" s="60" t="inlineStr">
        <is>
          <t>Cascata 120 Led Natal Estrela Decoração 8 Funções 110V/220V 3 Metros</t>
        </is>
      </c>
      <c r="C901" s="60" t="inlineStr">
        <is>
          <t>Branco Quente,110V</t>
        </is>
      </c>
      <c r="D901" s="60" t="inlineStr">
        <is>
          <t>CASCATA-120LED-110V-BRANCO-QUENTE</t>
        </is>
      </c>
      <c r="E901" s="60" t="n">
        <v>44273567556</v>
      </c>
      <c r="F901" s="60" t="n">
        <v>266916026962</v>
      </c>
      <c r="G901" s="60" t="inlineStr">
        <is>
          <t>NORMAL</t>
        </is>
      </c>
      <c r="H901" s="91" t="n">
        <v>109.9</v>
      </c>
      <c r="I901" s="91" t="n">
        <v>109.9</v>
      </c>
      <c r="J901" s="62" t="inlineStr">
        <is>
          <t>NÃO</t>
        </is>
      </c>
      <c r="K901" s="60" t="inlineStr">
        <is>
          <t> </t>
        </is>
      </c>
      <c r="L901" s="87" t="n">
        <v>109.9</v>
      </c>
      <c r="P901" s="92">
        <f>IF($O901="","",L901-O901-(L901*IF(L901&lt;=79.99,20%,14%)+IF(L901&lt;=79.99,4,IF(L901&lt;=99.99,16,IF(L901&lt;=199.99,20,IF(L901&lt;=499.99,26,28)))))-L901*1.3%-L901*6%-(L901-O901)*9.25%-L901*3%-L901*3%-1)</f>
        <v/>
      </c>
      <c r="Q901" s="60" t="inlineStr">
        <is>
          <t> </t>
        </is>
      </c>
      <c r="R901" s="60" t="inlineStr">
        <is>
          <t> </t>
        </is>
      </c>
      <c r="S901" s="60" t="inlineStr">
        <is>
          <t> </t>
        </is>
      </c>
      <c r="T901" s="60" t="inlineStr">
        <is>
          <t> </t>
        </is>
      </c>
      <c r="U901" s="60" t="n">
        <v>100719</v>
      </c>
      <c r="V901" t="inlineStr">
        <is>
          <t>CASCATA-120LED-110V-BRANCO-QUENTE</t>
        </is>
      </c>
      <c r="W901" t="inlineStr">
        <is>
          <t>SKU idêntico na Olist · CUSTO ZERADO na Olist (conferido hoje)</t>
        </is>
      </c>
      <c r="Y901" t="inlineStr">
        <is>
          <t>ok</t>
        </is>
      </c>
    </row>
    <row r="902" ht="18" customHeight="1">
      <c r="A902" s="54" t="inlineStr">
        <is>
          <t>Donacor</t>
        </is>
      </c>
      <c r="B902" s="54" t="inlineStr">
        <is>
          <t>Cascata 120 Led Natal Estrela Decoração 8 Funções 110V/220V 3 Metros</t>
        </is>
      </c>
      <c r="C902" s="54" t="inlineStr">
        <is>
          <t>Branco Quente,220</t>
        </is>
      </c>
      <c r="D902" s="54" t="inlineStr">
        <is>
          <t>CASCATA-120LED-220V-BRANCO-QUENTE</t>
        </is>
      </c>
      <c r="E902" s="54" t="n">
        <v>44273567556</v>
      </c>
      <c r="F902" s="54" t="n">
        <v>266916026963</v>
      </c>
      <c r="G902" s="54" t="inlineStr">
        <is>
          <t>NORMAL</t>
        </is>
      </c>
      <c r="H902" s="86" t="n">
        <v>109.9</v>
      </c>
      <c r="I902" s="86" t="n">
        <v>109.9</v>
      </c>
      <c r="J902" s="69" t="inlineStr">
        <is>
          <t>NÃO</t>
        </is>
      </c>
      <c r="K902" s="54" t="n"/>
      <c r="L902" s="87" t="n">
        <v>109.9</v>
      </c>
      <c r="P902" s="90">
        <f>IF($O902="","",L902-O902-(L902*IF(L902&lt;=79.99,20%,14%)+IF(L902&lt;=79.99,4,IF(L902&lt;=99.99,16,IF(L902&lt;=199.99,20,IF(L902&lt;=499.99,26,28)))))-L902*1.3%-L902*6%-(L902-O902)*9.25%-L902*3%-L902*3%-1)</f>
        <v/>
      </c>
      <c r="Q902" s="54">
        <f>IF(AND(K902&lt;&gt;"",H902&gt;0),(H902-K902)/H902,"")</f>
        <v/>
      </c>
      <c r="R902" s="54" t="n"/>
      <c r="S902" s="54" t="n"/>
      <c r="T902" s="54" t="n"/>
      <c r="U902" s="54" t="n">
        <v>100719</v>
      </c>
      <c r="V902" t="inlineStr">
        <is>
          <t>CASCATA-120LED-220V-BRANCO-QUENTE</t>
        </is>
      </c>
      <c r="W902" t="inlineStr">
        <is>
          <t>SKU idêntico na Olist · CUSTO ZERADO na Olist (conferido hoje)</t>
        </is>
      </c>
      <c r="Y902" t="inlineStr">
        <is>
          <t>ok</t>
        </is>
      </c>
    </row>
    <row r="903" ht="18" customHeight="1">
      <c r="A903" s="60" t="inlineStr">
        <is>
          <t>Donacor</t>
        </is>
      </c>
      <c r="B903" s="60" t="inlineStr">
        <is>
          <t>Cesto de Roupa Suja 70 LITROS Lavanderia Bambu c/ Tampa Retangular/Redondo Forrado Envio imediato</t>
        </is>
      </c>
      <c r="C903" s="60" t="inlineStr">
        <is>
          <t>Cesto Redondo,1 Unidade</t>
        </is>
      </c>
      <c r="D903" s="60" t="inlineStr">
        <is>
          <t>CESTO-REDONDO- 70 LITROS</t>
        </is>
      </c>
      <c r="E903" s="60" t="n">
        <v>22097566386</v>
      </c>
      <c r="F903" s="60" t="n">
        <v>159783077315</v>
      </c>
      <c r="G903" s="60" t="inlineStr">
        <is>
          <t>NORMAL</t>
        </is>
      </c>
      <c r="H903" s="91" t="n">
        <v>179.9</v>
      </c>
      <c r="I903" s="91" t="n">
        <v>179.9</v>
      </c>
      <c r="J903" s="62" t="inlineStr">
        <is>
          <t>NÃO</t>
        </is>
      </c>
      <c r="K903" s="60" t="inlineStr">
        <is>
          <t> </t>
        </is>
      </c>
      <c r="L903" s="87" t="n">
        <v>179.9</v>
      </c>
      <c r="P903" s="92">
        <f>IF($O903="","",L903-O903-(L903*IF(L903&lt;=79.99,20%,14%)+IF(L903&lt;=79.99,4,IF(L903&lt;=99.99,16,IF(L903&lt;=199.99,20,IF(L903&lt;=499.99,26,28)))))-L903*1.3%-L903*6%-(L903-O903)*9.25%-L903*3%-L903*3%-1)</f>
        <v/>
      </c>
      <c r="Q903" s="60" t="inlineStr">
        <is>
          <t> </t>
        </is>
      </c>
      <c r="R903" s="60" t="inlineStr">
        <is>
          <t> </t>
        </is>
      </c>
      <c r="S903" s="60" t="inlineStr">
        <is>
          <t> </t>
        </is>
      </c>
      <c r="T903" s="60" t="inlineStr">
        <is>
          <t> </t>
        </is>
      </c>
      <c r="U903" s="60" t="n">
        <v>101257</v>
      </c>
      <c r="W903" t="inlineStr">
        <is>
          <t>sem correspondência</t>
        </is>
      </c>
      <c r="Y903" t="inlineStr"/>
    </row>
    <row r="904" ht="18" customHeight="1">
      <c r="A904" s="54" t="inlineStr">
        <is>
          <t>Donacor</t>
        </is>
      </c>
      <c r="B904" s="54" t="inlineStr">
        <is>
          <t>Cesto de Roupa Suja 70 LITROS Lavanderia Bambu c/ Tampa Retangular/Redondo Forrado Envio imediato</t>
        </is>
      </c>
      <c r="C904" s="54" t="inlineStr">
        <is>
          <t>Cesto Redondo,2 Unidades (+3% OFF)</t>
        </is>
      </c>
      <c r="D904" s="54" t="inlineStr">
        <is>
          <t>KIT2-CESTO-REDONDO- 70 LITROS</t>
        </is>
      </c>
      <c r="E904" s="54" t="n">
        <v>22097566386</v>
      </c>
      <c r="F904" s="54" t="n">
        <v>159783077316</v>
      </c>
      <c r="G904" s="54" t="inlineStr">
        <is>
          <t>NORMAL</t>
        </is>
      </c>
      <c r="H904" s="86" t="n">
        <v>289.9</v>
      </c>
      <c r="I904" s="86" t="n">
        <v>289.9</v>
      </c>
      <c r="J904" s="69" t="inlineStr">
        <is>
          <t>NÃO</t>
        </is>
      </c>
      <c r="K904" s="54" t="n"/>
      <c r="L904" s="87" t="n">
        <v>289.9</v>
      </c>
      <c r="P904" s="90">
        <f>IF($O904="","",L904-O904-(L904*IF(L904&lt;=79.99,20%,14%)+IF(L904&lt;=79.99,4,IF(L904&lt;=99.99,16,IF(L904&lt;=199.99,20,IF(L904&lt;=499.99,26,28)))))-L904*1.3%-L904*6%-(L904-O904)*9.25%-L904*3%-L904*3%-1)</f>
        <v/>
      </c>
      <c r="Q904" s="54">
        <f>IF(AND(K904&lt;&gt;"",H904&gt;0),(H904-K904)/H904,"")</f>
        <v/>
      </c>
      <c r="R904" s="54" t="n"/>
      <c r="S904" s="54" t="n"/>
      <c r="T904" s="54" t="n"/>
      <c r="U904" s="54" t="n">
        <v>101257</v>
      </c>
      <c r="W904" t="inlineStr">
        <is>
          <t>sem correspondência</t>
        </is>
      </c>
      <c r="Y904" t="inlineStr"/>
    </row>
    <row r="905" ht="18" customHeight="1">
      <c r="A905" s="60" t="inlineStr">
        <is>
          <t>Donacor</t>
        </is>
      </c>
      <c r="B905" s="60" t="inlineStr">
        <is>
          <t>Cesto de Roupa Suja 70 LITROS Lavanderia Bambu c/ Tampa Retangular/Redondo Forrado Envio imediato</t>
        </is>
      </c>
      <c r="C905" s="60" t="inlineStr">
        <is>
          <t>Cesto Redondo,3 Unidades (+5% OFF)</t>
        </is>
      </c>
      <c r="D905" s="60" t="inlineStr">
        <is>
          <t>KIT3-CESTO-REDONDO- 70 LITROS</t>
        </is>
      </c>
      <c r="E905" s="60" t="n">
        <v>22097566386</v>
      </c>
      <c r="F905" s="60" t="n">
        <v>159783077317</v>
      </c>
      <c r="G905" s="60" t="inlineStr">
        <is>
          <t>NORMAL</t>
        </is>
      </c>
      <c r="H905" s="91" t="n">
        <v>409.9</v>
      </c>
      <c r="I905" s="91" t="n">
        <v>409.9</v>
      </c>
      <c r="J905" s="62" t="inlineStr">
        <is>
          <t>NÃO</t>
        </is>
      </c>
      <c r="K905" s="60" t="inlineStr">
        <is>
          <t> </t>
        </is>
      </c>
      <c r="L905" s="87" t="n">
        <v>409.9</v>
      </c>
      <c r="P905" s="92">
        <f>IF($O905="","",L905-O905-(L905*IF(L905&lt;=79.99,20%,14%)+IF(L905&lt;=79.99,4,IF(L905&lt;=99.99,16,IF(L905&lt;=199.99,20,IF(L905&lt;=499.99,26,28)))))-L905*1.3%-L905*6%-(L905-O905)*9.25%-L905*3%-L905*3%-1)</f>
        <v/>
      </c>
      <c r="Q905" s="60" t="inlineStr">
        <is>
          <t> </t>
        </is>
      </c>
      <c r="R905" s="60" t="inlineStr">
        <is>
          <t> </t>
        </is>
      </c>
      <c r="S905" s="60" t="inlineStr">
        <is>
          <t> </t>
        </is>
      </c>
      <c r="T905" s="60" t="inlineStr">
        <is>
          <t> </t>
        </is>
      </c>
      <c r="U905" s="60" t="n">
        <v>101257</v>
      </c>
      <c r="W905" t="inlineStr">
        <is>
          <t>sem correspondência</t>
        </is>
      </c>
      <c r="Y905" t="inlineStr"/>
    </row>
    <row r="906" ht="18" customHeight="1">
      <c r="A906" s="54" t="inlineStr">
        <is>
          <t>Donacor</t>
        </is>
      </c>
      <c r="B906" s="54" t="inlineStr">
        <is>
          <t>Cesto de Roupa Suja 70 LITROS Lavanderia Bambu c/ Tampa Retangular/Redondo Forrado Envio imediato</t>
        </is>
      </c>
      <c r="C906" s="54" t="inlineStr">
        <is>
          <t>Cesto Retangular,1 Unidade</t>
        </is>
      </c>
      <c r="D906" s="54" t="inlineStr">
        <is>
          <t>CESTO-RETANGULAR- 70 LITROS</t>
        </is>
      </c>
      <c r="E906" s="54" t="n">
        <v>22097566386</v>
      </c>
      <c r="F906" s="54" t="n">
        <v>159783077318</v>
      </c>
      <c r="G906" s="54" t="inlineStr">
        <is>
          <t>NORMAL</t>
        </is>
      </c>
      <c r="H906" s="86" t="n">
        <v>189.9</v>
      </c>
      <c r="I906" s="86" t="n">
        <v>189.9</v>
      </c>
      <c r="J906" s="69" t="inlineStr">
        <is>
          <t>NÃO</t>
        </is>
      </c>
      <c r="K906" s="54" t="n"/>
      <c r="L906" s="87" t="n">
        <v>189.9</v>
      </c>
      <c r="P906" s="90">
        <f>IF($O906="","",L906-O906-(L906*IF(L906&lt;=79.99,20%,14%)+IF(L906&lt;=79.99,4,IF(L906&lt;=99.99,16,IF(L906&lt;=199.99,20,IF(L906&lt;=499.99,26,28)))))-L906*1.3%-L906*6%-(L906-O906)*9.25%-L906*3%-L906*3%-1)</f>
        <v/>
      </c>
      <c r="Q906" s="54">
        <f>IF(AND(K906&lt;&gt;"",H906&gt;0),(H906-K906)/H906,"")</f>
        <v/>
      </c>
      <c r="R906" s="54" t="n"/>
      <c r="S906" s="54" t="n"/>
      <c r="T906" s="54" t="n"/>
      <c r="U906" s="54" t="n">
        <v>101257</v>
      </c>
      <c r="W906" t="inlineStr">
        <is>
          <t>sem correspondência</t>
        </is>
      </c>
      <c r="Y906" t="inlineStr"/>
    </row>
    <row r="907" ht="18" customHeight="1">
      <c r="A907" s="60" t="inlineStr">
        <is>
          <t>Donacor</t>
        </is>
      </c>
      <c r="B907" s="60" t="inlineStr">
        <is>
          <t>Cesto de Roupa Suja 70 LITROS Lavanderia Bambu c/ Tampa Retangular/Redondo Forrado Envio imediato</t>
        </is>
      </c>
      <c r="C907" s="60" t="inlineStr">
        <is>
          <t>Cesto Retangular,2 Unidades (+3% OFF)</t>
        </is>
      </c>
      <c r="D907" s="60" t="inlineStr">
        <is>
          <t>KIT2-CESTO-RETANGULAR- 70 LITROS</t>
        </is>
      </c>
      <c r="E907" s="60" t="n">
        <v>22097566386</v>
      </c>
      <c r="F907" s="60" t="n">
        <v>159783077313</v>
      </c>
      <c r="G907" s="60" t="inlineStr">
        <is>
          <t>NORMAL</t>
        </is>
      </c>
      <c r="H907" s="91" t="n">
        <v>299.9</v>
      </c>
      <c r="I907" s="91" t="n">
        <v>299.9</v>
      </c>
      <c r="J907" s="62" t="inlineStr">
        <is>
          <t>NÃO</t>
        </is>
      </c>
      <c r="K907" s="60" t="inlineStr">
        <is>
          <t> </t>
        </is>
      </c>
      <c r="L907" s="87" t="n">
        <v>299.9</v>
      </c>
      <c r="P907" s="92">
        <f>IF($O907="","",L907-O907-(L907*IF(L907&lt;=79.99,20%,14%)+IF(L907&lt;=79.99,4,IF(L907&lt;=99.99,16,IF(L907&lt;=199.99,20,IF(L907&lt;=499.99,26,28)))))-L907*1.3%-L907*6%-(L907-O907)*9.25%-L907*3%-L907*3%-1)</f>
        <v/>
      </c>
      <c r="Q907" s="60" t="inlineStr">
        <is>
          <t> </t>
        </is>
      </c>
      <c r="R907" s="60" t="inlineStr">
        <is>
          <t> </t>
        </is>
      </c>
      <c r="S907" s="60" t="inlineStr">
        <is>
          <t> </t>
        </is>
      </c>
      <c r="T907" s="60" t="inlineStr">
        <is>
          <t> </t>
        </is>
      </c>
      <c r="U907" s="60" t="n">
        <v>101257</v>
      </c>
      <c r="W907" t="inlineStr">
        <is>
          <t>sem correspondência</t>
        </is>
      </c>
      <c r="Y907" t="inlineStr"/>
    </row>
    <row r="908" ht="18" customHeight="1">
      <c r="A908" s="54" t="inlineStr">
        <is>
          <t>Donacor</t>
        </is>
      </c>
      <c r="B908" s="54" t="inlineStr">
        <is>
          <t>Cesto de Roupa Suja 70 LITROS Lavanderia Bambu c/ Tampa Retangular/Redondo Forrado Envio imediato</t>
        </is>
      </c>
      <c r="C908" s="54" t="inlineStr">
        <is>
          <t>Cesto Retangular,3 Unidades (+5% OFF)</t>
        </is>
      </c>
      <c r="D908" s="54" t="inlineStr">
        <is>
          <t>KIT3-CESTO-RETANGULAR- 70 LITROS</t>
        </is>
      </c>
      <c r="E908" s="54" t="n">
        <v>22097566386</v>
      </c>
      <c r="F908" s="54" t="n">
        <v>159783077314</v>
      </c>
      <c r="G908" s="54" t="inlineStr">
        <is>
          <t>NORMAL</t>
        </is>
      </c>
      <c r="H908" s="86" t="n">
        <v>429.9</v>
      </c>
      <c r="I908" s="86" t="n">
        <v>429.9</v>
      </c>
      <c r="J908" s="69" t="inlineStr">
        <is>
          <t>NÃO</t>
        </is>
      </c>
      <c r="K908" s="54" t="n"/>
      <c r="L908" s="87" t="n">
        <v>429.9</v>
      </c>
      <c r="P908" s="90">
        <f>IF($O908="","",L908-O908-(L908*IF(L908&lt;=79.99,20%,14%)+IF(L908&lt;=79.99,4,IF(L908&lt;=99.99,16,IF(L908&lt;=199.99,20,IF(L908&lt;=499.99,26,28)))))-L908*1.3%-L908*6%-(L908-O908)*9.25%-L908*3%-L908*3%-1)</f>
        <v/>
      </c>
      <c r="Q908" s="54">
        <f>IF(AND(K908&lt;&gt;"",H908&gt;0),(H908-K908)/H908,"")</f>
        <v/>
      </c>
      <c r="R908" s="54" t="n"/>
      <c r="S908" s="54" t="n"/>
      <c r="T908" s="54" t="n"/>
      <c r="U908" s="54" t="n">
        <v>101257</v>
      </c>
      <c r="W908" t="inlineStr">
        <is>
          <t>sem correspondência</t>
        </is>
      </c>
      <c r="Y908" t="inlineStr"/>
    </row>
    <row r="909" ht="18" customHeight="1">
      <c r="A909" s="60" t="inlineStr">
        <is>
          <t>Donacor</t>
        </is>
      </c>
      <c r="B909" s="60" t="inlineStr">
        <is>
          <t>Chaleira Elétrica OliverHome 110/220v Inox 1,8L Térmica Ferve Água Rápido Desligamento Automático</t>
        </is>
      </c>
      <c r="C909" s="60" t="inlineStr">
        <is>
          <t>1.5 L - BRANCO- 110V</t>
        </is>
      </c>
      <c r="D909" s="60" t="inlineStr">
        <is>
          <t>CHALEIRA-BRANCO-110V</t>
        </is>
      </c>
      <c r="E909" s="60" t="n">
        <v>43766973738</v>
      </c>
      <c r="F909" s="60" t="n">
        <v>177335677772</v>
      </c>
      <c r="G909" s="60" t="inlineStr">
        <is>
          <t>NORMAL</t>
        </is>
      </c>
      <c r="H909" s="91" t="n">
        <v>89.90000000000001</v>
      </c>
      <c r="I909" s="91" t="n">
        <v>54.89</v>
      </c>
      <c r="J909" s="65" t="inlineStr">
        <is>
          <t>SIM</t>
        </is>
      </c>
      <c r="K909" s="91" t="n">
        <v>54.89</v>
      </c>
      <c r="L909" s="87" t="n">
        <v>54.89</v>
      </c>
      <c r="M909" s="88" t="n">
        <v>1</v>
      </c>
      <c r="N909" s="89" t="n">
        <v>16.85</v>
      </c>
      <c r="O909" s="89">
        <f>ROUND(M909*N909,2)</f>
        <v/>
      </c>
      <c r="P909" s="92">
        <f>IF($O909="","",L909-O909-(L909*IF(L909&lt;=79.99,20%,14%)+IF(L909&lt;=79.99,4,IF(L909&lt;=99.99,16,IF(L909&lt;=199.99,20,IF(L909&lt;=499.99,26,28)))))-L909*1.3%-L909*6%-(L909-O909)*9.25%-L909*3%-L909*3%-1)</f>
        <v/>
      </c>
      <c r="Q909" s="67" t="n">
        <v>0.389</v>
      </c>
      <c r="R909" s="60" t="inlineStr">
        <is>
          <t>478840979931317, 492080438919432</t>
        </is>
      </c>
      <c r="S909" s="68" t="n">
        <v>46248</v>
      </c>
      <c r="T909" s="68" t="n">
        <v>46248.99930555555</v>
      </c>
      <c r="U909" s="60" t="n">
        <v>100191</v>
      </c>
      <c r="V909" t="inlineStr">
        <is>
          <t>213859</t>
        </is>
      </c>
      <c r="W909" t="inlineStr">
        <is>
          <t>venda casada (168 pedidos)</t>
        </is>
      </c>
      <c r="X909" t="n">
        <v>168</v>
      </c>
      <c r="Y909" t="inlineStr">
        <is>
          <t>ok</t>
        </is>
      </c>
    </row>
    <row r="910" ht="18" customHeight="1">
      <c r="A910" s="54" t="inlineStr">
        <is>
          <t>Donacor</t>
        </is>
      </c>
      <c r="B910" s="54" t="inlineStr">
        <is>
          <t>Chaleira Elétrica OliverHome 110/220v Inox 1,8L Térmica Ferve Água Rápido Desligamento Automático</t>
        </is>
      </c>
      <c r="C910" s="54" t="inlineStr">
        <is>
          <t>1.5 L - BRANCO- 220V</t>
        </is>
      </c>
      <c r="D910" s="54" t="inlineStr">
        <is>
          <t>CHALEIRA-BRANCO-220V</t>
        </is>
      </c>
      <c r="E910" s="54" t="n">
        <v>43766973738</v>
      </c>
      <c r="F910" s="54" t="n">
        <v>177335677773</v>
      </c>
      <c r="G910" s="54" t="inlineStr">
        <is>
          <t>NORMAL</t>
        </is>
      </c>
      <c r="H910" s="86" t="n">
        <v>89.90000000000001</v>
      </c>
      <c r="I910" s="86" t="n">
        <v>54.89</v>
      </c>
      <c r="J910" s="56" t="inlineStr">
        <is>
          <t>SIM</t>
        </is>
      </c>
      <c r="K910" s="86" t="n">
        <v>54.89</v>
      </c>
      <c r="L910" s="87" t="n">
        <v>54.89</v>
      </c>
      <c r="M910" s="88" t="n">
        <v>1</v>
      </c>
      <c r="N910" s="89" t="n">
        <v>16.85</v>
      </c>
      <c r="O910" s="89">
        <f>ROUND(M910*N910,2)</f>
        <v/>
      </c>
      <c r="P910" s="90">
        <f>IF($O910="","",L910-O910-(L910*IF(L910&lt;=79.99,20%,14%)+IF(L910&lt;=79.99,4,IF(L910&lt;=99.99,16,IF(L910&lt;=199.99,20,IF(L910&lt;=499.99,26,28)))))-L910*1.3%-L910*6%-(L910-O910)*9.25%-L910*3%-L910*3%-1)</f>
        <v/>
      </c>
      <c r="Q910" s="58" t="n">
        <v>0.389</v>
      </c>
      <c r="R910" s="54" t="inlineStr">
        <is>
          <t>492080438919432, 478840979931317</t>
        </is>
      </c>
      <c r="S910" s="59" t="n">
        <v>46248</v>
      </c>
      <c r="T910" s="59" t="n">
        <v>46248.99930555555</v>
      </c>
      <c r="U910" s="54" t="n">
        <v>100191</v>
      </c>
      <c r="V910" t="inlineStr">
        <is>
          <t>213861</t>
        </is>
      </c>
      <c r="W910" t="inlineStr">
        <is>
          <t>venda casada (199 pedidos)</t>
        </is>
      </c>
      <c r="X910" t="n">
        <v>199</v>
      </c>
      <c r="Y910" t="inlineStr">
        <is>
          <t>ok</t>
        </is>
      </c>
    </row>
    <row r="911" ht="18" customHeight="1">
      <c r="A911" s="60" t="inlineStr">
        <is>
          <t>Donacor</t>
        </is>
      </c>
      <c r="B911" s="60" t="inlineStr">
        <is>
          <t>Chaleira Elétrica OliverHome 110/220v Inox 1,8L Térmica Ferve Água Rápido Desligamento Automático</t>
        </is>
      </c>
      <c r="C911" s="60" t="inlineStr">
        <is>
          <t>1.5 L - PRETO- 110V</t>
        </is>
      </c>
      <c r="D911" s="60" t="inlineStr">
        <is>
          <t>CHALEIRA-PRETO-110V</t>
        </is>
      </c>
      <c r="E911" s="60" t="n">
        <v>43766973738</v>
      </c>
      <c r="F911" s="60" t="n">
        <v>177335677774</v>
      </c>
      <c r="G911" s="60" t="inlineStr">
        <is>
          <t>NORMAL</t>
        </is>
      </c>
      <c r="H911" s="91" t="n">
        <v>89.90000000000001</v>
      </c>
      <c r="I911" s="91" t="n">
        <v>54.89</v>
      </c>
      <c r="J911" s="65" t="inlineStr">
        <is>
          <t>SIM</t>
        </is>
      </c>
      <c r="K911" s="91" t="n">
        <v>54.89</v>
      </c>
      <c r="L911" s="87" t="n">
        <v>54.89</v>
      </c>
      <c r="M911" s="88" t="n">
        <v>1</v>
      </c>
      <c r="N911" s="89" t="n">
        <v>16.85</v>
      </c>
      <c r="O911" s="89">
        <f>ROUND(M911*N911,2)</f>
        <v/>
      </c>
      <c r="P911" s="92">
        <f>IF($O911="","",L911-O911-(L911*IF(L911&lt;=79.99,20%,14%)+IF(L911&lt;=79.99,4,IF(L911&lt;=99.99,16,IF(L911&lt;=199.99,20,IF(L911&lt;=499.99,26,28)))))-L911*1.3%-L911*6%-(L911-O911)*9.25%-L911*3%-L911*3%-1)</f>
        <v/>
      </c>
      <c r="Q911" s="67" t="n">
        <v>0.389</v>
      </c>
      <c r="R911" s="60" t="inlineStr">
        <is>
          <t>478840979931317, 492080438919432</t>
        </is>
      </c>
      <c r="S911" s="68" t="n">
        <v>46248</v>
      </c>
      <c r="T911" s="68" t="n">
        <v>46248.99930555555</v>
      </c>
      <c r="U911" s="60" t="n">
        <v>100191</v>
      </c>
      <c r="V911" t="inlineStr">
        <is>
          <t>213860</t>
        </is>
      </c>
      <c r="W911" t="inlineStr">
        <is>
          <t>venda casada (228 pedidos)</t>
        </is>
      </c>
      <c r="X911" t="n">
        <v>228</v>
      </c>
      <c r="Y911" t="inlineStr">
        <is>
          <t>ok</t>
        </is>
      </c>
    </row>
    <row r="912" ht="18" customHeight="1">
      <c r="A912" s="54" t="inlineStr">
        <is>
          <t>Donacor</t>
        </is>
      </c>
      <c r="B912" s="54" t="inlineStr">
        <is>
          <t>Chaleira Elétrica OliverHome 110/220v Inox 1,8L Térmica Ferve Água Rápido Desligamento Automático</t>
        </is>
      </c>
      <c r="C912" s="54" t="inlineStr">
        <is>
          <t>1.5 L - PRETO- 220V</t>
        </is>
      </c>
      <c r="D912" s="54" t="inlineStr">
        <is>
          <t>CHALEIRA-PRETO-220V</t>
        </is>
      </c>
      <c r="E912" s="54" t="n">
        <v>43766973738</v>
      </c>
      <c r="F912" s="54" t="n">
        <v>177335677775</v>
      </c>
      <c r="G912" s="54" t="inlineStr">
        <is>
          <t>NORMAL</t>
        </is>
      </c>
      <c r="H912" s="86" t="n">
        <v>89.90000000000001</v>
      </c>
      <c r="I912" s="86" t="n">
        <v>54.89</v>
      </c>
      <c r="J912" s="56" t="inlineStr">
        <is>
          <t>SIM</t>
        </is>
      </c>
      <c r="K912" s="86" t="n">
        <v>54.89</v>
      </c>
      <c r="L912" s="87" t="n">
        <v>54.89</v>
      </c>
      <c r="M912" s="88" t="n">
        <v>1</v>
      </c>
      <c r="N912" s="89" t="n">
        <v>16.85</v>
      </c>
      <c r="O912" s="89">
        <f>ROUND(M912*N912,2)</f>
        <v/>
      </c>
      <c r="P912" s="90">
        <f>IF($O912="","",L912-O912-(L912*IF(L912&lt;=79.99,20%,14%)+IF(L912&lt;=79.99,4,IF(L912&lt;=99.99,16,IF(L912&lt;=199.99,20,IF(L912&lt;=499.99,26,28)))))-L912*1.3%-L912*6%-(L912-O912)*9.25%-L912*3%-L912*3%-1)</f>
        <v/>
      </c>
      <c r="Q912" s="58" t="n">
        <v>0.389</v>
      </c>
      <c r="R912" s="54" t="inlineStr">
        <is>
          <t>478840979931317, 492080438919432</t>
        </is>
      </c>
      <c r="S912" s="59" t="n">
        <v>46248</v>
      </c>
      <c r="T912" s="59" t="n">
        <v>46248.99930555555</v>
      </c>
      <c r="U912" s="54" t="n">
        <v>100191</v>
      </c>
      <c r="V912" t="inlineStr">
        <is>
          <t>213862</t>
        </is>
      </c>
      <c r="W912" t="inlineStr">
        <is>
          <t>venda casada (231 pedidos)</t>
        </is>
      </c>
      <c r="X912" t="n">
        <v>231</v>
      </c>
      <c r="Y912" t="inlineStr">
        <is>
          <t>ok</t>
        </is>
      </c>
    </row>
    <row r="913" ht="18" customHeight="1">
      <c r="A913" s="60" t="inlineStr">
        <is>
          <t>Donacor</t>
        </is>
      </c>
      <c r="B913" s="60" t="inlineStr">
        <is>
          <t>Chaleira Elétrica OliverHome 110/220v Inox 1,8L Térmica Ferve Água Rápido Desligamento Automático</t>
        </is>
      </c>
      <c r="C913" s="60" t="inlineStr">
        <is>
          <t>1.8 L - INOX - 110V</t>
        </is>
      </c>
      <c r="D913" s="60" t="inlineStr">
        <is>
          <t>CHALEIRA-110V</t>
        </is>
      </c>
      <c r="E913" s="60" t="n">
        <v>43766973738</v>
      </c>
      <c r="F913" s="60" t="n">
        <v>291401772311</v>
      </c>
      <c r="G913" s="60" t="inlineStr">
        <is>
          <t>NORMAL</t>
        </is>
      </c>
      <c r="H913" s="91" t="n">
        <v>89.90000000000001</v>
      </c>
      <c r="I913" s="91" t="n">
        <v>47.9</v>
      </c>
      <c r="J913" s="65" t="inlineStr">
        <is>
          <t>SIM</t>
        </is>
      </c>
      <c r="K913" s="91" t="n">
        <v>47.9</v>
      </c>
      <c r="L913" s="87" t="n">
        <v>47.9</v>
      </c>
      <c r="M913" s="88" t="n">
        <v>1</v>
      </c>
      <c r="N913" s="89" t="n">
        <v>14.43</v>
      </c>
      <c r="O913" s="89">
        <f>ROUND(M913*N913,2)</f>
        <v/>
      </c>
      <c r="P913" s="92">
        <f>IF($O913="","",L913-O913-(L913*IF(L913&lt;=79.99,20%,14%)+IF(L913&lt;=79.99,4,IF(L913&lt;=99.99,16,IF(L913&lt;=199.99,20,IF(L913&lt;=499.99,26,28)))))-L913*1.3%-L913*6%-(L913-O913)*9.25%-L913*3%-L913*3%-1)</f>
        <v/>
      </c>
      <c r="Q913" s="67" t="n">
        <v>0.467</v>
      </c>
      <c r="R913" s="60" t="n">
        <v>478840979931317</v>
      </c>
      <c r="S913" s="68" t="n">
        <v>46248</v>
      </c>
      <c r="T913" s="68" t="n">
        <v>46248.99930555555</v>
      </c>
      <c r="U913" s="60" t="n">
        <v>100191</v>
      </c>
      <c r="V913" t="inlineStr">
        <is>
          <t>213986</t>
        </is>
      </c>
      <c r="W913" t="inlineStr">
        <is>
          <t>venda casada (374 pedidos)</t>
        </is>
      </c>
      <c r="X913" t="n">
        <v>374</v>
      </c>
      <c r="Y913" t="inlineStr">
        <is>
          <t>ok</t>
        </is>
      </c>
    </row>
    <row r="914" ht="18" customHeight="1">
      <c r="A914" s="54" t="inlineStr">
        <is>
          <t>Donacor</t>
        </is>
      </c>
      <c r="B914" s="54" t="inlineStr">
        <is>
          <t>Chaleira Elétrica OliverHome 110/220v Inox 1,8L Térmica Ferve Água Rápido Desligamento Automático</t>
        </is>
      </c>
      <c r="C914" s="54" t="inlineStr">
        <is>
          <t>1.8 L - INOX - 220V</t>
        </is>
      </c>
      <c r="D914" s="54" t="inlineStr">
        <is>
          <t>CHALEIRA-220V</t>
        </is>
      </c>
      <c r="E914" s="54" t="n">
        <v>43766973738</v>
      </c>
      <c r="F914" s="54" t="n">
        <v>291401772312</v>
      </c>
      <c r="G914" s="54" t="inlineStr">
        <is>
          <t>NORMAL</t>
        </is>
      </c>
      <c r="H914" s="86" t="n">
        <v>89.90000000000001</v>
      </c>
      <c r="I914" s="86" t="n">
        <v>43.9</v>
      </c>
      <c r="J914" s="56" t="inlineStr">
        <is>
          <t>SIM</t>
        </is>
      </c>
      <c r="K914" s="86" t="n">
        <v>43.9</v>
      </c>
      <c r="L914" s="87" t="n">
        <v>43.9</v>
      </c>
      <c r="M914" s="88" t="n">
        <v>1</v>
      </c>
      <c r="N914" s="89" t="n">
        <v>14.43</v>
      </c>
      <c r="O914" s="89">
        <f>ROUND(M914*N914,2)</f>
        <v/>
      </c>
      <c r="P914" s="90">
        <f>IF($O914="","",L914-O914-(L914*IF(L914&lt;=79.99,20%,14%)+IF(L914&lt;=79.99,4,IF(L914&lt;=99.99,16,IF(L914&lt;=199.99,20,IF(L914&lt;=499.99,26,28)))))-L914*1.3%-L914*6%-(L914-O914)*9.25%-L914*3%-L914*3%-1)</f>
        <v/>
      </c>
      <c r="Q914" s="58" t="n">
        <v>0.512</v>
      </c>
      <c r="R914" s="54" t="n">
        <v>484945860710786</v>
      </c>
      <c r="S914" s="59" t="n">
        <v>46227.73958333334</v>
      </c>
      <c r="T914" s="59" t="n">
        <v>46405.45833333334</v>
      </c>
      <c r="U914" s="54" t="n">
        <v>100191</v>
      </c>
      <c r="V914" t="inlineStr">
        <is>
          <t>213987</t>
        </is>
      </c>
      <c r="W914" t="inlineStr">
        <is>
          <t>venda casada (1068 pedidos)</t>
        </is>
      </c>
      <c r="X914" t="n">
        <v>1068</v>
      </c>
      <c r="Y914" t="inlineStr">
        <is>
          <t>ok</t>
        </is>
      </c>
    </row>
    <row r="915" ht="18" customHeight="1">
      <c r="A915" s="60" t="inlineStr">
        <is>
          <t>Donacor</t>
        </is>
      </c>
      <c r="B915" s="60" t="inlineStr">
        <is>
          <t>Chaleira Elétrica OliverHome 110/220v Inox 1,8L Térmica Ferve Água Rápido Desligamento Automático</t>
        </is>
      </c>
      <c r="C915" s="60" t="inlineStr">
        <is>
          <t>110V</t>
        </is>
      </c>
      <c r="D915" s="60" t="inlineStr">
        <is>
          <t>CHALEIRA-110V-INOX</t>
        </is>
      </c>
      <c r="E915" s="60" t="n">
        <v>53360131553</v>
      </c>
      <c r="F915" s="60" t="n">
        <v>440890616533</v>
      </c>
      <c r="G915" s="60" t="inlineStr">
        <is>
          <t>NORMAL</t>
        </is>
      </c>
      <c r="H915" s="91" t="n">
        <v>89.90000000000001</v>
      </c>
      <c r="I915" s="91" t="n">
        <v>47.9</v>
      </c>
      <c r="J915" s="65" t="inlineStr">
        <is>
          <t>SIM</t>
        </is>
      </c>
      <c r="K915" s="91" t="n">
        <v>47.9</v>
      </c>
      <c r="L915" s="87" t="n">
        <v>47.9</v>
      </c>
      <c r="M915" s="88" t="n">
        <v>1</v>
      </c>
      <c r="N915" s="89" t="n">
        <v>14.43</v>
      </c>
      <c r="O915" s="89">
        <f>ROUND(M915*N915,2)</f>
        <v/>
      </c>
      <c r="P915" s="92">
        <f>IF($O915="","",L915-O915-(L915*IF(L915&lt;=79.99,20%,14%)+IF(L915&lt;=79.99,4,IF(L915&lt;=99.99,16,IF(L915&lt;=199.99,20,IF(L915&lt;=499.99,26,28)))))-L915*1.3%-L915*6%-(L915-O915)*9.25%-L915*3%-L915*3%-1)</f>
        <v/>
      </c>
      <c r="Q915" s="67" t="n">
        <v>0.467</v>
      </c>
      <c r="R915" s="60" t="n">
        <v>478840979931317</v>
      </c>
      <c r="S915" s="68" t="n">
        <v>46248</v>
      </c>
      <c r="T915" s="68" t="n">
        <v>46248.99930555555</v>
      </c>
      <c r="U915" s="60" t="n">
        <v>100191</v>
      </c>
      <c r="V915" t="inlineStr">
        <is>
          <t>213987</t>
        </is>
      </c>
      <c r="W915" t="inlineStr">
        <is>
          <t>herdado do anúncio</t>
        </is>
      </c>
      <c r="Y915" t="inlineStr">
        <is>
          <t>ok</t>
        </is>
      </c>
    </row>
    <row r="916" ht="18" customHeight="1">
      <c r="A916" s="54" t="inlineStr">
        <is>
          <t>Donacor</t>
        </is>
      </c>
      <c r="B916" s="54" t="inlineStr">
        <is>
          <t>Chaleira Elétrica OliverHome 110/220v Inox 1,8L Térmica Ferve Água Rápido Desligamento Automático</t>
        </is>
      </c>
      <c r="C916" s="54" t="inlineStr">
        <is>
          <t>220V</t>
        </is>
      </c>
      <c r="D916" s="54" t="inlineStr">
        <is>
          <t>CHALEIRA-220V-INOX</t>
        </is>
      </c>
      <c r="E916" s="54" t="n">
        <v>53360131553</v>
      </c>
      <c r="F916" s="54" t="n">
        <v>440890616534</v>
      </c>
      <c r="G916" s="54" t="inlineStr">
        <is>
          <t>NORMAL</t>
        </is>
      </c>
      <c r="H916" s="86" t="n">
        <v>89.90000000000001</v>
      </c>
      <c r="I916" s="86" t="n">
        <v>43.9</v>
      </c>
      <c r="J916" s="56" t="inlineStr">
        <is>
          <t>SIM</t>
        </is>
      </c>
      <c r="K916" s="86" t="n">
        <v>43.9</v>
      </c>
      <c r="L916" s="87" t="n">
        <v>43.9</v>
      </c>
      <c r="M916" s="88" t="n">
        <v>1</v>
      </c>
      <c r="N916" s="89" t="n">
        <v>14.43</v>
      </c>
      <c r="O916" s="89">
        <f>ROUND(M916*N916,2)</f>
        <v/>
      </c>
      <c r="P916" s="90">
        <f>IF($O916="","",L916-O916-(L916*IF(L916&lt;=79.99,20%,14%)+IF(L916&lt;=79.99,4,IF(L916&lt;=99.99,16,IF(L916&lt;=199.99,20,IF(L916&lt;=499.99,26,28)))))-L916*1.3%-L916*6%-(L916-O916)*9.25%-L916*3%-L916*3%-1)</f>
        <v/>
      </c>
      <c r="Q916" s="58" t="n">
        <v>0.512</v>
      </c>
      <c r="R916" s="54" t="n">
        <v>484945860710786</v>
      </c>
      <c r="S916" s="59" t="n">
        <v>46227.73958333334</v>
      </c>
      <c r="T916" s="59" t="n">
        <v>46405.45833333334</v>
      </c>
      <c r="U916" s="54" t="n">
        <v>100191</v>
      </c>
      <c r="V916" t="inlineStr">
        <is>
          <t>213987</t>
        </is>
      </c>
      <c r="W916" t="inlineStr">
        <is>
          <t>venda casada (1 pedido)</t>
        </is>
      </c>
      <c r="X916" t="n">
        <v>1</v>
      </c>
      <c r="Y916" t="inlineStr">
        <is>
          <t>⚠ evidência fraca (1 pedido)</t>
        </is>
      </c>
    </row>
    <row r="917" ht="18" customHeight="1">
      <c r="A917" s="60" t="inlineStr">
        <is>
          <t>Donacor</t>
        </is>
      </c>
      <c r="B917" s="60" t="inlineStr">
        <is>
          <t>Chaleira Elétrica Térmica Moderno 1.5 L preta e branca 110V/220v OliverHome</t>
        </is>
      </c>
      <c r="C917" s="60" t="inlineStr">
        <is>
          <t>BRANCO,110V</t>
        </is>
      </c>
      <c r="D917" s="60" t="inlineStr">
        <is>
          <t>CHALEIRA-TERMICA-BRANCA-110V</t>
        </is>
      </c>
      <c r="E917" s="60" t="n">
        <v>42262308140</v>
      </c>
      <c r="F917" s="60" t="n">
        <v>271870735550</v>
      </c>
      <c r="G917" s="60" t="inlineStr">
        <is>
          <t>NORMAL</t>
        </is>
      </c>
      <c r="H917" s="91" t="n">
        <v>89.90000000000001</v>
      </c>
      <c r="I917" s="91" t="n">
        <v>54.89</v>
      </c>
      <c r="J917" s="65" t="inlineStr">
        <is>
          <t>SIM</t>
        </is>
      </c>
      <c r="K917" s="91" t="n">
        <v>54.89</v>
      </c>
      <c r="L917" s="87" t="n">
        <v>54.89</v>
      </c>
      <c r="M917" s="88" t="n">
        <v>1</v>
      </c>
      <c r="N917" s="89" t="n">
        <v>16.85</v>
      </c>
      <c r="O917" s="89">
        <f>ROUND(M917*N917,2)</f>
        <v/>
      </c>
      <c r="P917" s="92">
        <f>IF($O917="","",L917-O917-(L917*IF(L917&lt;=79.99,20%,14%)+IF(L917&lt;=79.99,4,IF(L917&lt;=99.99,16,IF(L917&lt;=199.99,20,IF(L917&lt;=499.99,26,28)))))-L917*1.3%-L917*6%-(L917-O917)*9.25%-L917*3%-L917*3%-1)</f>
        <v/>
      </c>
      <c r="Q917" s="67" t="n">
        <v>0.389</v>
      </c>
      <c r="R917" s="60" t="inlineStr">
        <is>
          <t>478840979931317, 492080438919432</t>
        </is>
      </c>
      <c r="S917" s="68" t="n">
        <v>46248</v>
      </c>
      <c r="T917" s="68" t="n">
        <v>46248.99930555555</v>
      </c>
      <c r="U917" s="60" t="n">
        <v>100191</v>
      </c>
      <c r="V917" t="inlineStr">
        <is>
          <t>213859</t>
        </is>
      </c>
      <c r="W917" t="inlineStr">
        <is>
          <t>venda casada (320 pedidos)</t>
        </is>
      </c>
      <c r="X917" t="n">
        <v>320</v>
      </c>
      <c r="Y917" t="inlineStr">
        <is>
          <t>ok</t>
        </is>
      </c>
    </row>
    <row r="918" ht="18" customHeight="1">
      <c r="A918" s="54" t="inlineStr">
        <is>
          <t>Donacor</t>
        </is>
      </c>
      <c r="B918" s="54" t="inlineStr">
        <is>
          <t>Chaleira Elétrica Térmica Moderno 1.5 L preta e branca 110V/220v OliverHome</t>
        </is>
      </c>
      <c r="C918" s="54" t="inlineStr">
        <is>
          <t>BRANCO,220V</t>
        </is>
      </c>
      <c r="D918" s="54" t="inlineStr">
        <is>
          <t>CHALEIRA-TERMICA-BRANCA-220V</t>
        </is>
      </c>
      <c r="E918" s="54" t="n">
        <v>42262308140</v>
      </c>
      <c r="F918" s="54" t="n">
        <v>271870735551</v>
      </c>
      <c r="G918" s="54" t="inlineStr">
        <is>
          <t>NORMAL</t>
        </is>
      </c>
      <c r="H918" s="86" t="n">
        <v>89.90000000000001</v>
      </c>
      <c r="I918" s="86" t="n">
        <v>54.49</v>
      </c>
      <c r="J918" s="56" t="inlineStr">
        <is>
          <t>SIM</t>
        </is>
      </c>
      <c r="K918" s="86" t="n">
        <v>54.49</v>
      </c>
      <c r="L918" s="87" t="n">
        <v>54.49</v>
      </c>
      <c r="M918" s="88" t="n">
        <v>1</v>
      </c>
      <c r="N918" s="89" t="n">
        <v>16.85</v>
      </c>
      <c r="O918" s="89">
        <f>ROUND(M918*N918,2)</f>
        <v/>
      </c>
      <c r="P918" s="90">
        <f>IF($O918="","",L918-O918-(L918*IF(L918&lt;=79.99,20%,14%)+IF(L918&lt;=79.99,4,IF(L918&lt;=99.99,16,IF(L918&lt;=199.99,20,IF(L918&lt;=499.99,26,28)))))-L918*1.3%-L918*6%-(L918-O918)*9.25%-L918*3%-L918*3%-1)</f>
        <v/>
      </c>
      <c r="Q918" s="58" t="n">
        <v>0.394</v>
      </c>
      <c r="R918" s="54" t="n">
        <v>478840979931317</v>
      </c>
      <c r="S918" s="59" t="n">
        <v>46248</v>
      </c>
      <c r="T918" s="59" t="n">
        <v>46248.99930555555</v>
      </c>
      <c r="U918" s="54" t="n">
        <v>100191</v>
      </c>
      <c r="V918" t="inlineStr">
        <is>
          <t>213861</t>
        </is>
      </c>
      <c r="W918" t="inlineStr">
        <is>
          <t>venda casada (285 pedidos)</t>
        </is>
      </c>
      <c r="X918" t="n">
        <v>285</v>
      </c>
      <c r="Y918" t="inlineStr">
        <is>
          <t>ok</t>
        </is>
      </c>
    </row>
    <row r="919" ht="18" customHeight="1">
      <c r="A919" s="60" t="inlineStr">
        <is>
          <t>Donacor</t>
        </is>
      </c>
      <c r="B919" s="60" t="inlineStr">
        <is>
          <t>Chaleira Elétrica Térmica Moderno 1.5 L preta e branca 110V/220v OliverHome</t>
        </is>
      </c>
      <c r="C919" s="60" t="inlineStr">
        <is>
          <t>PRETO,110V</t>
        </is>
      </c>
      <c r="D919" s="60" t="inlineStr">
        <is>
          <t>CHALEIRA-TERMICA-PRETO-110V</t>
        </is>
      </c>
      <c r="E919" s="60" t="n">
        <v>42262308140</v>
      </c>
      <c r="F919" s="60" t="n">
        <v>271870735548</v>
      </c>
      <c r="G919" s="60" t="inlineStr">
        <is>
          <t>NORMAL</t>
        </is>
      </c>
      <c r="H919" s="91" t="n">
        <v>89.90000000000001</v>
      </c>
      <c r="I919" s="91" t="n">
        <v>54.89</v>
      </c>
      <c r="J919" s="65" t="inlineStr">
        <is>
          <t>SIM</t>
        </is>
      </c>
      <c r="K919" s="91" t="n">
        <v>54.89</v>
      </c>
      <c r="L919" s="87" t="n">
        <v>54.89</v>
      </c>
      <c r="M919" s="88" t="n">
        <v>1</v>
      </c>
      <c r="N919" s="89" t="n">
        <v>16.85</v>
      </c>
      <c r="O919" s="89">
        <f>ROUND(M919*N919,2)</f>
        <v/>
      </c>
      <c r="P919" s="92">
        <f>IF($O919="","",L919-O919-(L919*IF(L919&lt;=79.99,20%,14%)+IF(L919&lt;=79.99,4,IF(L919&lt;=99.99,16,IF(L919&lt;=199.99,20,IF(L919&lt;=499.99,26,28)))))-L919*1.3%-L919*6%-(L919-O919)*9.25%-L919*3%-L919*3%-1)</f>
        <v/>
      </c>
      <c r="Q919" s="67" t="n">
        <v>0.389</v>
      </c>
      <c r="R919" s="60" t="inlineStr">
        <is>
          <t>492080438919432, 478840979931317</t>
        </is>
      </c>
      <c r="S919" s="68" t="n">
        <v>46248</v>
      </c>
      <c r="T919" s="68" t="n">
        <v>46248.99930555555</v>
      </c>
      <c r="U919" s="60" t="n">
        <v>100191</v>
      </c>
      <c r="V919" t="inlineStr">
        <is>
          <t>213860</t>
        </is>
      </c>
      <c r="W919" t="inlineStr">
        <is>
          <t>venda casada (491 pedidos)</t>
        </is>
      </c>
      <c r="X919" t="n">
        <v>491</v>
      </c>
      <c r="Y919" t="inlineStr">
        <is>
          <t>ok</t>
        </is>
      </c>
    </row>
    <row r="920" ht="18" customHeight="1">
      <c r="A920" s="54" t="inlineStr">
        <is>
          <t>Donacor</t>
        </is>
      </c>
      <c r="B920" s="54" t="inlineStr">
        <is>
          <t>Chaleira Elétrica Térmica Moderno 1.5 L preta e branca 110V/220v OliverHome</t>
        </is>
      </c>
      <c r="C920" s="54" t="inlineStr">
        <is>
          <t>PRETO,220V</t>
        </is>
      </c>
      <c r="D920" s="54" t="inlineStr">
        <is>
          <t>CHALEIRA-TERMICA-PRETO-220V</t>
        </is>
      </c>
      <c r="E920" s="54" t="n">
        <v>42262308140</v>
      </c>
      <c r="F920" s="54" t="n">
        <v>271870735549</v>
      </c>
      <c r="G920" s="54" t="inlineStr">
        <is>
          <t>NORMAL</t>
        </is>
      </c>
      <c r="H920" s="86" t="n">
        <v>89.90000000000001</v>
      </c>
      <c r="I920" s="86" t="n">
        <v>54.89</v>
      </c>
      <c r="J920" s="56" t="inlineStr">
        <is>
          <t>SIM</t>
        </is>
      </c>
      <c r="K920" s="86" t="n">
        <v>54.89</v>
      </c>
      <c r="L920" s="87" t="n">
        <v>54.89</v>
      </c>
      <c r="M920" s="88" t="n">
        <v>1</v>
      </c>
      <c r="N920" s="89" t="n">
        <v>16.85</v>
      </c>
      <c r="O920" s="89">
        <f>ROUND(M920*N920,2)</f>
        <v/>
      </c>
      <c r="P920" s="90">
        <f>IF($O920="","",L920-O920-(L920*IF(L920&lt;=79.99,20%,14%)+IF(L920&lt;=79.99,4,IF(L920&lt;=99.99,16,IF(L920&lt;=199.99,20,IF(L920&lt;=499.99,26,28)))))-L920*1.3%-L920*6%-(L920-O920)*9.25%-L920*3%-L920*3%-1)</f>
        <v/>
      </c>
      <c r="Q920" s="58" t="n">
        <v>0.389</v>
      </c>
      <c r="R920" s="54" t="inlineStr">
        <is>
          <t>478840979931317, 492080438919432</t>
        </is>
      </c>
      <c r="S920" s="59" t="n">
        <v>46248</v>
      </c>
      <c r="T920" s="59" t="n">
        <v>46248.99930555555</v>
      </c>
      <c r="U920" s="54" t="n">
        <v>100191</v>
      </c>
      <c r="V920" t="inlineStr">
        <is>
          <t>213862</t>
        </is>
      </c>
      <c r="W920" t="inlineStr">
        <is>
          <t>venda casada (510 pedidos)</t>
        </is>
      </c>
      <c r="X920" t="n">
        <v>510</v>
      </c>
      <c r="Y920" t="inlineStr">
        <is>
          <t>ok</t>
        </is>
      </c>
    </row>
    <row r="921" ht="18" customHeight="1">
      <c r="A921" s="60" t="inlineStr">
        <is>
          <t>Donacor</t>
        </is>
      </c>
      <c r="B921" s="60" t="inlineStr">
        <is>
          <t>Cinta Bermuda Alta Slim Loba Lupo Adulta Feminina 05696</t>
        </is>
      </c>
      <c r="C921" s="60" t="inlineStr">
        <is>
          <t>Pó de arroz,G</t>
        </is>
      </c>
      <c r="D921" s="60" t="inlineStr">
        <is>
          <t>CINTA-BERMUDA-LUPO-G</t>
        </is>
      </c>
      <c r="E921" s="60" t="n">
        <v>23892678340</v>
      </c>
      <c r="F921" s="60" t="n">
        <v>189162946822</v>
      </c>
      <c r="G921" s="60" t="inlineStr">
        <is>
          <t>NORMAL</t>
        </is>
      </c>
      <c r="H921" s="91" t="n">
        <v>51.9</v>
      </c>
      <c r="I921" s="91" t="n">
        <v>51.9</v>
      </c>
      <c r="J921" s="62" t="inlineStr">
        <is>
          <t>NÃO</t>
        </is>
      </c>
      <c r="K921" s="60" t="inlineStr">
        <is>
          <t> </t>
        </is>
      </c>
      <c r="L921" s="87" t="n">
        <v>51.9</v>
      </c>
      <c r="P921" s="92">
        <f>IF($O921="","",L921-O921-(L921*IF(L921&lt;=79.99,20%,14%)+IF(L921&lt;=79.99,4,IF(L921&lt;=99.99,16,IF(L921&lt;=199.99,20,IF(L921&lt;=499.99,26,28)))))-L921*1.3%-L921*6%-(L921-O921)*9.25%-L921*3%-L921*3%-1)</f>
        <v/>
      </c>
      <c r="Q921" s="60" t="inlineStr">
        <is>
          <t> </t>
        </is>
      </c>
      <c r="R921" s="60" t="inlineStr">
        <is>
          <t> </t>
        </is>
      </c>
      <c r="S921" s="60" t="inlineStr">
        <is>
          <t> </t>
        </is>
      </c>
      <c r="T921" s="60" t="inlineStr">
        <is>
          <t> </t>
        </is>
      </c>
      <c r="U921" s="60" t="n">
        <v>100360</v>
      </c>
      <c r="W921" t="inlineStr">
        <is>
          <t>sem correspondência</t>
        </is>
      </c>
      <c r="Y921" t="inlineStr"/>
    </row>
    <row r="922" ht="18" customHeight="1">
      <c r="A922" s="54" t="inlineStr">
        <is>
          <t>Donacor</t>
        </is>
      </c>
      <c r="B922" s="54" t="inlineStr">
        <is>
          <t>Cinta Bermuda Alta Slim Loba Lupo Adulta Feminina 05696</t>
        </is>
      </c>
      <c r="C922" s="54" t="inlineStr">
        <is>
          <t>Pó de arroz,GG</t>
        </is>
      </c>
      <c r="D922" s="54" t="inlineStr">
        <is>
          <t>CINTA-BERMUDA-LUPO-GG</t>
        </is>
      </c>
      <c r="E922" s="54" t="n">
        <v>23892678340</v>
      </c>
      <c r="F922" s="54" t="n">
        <v>189162946824</v>
      </c>
      <c r="G922" s="54" t="inlineStr">
        <is>
          <t>NORMAL</t>
        </is>
      </c>
      <c r="H922" s="86" t="n">
        <v>51.9</v>
      </c>
      <c r="I922" s="86" t="n">
        <v>51.9</v>
      </c>
      <c r="J922" s="69" t="inlineStr">
        <is>
          <t>NÃO</t>
        </is>
      </c>
      <c r="K922" s="54" t="n"/>
      <c r="L922" s="87" t="n">
        <v>51.9</v>
      </c>
      <c r="P922" s="90">
        <f>IF($O922="","",L922-O922-(L922*IF(L922&lt;=79.99,20%,14%)+IF(L922&lt;=79.99,4,IF(L922&lt;=99.99,16,IF(L922&lt;=199.99,20,IF(L922&lt;=499.99,26,28)))))-L922*1.3%-L922*6%-(L922-O922)*9.25%-L922*3%-L922*3%-1)</f>
        <v/>
      </c>
      <c r="Q922" s="54">
        <f>IF(AND(K922&lt;&gt;"",H922&gt;0),(H922-K922)/H922,"")</f>
        <v/>
      </c>
      <c r="R922" s="54" t="n"/>
      <c r="S922" s="54" t="n"/>
      <c r="T922" s="54" t="n"/>
      <c r="U922" s="54" t="n">
        <v>100360</v>
      </c>
      <c r="W922" t="inlineStr">
        <is>
          <t>sem correspondência</t>
        </is>
      </c>
      <c r="Y922" t="inlineStr"/>
    </row>
    <row r="923" ht="18" customHeight="1">
      <c r="A923" s="60" t="inlineStr">
        <is>
          <t>Donacor</t>
        </is>
      </c>
      <c r="B923" s="60" t="inlineStr">
        <is>
          <t>Cinta Bermuda Alta Slim Loba Lupo Adulta Feminina 05696</t>
        </is>
      </c>
      <c r="C923" s="60" t="inlineStr">
        <is>
          <t>Pó de arroz,M</t>
        </is>
      </c>
      <c r="D923" s="60" t="inlineStr">
        <is>
          <t>CINTA-BERMUDA-LUPO-M</t>
        </is>
      </c>
      <c r="E923" s="60" t="n">
        <v>23892678340</v>
      </c>
      <c r="F923" s="60" t="n">
        <v>189162946821</v>
      </c>
      <c r="G923" s="60" t="inlineStr">
        <is>
          <t>NORMAL</t>
        </is>
      </c>
      <c r="H923" s="91" t="n">
        <v>51.9</v>
      </c>
      <c r="I923" s="91" t="n">
        <v>51.9</v>
      </c>
      <c r="J923" s="62" t="inlineStr">
        <is>
          <t>NÃO</t>
        </is>
      </c>
      <c r="K923" s="60" t="inlineStr">
        <is>
          <t> </t>
        </is>
      </c>
      <c r="L923" s="87" t="n">
        <v>51.9</v>
      </c>
      <c r="P923" s="92">
        <f>IF($O923="","",L923-O923-(L923*IF(L923&lt;=79.99,20%,14%)+IF(L923&lt;=79.99,4,IF(L923&lt;=99.99,16,IF(L923&lt;=199.99,20,IF(L923&lt;=499.99,26,28)))))-L923*1.3%-L923*6%-(L923-O923)*9.25%-L923*3%-L923*3%-1)</f>
        <v/>
      </c>
      <c r="Q923" s="60" t="inlineStr">
        <is>
          <t> </t>
        </is>
      </c>
      <c r="R923" s="60" t="inlineStr">
        <is>
          <t> </t>
        </is>
      </c>
      <c r="S923" s="60" t="inlineStr">
        <is>
          <t> </t>
        </is>
      </c>
      <c r="T923" s="60" t="inlineStr">
        <is>
          <t> </t>
        </is>
      </c>
      <c r="U923" s="60" t="n">
        <v>100360</v>
      </c>
      <c r="W923" t="inlineStr">
        <is>
          <t>sem correspondência</t>
        </is>
      </c>
      <c r="Y923" t="inlineStr"/>
    </row>
    <row r="924" ht="18" customHeight="1">
      <c r="A924" s="54" t="inlineStr">
        <is>
          <t>Donacor</t>
        </is>
      </c>
      <c r="B924" s="54" t="inlineStr">
        <is>
          <t>Cinta Bermuda Alta Slim Loba Lupo Adulta Feminina 05696</t>
        </is>
      </c>
      <c r="C924" s="54" t="inlineStr">
        <is>
          <t>Pó de arroz,P</t>
        </is>
      </c>
      <c r="D924" s="54" t="inlineStr">
        <is>
          <t>CINTA-BERMUDA-LUPO-P</t>
        </is>
      </c>
      <c r="E924" s="54" t="n">
        <v>23892678340</v>
      </c>
      <c r="F924" s="54" t="n">
        <v>189162946823</v>
      </c>
      <c r="G924" s="54" t="inlineStr">
        <is>
          <t>NORMAL</t>
        </is>
      </c>
      <c r="H924" s="86" t="n">
        <v>49.9</v>
      </c>
      <c r="I924" s="86" t="n">
        <v>49.9</v>
      </c>
      <c r="J924" s="69" t="inlineStr">
        <is>
          <t>NÃO</t>
        </is>
      </c>
      <c r="K924" s="54" t="n"/>
      <c r="L924" s="87" t="n">
        <v>49.9</v>
      </c>
      <c r="P924" s="90">
        <f>IF($O924="","",L924-O924-(L924*IF(L924&lt;=79.99,20%,14%)+IF(L924&lt;=79.99,4,IF(L924&lt;=99.99,16,IF(L924&lt;=199.99,20,IF(L924&lt;=499.99,26,28)))))-L924*1.3%-L924*6%-(L924-O924)*9.25%-L924*3%-L924*3%-1)</f>
        <v/>
      </c>
      <c r="Q924" s="54">
        <f>IF(AND(K924&lt;&gt;"",H924&gt;0),(H924-K924)/H924,"")</f>
        <v/>
      </c>
      <c r="R924" s="54" t="n"/>
      <c r="S924" s="54" t="n"/>
      <c r="T924" s="54" t="n"/>
      <c r="U924" s="54" t="n">
        <v>100360</v>
      </c>
      <c r="W924" t="inlineStr">
        <is>
          <t>sem correspondência</t>
        </is>
      </c>
      <c r="Y924" t="inlineStr"/>
    </row>
    <row r="925" ht="18" customHeight="1">
      <c r="A925" s="60" t="inlineStr">
        <is>
          <t>Donacor</t>
        </is>
      </c>
      <c r="B925" s="60" t="inlineStr">
        <is>
          <t>Coleira Guia Retratil Premium Para Pet Cão e Gato 5 E 3 MTS 15 e 20KG Botão Controle Regulagem</t>
        </is>
      </c>
      <c r="C925" s="60" t="inlineStr">
        <is>
          <t>3 METROS - CINZA,1 UNI</t>
        </is>
      </c>
      <c r="D925" s="60" t="inlineStr">
        <is>
          <t>GUIA-3METROS-1UNI-CINZA</t>
        </is>
      </c>
      <c r="E925" s="60" t="n">
        <v>22697507625</v>
      </c>
      <c r="F925" s="60" t="n">
        <v>239404327865</v>
      </c>
      <c r="G925" s="60" t="inlineStr">
        <is>
          <t>NORMAL</t>
        </is>
      </c>
      <c r="H925" s="91" t="n">
        <v>29.9</v>
      </c>
      <c r="I925" s="91" t="n">
        <v>29.9</v>
      </c>
      <c r="J925" s="62" t="inlineStr">
        <is>
          <t>NÃO</t>
        </is>
      </c>
      <c r="K925" s="60" t="inlineStr">
        <is>
          <t> </t>
        </is>
      </c>
      <c r="L925" s="87" t="n">
        <v>29.9</v>
      </c>
      <c r="P925" s="92">
        <f>IF($O925="","",L925-O925-(L925*IF(L925&lt;=79.99,20%,14%)+IF(L925&lt;=79.99,4,IF(L925&lt;=99.99,16,IF(L925&lt;=199.99,20,IF(L925&lt;=499.99,26,28)))))-L925*1.3%-L925*6%-(L925-O925)*9.25%-L925*3%-L925*3%-1)</f>
        <v/>
      </c>
      <c r="Q925" s="60" t="inlineStr">
        <is>
          <t> </t>
        </is>
      </c>
      <c r="R925" s="60" t="inlineStr">
        <is>
          <t> </t>
        </is>
      </c>
      <c r="S925" s="60" t="inlineStr">
        <is>
          <t> </t>
        </is>
      </c>
      <c r="T925" s="60" t="inlineStr">
        <is>
          <t> </t>
        </is>
      </c>
      <c r="U925" s="60" t="n">
        <v>100918</v>
      </c>
      <c r="V925" t="inlineStr">
        <is>
          <t>GUIA-3METROS-1UNI-ROSA</t>
        </is>
      </c>
      <c r="W925" t="inlineStr">
        <is>
          <t>herdado do anúncio · CUSTO ZERADO na Olist (conferido hoje)</t>
        </is>
      </c>
      <c r="Y925" t="inlineStr">
        <is>
          <t>ok</t>
        </is>
      </c>
    </row>
    <row r="926" ht="18" customHeight="1">
      <c r="A926" s="54" t="inlineStr">
        <is>
          <t>Donacor</t>
        </is>
      </c>
      <c r="B926" s="54" t="inlineStr">
        <is>
          <t>Coleira Guia Retratil Premium Para Pet Cão e Gato 5 E 3 MTS 15 e 20KG Botão Controle Regulagem</t>
        </is>
      </c>
      <c r="C926" s="54" t="inlineStr">
        <is>
          <t>3 METROS - CINZA,KIT2</t>
        </is>
      </c>
      <c r="D926" s="54" t="inlineStr">
        <is>
          <t>KIT2-GUIA-3METROS-CINZA</t>
        </is>
      </c>
      <c r="E926" s="54" t="n">
        <v>22697507625</v>
      </c>
      <c r="F926" s="54" t="n">
        <v>239404327860</v>
      </c>
      <c r="G926" s="54" t="inlineStr">
        <is>
          <t>NORMAL</t>
        </is>
      </c>
      <c r="H926" s="86" t="n">
        <v>49.9</v>
      </c>
      <c r="I926" s="86" t="n">
        <v>38.9</v>
      </c>
      <c r="J926" s="56" t="inlineStr">
        <is>
          <t>SIM</t>
        </is>
      </c>
      <c r="K926" s="86" t="n">
        <v>38.9</v>
      </c>
      <c r="L926" s="87" t="n">
        <v>38.9</v>
      </c>
      <c r="P926" s="90">
        <f>IF($O926="","",L926-O926-(L926*IF(L926&lt;=79.99,20%,14%)+IF(L926&lt;=79.99,4,IF(L926&lt;=99.99,16,IF(L926&lt;=199.99,20,IF(L926&lt;=499.99,26,28)))))-L926*1.3%-L926*6%-(L926-O926)*9.25%-L926*3%-L926*3%-1)</f>
        <v/>
      </c>
      <c r="Q926" s="58" t="n">
        <v>0.22</v>
      </c>
      <c r="R926" s="54" t="inlineStr">
        <is>
          <t>478840979931317, 484946028474774</t>
        </is>
      </c>
      <c r="S926" s="59" t="n">
        <v>46227.74097222222</v>
      </c>
      <c r="T926" s="59" t="n">
        <v>46248.99930555555</v>
      </c>
      <c r="U926" s="54" t="n">
        <v>100918</v>
      </c>
      <c r="V926" t="inlineStr">
        <is>
          <t>GUIA-3METROS-1UNI-ROSA</t>
        </is>
      </c>
      <c r="W926" t="inlineStr">
        <is>
          <t>herdado do anúncio · CUSTO ZERADO na Olist (conferido hoje)</t>
        </is>
      </c>
      <c r="Y926" t="inlineStr">
        <is>
          <t>ok</t>
        </is>
      </c>
    </row>
    <row r="927" ht="18" customHeight="1">
      <c r="A927" s="60" t="inlineStr">
        <is>
          <t>Donacor</t>
        </is>
      </c>
      <c r="B927" s="60" t="inlineStr">
        <is>
          <t>Coleira Guia Retratil Premium Para Pet Cão e Gato 5 E 3 MTS 15 e 20KG Botão Controle Regulagem</t>
        </is>
      </c>
      <c r="C927" s="60" t="inlineStr">
        <is>
          <t>3 METROS - CINZA,KIT3</t>
        </is>
      </c>
      <c r="D927" s="60" t="inlineStr">
        <is>
          <t>KIT3-GUIA-3METROS-CINZA</t>
        </is>
      </c>
      <c r="E927" s="60" t="n">
        <v>22697507625</v>
      </c>
      <c r="F927" s="60" t="n">
        <v>239404327854</v>
      </c>
      <c r="G927" s="60" t="inlineStr">
        <is>
          <t>NORMAL</t>
        </is>
      </c>
      <c r="H927" s="91" t="n">
        <v>69.90000000000001</v>
      </c>
      <c r="I927" s="91" t="n">
        <v>57.9</v>
      </c>
      <c r="J927" s="65" t="inlineStr">
        <is>
          <t>SIM</t>
        </is>
      </c>
      <c r="K927" s="91" t="n">
        <v>57.9</v>
      </c>
      <c r="L927" s="87" t="n">
        <v>57.9</v>
      </c>
      <c r="P927" s="92">
        <f>IF($O927="","",L927-O927-(L927*IF(L927&lt;=79.99,20%,14%)+IF(L927&lt;=79.99,4,IF(L927&lt;=99.99,16,IF(L927&lt;=199.99,20,IF(L927&lt;=499.99,26,28)))))-L927*1.3%-L927*6%-(L927-O927)*9.25%-L927*3%-L927*3%-1)</f>
        <v/>
      </c>
      <c r="Q927" s="67" t="n">
        <v>0.172</v>
      </c>
      <c r="R927" s="60" t="inlineStr">
        <is>
          <t>478840979931317, 484946028474774</t>
        </is>
      </c>
      <c r="S927" s="68" t="n">
        <v>46227.74097222222</v>
      </c>
      <c r="T927" s="68" t="n">
        <v>46248.99930555555</v>
      </c>
      <c r="U927" s="60" t="n">
        <v>100918</v>
      </c>
      <c r="V927" t="inlineStr">
        <is>
          <t>GUIA-3METROS-1UNI-ROSA</t>
        </is>
      </c>
      <c r="W927" t="inlineStr">
        <is>
          <t>herdado do anúncio · CUSTO ZERADO na Olist (conferido hoje)</t>
        </is>
      </c>
      <c r="Y927" t="inlineStr">
        <is>
          <t>ok</t>
        </is>
      </c>
    </row>
    <row r="928" ht="18" customHeight="1">
      <c r="A928" s="54" t="inlineStr">
        <is>
          <t>Donacor</t>
        </is>
      </c>
      <c r="B928" s="54" t="inlineStr">
        <is>
          <t>Coleira Guia Retratil Premium Para Pet Cão e Gato 5 E 3 MTS 15 e 20KG Botão Controle Regulagem</t>
        </is>
      </c>
      <c r="C928" s="54" t="inlineStr">
        <is>
          <t>3 METROS - ROSA,1 UNI</t>
        </is>
      </c>
      <c r="D928" s="54" t="inlineStr">
        <is>
          <t>GUIA-3METROS-1UNI-ROSA</t>
        </is>
      </c>
      <c r="E928" s="54" t="n">
        <v>22697507625</v>
      </c>
      <c r="F928" s="54" t="n">
        <v>239404327862</v>
      </c>
      <c r="G928" s="54" t="inlineStr">
        <is>
          <t>NORMAL</t>
        </is>
      </c>
      <c r="H928" s="86" t="n">
        <v>29.9</v>
      </c>
      <c r="I928" s="86" t="n">
        <v>29.9</v>
      </c>
      <c r="J928" s="69" t="inlineStr">
        <is>
          <t>NÃO</t>
        </is>
      </c>
      <c r="K928" s="54" t="n"/>
      <c r="L928" s="87" t="n">
        <v>29.9</v>
      </c>
      <c r="P928" s="90">
        <f>IF($O928="","",L928-O928-(L928*IF(L928&lt;=79.99,20%,14%)+IF(L928&lt;=79.99,4,IF(L928&lt;=99.99,16,IF(L928&lt;=199.99,20,IF(L928&lt;=499.99,26,28)))))-L928*1.3%-L928*6%-(L928-O928)*9.25%-L928*3%-L928*3%-1)</f>
        <v/>
      </c>
      <c r="Q928" s="54">
        <f>IF(AND(K928&lt;&gt;"",H928&gt;0),(H928-K928)/H928,"")</f>
        <v/>
      </c>
      <c r="R928" s="54" t="n"/>
      <c r="S928" s="54" t="n"/>
      <c r="T928" s="54" t="n"/>
      <c r="U928" s="54" t="n">
        <v>100918</v>
      </c>
      <c r="V928" t="inlineStr">
        <is>
          <t>GUIA-3METROS-1UNI-ROSA</t>
        </is>
      </c>
      <c r="W928" t="inlineStr">
        <is>
          <t>SKU idêntico na Olist · CUSTO ZERADO na Olist (conferido hoje)</t>
        </is>
      </c>
      <c r="Y928" t="inlineStr">
        <is>
          <t>ok</t>
        </is>
      </c>
    </row>
    <row r="929" ht="18" customHeight="1">
      <c r="A929" s="60" t="inlineStr">
        <is>
          <t>Donacor</t>
        </is>
      </c>
      <c r="B929" s="60" t="inlineStr">
        <is>
          <t>Coleira Guia Retratil Premium Para Pet Cão e Gato 5 E 3 MTS 15 e 20KG Botão Controle Regulagem</t>
        </is>
      </c>
      <c r="C929" s="60" t="inlineStr">
        <is>
          <t>3 METROS - ROSA,KIT2</t>
        </is>
      </c>
      <c r="D929" s="60" t="inlineStr">
        <is>
          <t>KIT2-GUIA-3METROS-ROSA</t>
        </is>
      </c>
      <c r="E929" s="60" t="n">
        <v>22697507625</v>
      </c>
      <c r="F929" s="60" t="n">
        <v>239404327852</v>
      </c>
      <c r="G929" s="60" t="inlineStr">
        <is>
          <t>NORMAL</t>
        </is>
      </c>
      <c r="H929" s="91" t="n">
        <v>49.9</v>
      </c>
      <c r="I929" s="91" t="n">
        <v>49.9</v>
      </c>
      <c r="J929" s="62" t="inlineStr">
        <is>
          <t>NÃO</t>
        </is>
      </c>
      <c r="K929" s="60" t="inlineStr">
        <is>
          <t> </t>
        </is>
      </c>
      <c r="L929" s="87" t="n">
        <v>49.9</v>
      </c>
      <c r="P929" s="92">
        <f>IF($O929="","",L929-O929-(L929*IF(L929&lt;=79.99,20%,14%)+IF(L929&lt;=79.99,4,IF(L929&lt;=99.99,16,IF(L929&lt;=199.99,20,IF(L929&lt;=499.99,26,28)))))-L929*1.3%-L929*6%-(L929-O929)*9.25%-L929*3%-L929*3%-1)</f>
        <v/>
      </c>
      <c r="Q929" s="60" t="inlineStr">
        <is>
          <t> </t>
        </is>
      </c>
      <c r="R929" s="60" t="inlineStr">
        <is>
          <t> </t>
        </is>
      </c>
      <c r="S929" s="60" t="inlineStr">
        <is>
          <t> </t>
        </is>
      </c>
      <c r="T929" s="60" t="inlineStr">
        <is>
          <t> </t>
        </is>
      </c>
      <c r="U929" s="60" t="n">
        <v>100918</v>
      </c>
      <c r="V929" t="inlineStr">
        <is>
          <t>GUIA-3METROS-1UNI-ROSA</t>
        </is>
      </c>
      <c r="W929" t="inlineStr">
        <is>
          <t>herdado do anúncio · CUSTO ZERADO na Olist (conferido hoje)</t>
        </is>
      </c>
      <c r="Y929" t="inlineStr">
        <is>
          <t>ok</t>
        </is>
      </c>
    </row>
    <row r="930" ht="18" customHeight="1">
      <c r="A930" s="54" t="inlineStr">
        <is>
          <t>Donacor</t>
        </is>
      </c>
      <c r="B930" s="54" t="inlineStr">
        <is>
          <t>Coleira Guia Retratil Premium Para Pet Cão e Gato 5 E 3 MTS 15 e 20KG Botão Controle Regulagem</t>
        </is>
      </c>
      <c r="C930" s="54" t="inlineStr">
        <is>
          <t>3 METROS - ROSA,KIT3</t>
        </is>
      </c>
      <c r="D930" s="54" t="inlineStr">
        <is>
          <t>KIT3-GUIA-3METROS-ROSA</t>
        </is>
      </c>
      <c r="E930" s="54" t="n">
        <v>22697507625</v>
      </c>
      <c r="F930" s="54" t="n">
        <v>239404327866</v>
      </c>
      <c r="G930" s="54" t="inlineStr">
        <is>
          <t>NORMAL</t>
        </is>
      </c>
      <c r="H930" s="86" t="n">
        <v>69.90000000000001</v>
      </c>
      <c r="I930" s="86" t="n">
        <v>69.90000000000001</v>
      </c>
      <c r="J930" s="69" t="inlineStr">
        <is>
          <t>NÃO</t>
        </is>
      </c>
      <c r="K930" s="54" t="n"/>
      <c r="L930" s="87" t="n">
        <v>69.90000000000001</v>
      </c>
      <c r="P930" s="90">
        <f>IF($O930="","",L930-O930-(L930*IF(L930&lt;=79.99,20%,14%)+IF(L930&lt;=79.99,4,IF(L930&lt;=99.99,16,IF(L930&lt;=199.99,20,IF(L930&lt;=499.99,26,28)))))-L930*1.3%-L930*6%-(L930-O930)*9.25%-L930*3%-L930*3%-1)</f>
        <v/>
      </c>
      <c r="Q930" s="54">
        <f>IF(AND(K930&lt;&gt;"",H930&gt;0),(H930-K930)/H930,"")</f>
        <v/>
      </c>
      <c r="R930" s="54" t="n"/>
      <c r="S930" s="54" t="n"/>
      <c r="T930" s="54" t="n"/>
      <c r="U930" s="54" t="n">
        <v>100918</v>
      </c>
      <c r="V930" t="inlineStr">
        <is>
          <t>GUIA-3METROS-1UNI-ROSA</t>
        </is>
      </c>
      <c r="W930" t="inlineStr">
        <is>
          <t>herdado do anúncio · CUSTO ZERADO na Olist (conferido hoje)</t>
        </is>
      </c>
      <c r="Y930" t="inlineStr">
        <is>
          <t>ok</t>
        </is>
      </c>
    </row>
    <row r="931" ht="18" customHeight="1">
      <c r="A931" s="60" t="inlineStr">
        <is>
          <t>Donacor</t>
        </is>
      </c>
      <c r="B931" s="60" t="inlineStr">
        <is>
          <t>Coleira Guia Retratil Premium Para Pet Cão e Gato 5 E 3 MTS 15 e 20KG Botão Controle Regulagem</t>
        </is>
      </c>
      <c r="C931" s="60" t="inlineStr">
        <is>
          <t>3 METROS - VERDE,1 UNI</t>
        </is>
      </c>
      <c r="D931" s="60" t="inlineStr">
        <is>
          <t>GUIA-3METROS-1UNI-VERDE</t>
        </is>
      </c>
      <c r="E931" s="60" t="n">
        <v>22697507625</v>
      </c>
      <c r="F931" s="60" t="n">
        <v>239404327856</v>
      </c>
      <c r="G931" s="60" t="inlineStr">
        <is>
          <t>NORMAL</t>
        </is>
      </c>
      <c r="H931" s="91" t="n">
        <v>29.9</v>
      </c>
      <c r="I931" s="91" t="n">
        <v>29.9</v>
      </c>
      <c r="J931" s="62" t="inlineStr">
        <is>
          <t>NÃO</t>
        </is>
      </c>
      <c r="K931" s="60" t="inlineStr">
        <is>
          <t> </t>
        </is>
      </c>
      <c r="L931" s="87" t="n">
        <v>29.9</v>
      </c>
      <c r="P931" s="92">
        <f>IF($O931="","",L931-O931-(L931*IF(L931&lt;=79.99,20%,14%)+IF(L931&lt;=79.99,4,IF(L931&lt;=99.99,16,IF(L931&lt;=199.99,20,IF(L931&lt;=499.99,26,28)))))-L931*1.3%-L931*6%-(L931-O931)*9.25%-L931*3%-L931*3%-1)</f>
        <v/>
      </c>
      <c r="Q931" s="60" t="inlineStr">
        <is>
          <t> </t>
        </is>
      </c>
      <c r="R931" s="60" t="inlineStr">
        <is>
          <t> </t>
        </is>
      </c>
      <c r="S931" s="60" t="inlineStr">
        <is>
          <t> </t>
        </is>
      </c>
      <c r="T931" s="60" t="inlineStr">
        <is>
          <t> </t>
        </is>
      </c>
      <c r="U931" s="60" t="n">
        <v>100918</v>
      </c>
      <c r="V931" t="inlineStr">
        <is>
          <t>GUIA-3METROS-1UNI-ROSA</t>
        </is>
      </c>
      <c r="W931" t="inlineStr">
        <is>
          <t>herdado do anúncio · CUSTO ZERADO na Olist (conferido hoje)</t>
        </is>
      </c>
      <c r="Y931" t="inlineStr">
        <is>
          <t>ok</t>
        </is>
      </c>
    </row>
    <row r="932" ht="18" customHeight="1">
      <c r="A932" s="54" t="inlineStr">
        <is>
          <t>Donacor</t>
        </is>
      </c>
      <c r="B932" s="54" t="inlineStr">
        <is>
          <t>Coleira Guia Retratil Premium Para Pet Cão e Gato 5 E 3 MTS 15 e 20KG Botão Controle Regulagem</t>
        </is>
      </c>
      <c r="C932" s="54" t="inlineStr">
        <is>
          <t>3 METROS - VERDE,KIT2</t>
        </is>
      </c>
      <c r="D932" s="54" t="inlineStr">
        <is>
          <t>KIT2-GUIA-3METROS-VERDE</t>
        </is>
      </c>
      <c r="E932" s="54" t="n">
        <v>22697507625</v>
      </c>
      <c r="F932" s="54" t="n">
        <v>239404327857</v>
      </c>
      <c r="G932" s="54" t="inlineStr">
        <is>
          <t>NORMAL</t>
        </is>
      </c>
      <c r="H932" s="86" t="n">
        <v>49.9</v>
      </c>
      <c r="I932" s="86" t="n">
        <v>38.9</v>
      </c>
      <c r="J932" s="56" t="inlineStr">
        <is>
          <t>SIM</t>
        </is>
      </c>
      <c r="K932" s="86" t="n">
        <v>38.9</v>
      </c>
      <c r="L932" s="87" t="n">
        <v>38.9</v>
      </c>
      <c r="P932" s="90">
        <f>IF($O932="","",L932-O932-(L932*IF(L932&lt;=79.99,20%,14%)+IF(L932&lt;=79.99,4,IF(L932&lt;=99.99,16,IF(L932&lt;=199.99,20,IF(L932&lt;=499.99,26,28)))))-L932*1.3%-L932*6%-(L932-O932)*9.25%-L932*3%-L932*3%-1)</f>
        <v/>
      </c>
      <c r="Q932" s="58" t="n">
        <v>0.22</v>
      </c>
      <c r="R932" s="54" t="inlineStr">
        <is>
          <t>478840979931317, 484946028474774</t>
        </is>
      </c>
      <c r="S932" s="59" t="n">
        <v>46227.74097222222</v>
      </c>
      <c r="T932" s="59" t="n">
        <v>46248.99930555555</v>
      </c>
      <c r="U932" s="54" t="n">
        <v>100918</v>
      </c>
      <c r="V932" t="inlineStr">
        <is>
          <t>GUIA-3METROS-1UNI-ROSA</t>
        </is>
      </c>
      <c r="W932" t="inlineStr">
        <is>
          <t>herdado do anúncio · CUSTO ZERADO na Olist (conferido hoje)</t>
        </is>
      </c>
      <c r="Y932" t="inlineStr">
        <is>
          <t>ok</t>
        </is>
      </c>
    </row>
    <row r="933" ht="18" customHeight="1">
      <c r="A933" s="60" t="inlineStr">
        <is>
          <t>Donacor</t>
        </is>
      </c>
      <c r="B933" s="60" t="inlineStr">
        <is>
          <t>Coleira Guia Retratil Premium Para Pet Cão e Gato 5 E 3 MTS 15 e 20KG Botão Controle Regulagem</t>
        </is>
      </c>
      <c r="C933" s="60" t="inlineStr">
        <is>
          <t>3 METROS - VERDE,KIT3</t>
        </is>
      </c>
      <c r="D933" s="60" t="inlineStr">
        <is>
          <t>KIT3-GUIA-3METROS-VERDE</t>
        </is>
      </c>
      <c r="E933" s="60" t="n">
        <v>22697507625</v>
      </c>
      <c r="F933" s="60" t="n">
        <v>239404327858</v>
      </c>
      <c r="G933" s="60" t="inlineStr">
        <is>
          <t>NORMAL</t>
        </is>
      </c>
      <c r="H933" s="91" t="n">
        <v>69.90000000000001</v>
      </c>
      <c r="I933" s="91" t="n">
        <v>57.9</v>
      </c>
      <c r="J933" s="65" t="inlineStr">
        <is>
          <t>SIM</t>
        </is>
      </c>
      <c r="K933" s="91" t="n">
        <v>57.9</v>
      </c>
      <c r="L933" s="87" t="n">
        <v>57.9</v>
      </c>
      <c r="P933" s="92">
        <f>IF($O933="","",L933-O933-(L933*IF(L933&lt;=79.99,20%,14%)+IF(L933&lt;=79.99,4,IF(L933&lt;=99.99,16,IF(L933&lt;=199.99,20,IF(L933&lt;=499.99,26,28)))))-L933*1.3%-L933*6%-(L933-O933)*9.25%-L933*3%-L933*3%-1)</f>
        <v/>
      </c>
      <c r="Q933" s="67" t="n">
        <v>0.172</v>
      </c>
      <c r="R933" s="60" t="inlineStr">
        <is>
          <t>478840979931317, 484946028474774</t>
        </is>
      </c>
      <c r="S933" s="68" t="n">
        <v>46227.74097222222</v>
      </c>
      <c r="T933" s="68" t="n">
        <v>46248.99930555555</v>
      </c>
      <c r="U933" s="60" t="n">
        <v>100918</v>
      </c>
      <c r="V933" t="inlineStr">
        <is>
          <t>GUIA-3METROS-1UNI-ROSA</t>
        </is>
      </c>
      <c r="W933" t="inlineStr">
        <is>
          <t>herdado do anúncio · CUSTO ZERADO na Olist (conferido hoje)</t>
        </is>
      </c>
      <c r="Y933" t="inlineStr">
        <is>
          <t>ok</t>
        </is>
      </c>
    </row>
    <row r="934" ht="18" customHeight="1">
      <c r="A934" s="54" t="inlineStr">
        <is>
          <t>Donacor</t>
        </is>
      </c>
      <c r="B934" s="54" t="inlineStr">
        <is>
          <t>Coleira Guia Retratil Premium Para Pet Cão e Gato 5 E 3 MTS 15 e 20KG Botão Controle Regulagem</t>
        </is>
      </c>
      <c r="C934" s="54" t="inlineStr">
        <is>
          <t>5 METROS - CINZA,1 UNI</t>
        </is>
      </c>
      <c r="D934" s="54" t="inlineStr">
        <is>
          <t>1-GUIA-5METROS-CINZA</t>
        </is>
      </c>
      <c r="E934" s="54" t="n">
        <v>22697507625</v>
      </c>
      <c r="F934" s="54" t="n">
        <v>239404327859</v>
      </c>
      <c r="G934" s="54" t="inlineStr">
        <is>
          <t>NORMAL</t>
        </is>
      </c>
      <c r="H934" s="86" t="n">
        <v>35.9</v>
      </c>
      <c r="I934" s="86" t="n">
        <v>35.9</v>
      </c>
      <c r="J934" s="69" t="inlineStr">
        <is>
          <t>NÃO</t>
        </is>
      </c>
      <c r="K934" s="54" t="n"/>
      <c r="L934" s="87" t="n">
        <v>35.9</v>
      </c>
      <c r="P934" s="90">
        <f>IF($O934="","",L934-O934-(L934*IF(L934&lt;=79.99,20%,14%)+IF(L934&lt;=79.99,4,IF(L934&lt;=99.99,16,IF(L934&lt;=199.99,20,IF(L934&lt;=499.99,26,28)))))-L934*1.3%-L934*6%-(L934-O934)*9.25%-L934*3%-L934*3%-1)</f>
        <v/>
      </c>
      <c r="Q934" s="54">
        <f>IF(AND(K934&lt;&gt;"",H934&gt;0),(H934-K934)/H934,"")</f>
        <v/>
      </c>
      <c r="R934" s="54" t="n"/>
      <c r="S934" s="54" t="n"/>
      <c r="T934" s="54" t="n"/>
      <c r="U934" s="54" t="n">
        <v>100918</v>
      </c>
      <c r="V934" t="inlineStr">
        <is>
          <t>GUIA-3METROS-1UNI-ROSA</t>
        </is>
      </c>
      <c r="W934" t="inlineStr">
        <is>
          <t>herdado do anúncio · CUSTO ZERADO na Olist (conferido hoje)</t>
        </is>
      </c>
      <c r="Y934" t="inlineStr">
        <is>
          <t>ok</t>
        </is>
      </c>
    </row>
    <row r="935" ht="18" customHeight="1">
      <c r="A935" s="60" t="inlineStr">
        <is>
          <t>Donacor</t>
        </is>
      </c>
      <c r="B935" s="60" t="inlineStr">
        <is>
          <t>Coleira Guia Retratil Premium Para Pet Cão e Gato 5 E 3 MTS 15 e 20KG Botão Controle Regulagem</t>
        </is>
      </c>
      <c r="C935" s="60" t="inlineStr">
        <is>
          <t>5 METROS - CINZA,KIT2</t>
        </is>
      </c>
      <c r="D935" s="60" t="inlineStr">
        <is>
          <t>KIT2-GUIA-5METROS-CINZA</t>
        </is>
      </c>
      <c r="E935" s="60" t="n">
        <v>22697507625</v>
      </c>
      <c r="F935" s="60" t="n">
        <v>239404327863</v>
      </c>
      <c r="G935" s="60" t="inlineStr">
        <is>
          <t>NORMAL</t>
        </is>
      </c>
      <c r="H935" s="91" t="n">
        <v>69.90000000000001</v>
      </c>
      <c r="I935" s="91" t="n">
        <v>57.9</v>
      </c>
      <c r="J935" s="65" t="inlineStr">
        <is>
          <t>SIM</t>
        </is>
      </c>
      <c r="K935" s="91" t="n">
        <v>57.9</v>
      </c>
      <c r="L935" s="87" t="n">
        <v>57.9</v>
      </c>
      <c r="P935" s="92">
        <f>IF($O935="","",L935-O935-(L935*IF(L935&lt;=79.99,20%,14%)+IF(L935&lt;=79.99,4,IF(L935&lt;=99.99,16,IF(L935&lt;=199.99,20,IF(L935&lt;=499.99,26,28)))))-L935*1.3%-L935*6%-(L935-O935)*9.25%-L935*3%-L935*3%-1)</f>
        <v/>
      </c>
      <c r="Q935" s="67" t="n">
        <v>0.172</v>
      </c>
      <c r="R935" s="60" t="inlineStr">
        <is>
          <t>478840979931317, 484946028474774</t>
        </is>
      </c>
      <c r="S935" s="68" t="n">
        <v>46227.74097222222</v>
      </c>
      <c r="T935" s="68" t="n">
        <v>46248.99930555555</v>
      </c>
      <c r="U935" s="60" t="n">
        <v>100918</v>
      </c>
      <c r="V935" t="inlineStr">
        <is>
          <t>GUIA-3METROS-1UNI-ROSA</t>
        </is>
      </c>
      <c r="W935" t="inlineStr">
        <is>
          <t>herdado do anúncio · CUSTO ZERADO na Olist (conferido hoje)</t>
        </is>
      </c>
      <c r="Y935" t="inlineStr">
        <is>
          <t>ok</t>
        </is>
      </c>
    </row>
    <row r="936" ht="18" customHeight="1">
      <c r="A936" s="54" t="inlineStr">
        <is>
          <t>Donacor</t>
        </is>
      </c>
      <c r="B936" s="54" t="inlineStr">
        <is>
          <t>Coleira Guia Retratil Premium Para Pet Cão e Gato 5 E 3 MTS 15 e 20KG Botão Controle Regulagem</t>
        </is>
      </c>
      <c r="C936" s="54" t="inlineStr">
        <is>
          <t>5 METROS - CINZA,KIT3</t>
        </is>
      </c>
      <c r="D936" s="54" t="inlineStr">
        <is>
          <t>KIT3-GUIA-5METROS-CINZA</t>
        </is>
      </c>
      <c r="E936" s="54" t="n">
        <v>22697507625</v>
      </c>
      <c r="F936" s="54" t="n">
        <v>239404327868</v>
      </c>
      <c r="G936" s="54" t="inlineStr">
        <is>
          <t>NORMAL</t>
        </is>
      </c>
      <c r="H936" s="86" t="n">
        <v>89.90000000000001</v>
      </c>
      <c r="I936" s="86" t="n">
        <v>74.90000000000001</v>
      </c>
      <c r="J936" s="56" t="inlineStr">
        <is>
          <t>SIM</t>
        </is>
      </c>
      <c r="K936" s="86" t="n">
        <v>74.90000000000001</v>
      </c>
      <c r="L936" s="87" t="n">
        <v>74.90000000000001</v>
      </c>
      <c r="P936" s="90">
        <f>IF($O936="","",L936-O936-(L936*IF(L936&lt;=79.99,20%,14%)+IF(L936&lt;=79.99,4,IF(L936&lt;=99.99,16,IF(L936&lt;=199.99,20,IF(L936&lt;=499.99,26,28)))))-L936*1.3%-L936*6%-(L936-O936)*9.25%-L936*3%-L936*3%-1)</f>
        <v/>
      </c>
      <c r="Q936" s="58" t="n">
        <v>0.167</v>
      </c>
      <c r="R936" s="54" t="inlineStr">
        <is>
          <t>478840979931317, 484946028474774</t>
        </is>
      </c>
      <c r="S936" s="59" t="n">
        <v>46227.74097222222</v>
      </c>
      <c r="T936" s="59" t="n">
        <v>46248.99930555555</v>
      </c>
      <c r="U936" s="54" t="n">
        <v>100918</v>
      </c>
      <c r="V936" t="inlineStr">
        <is>
          <t>GUIA-3METROS-1UNI-ROSA</t>
        </is>
      </c>
      <c r="W936" t="inlineStr">
        <is>
          <t>herdado do anúncio · CUSTO ZERADO na Olist (conferido hoje)</t>
        </is>
      </c>
      <c r="Y936" t="inlineStr">
        <is>
          <t>ok</t>
        </is>
      </c>
    </row>
    <row r="937" ht="18" customHeight="1">
      <c r="A937" s="60" t="inlineStr">
        <is>
          <t>Donacor</t>
        </is>
      </c>
      <c r="B937" s="60" t="inlineStr">
        <is>
          <t>Coleira Guia Retratil Premium Para Pet Cão e Gato 5 E 3 MTS 15 e 20KG Botão Controle Regulagem</t>
        </is>
      </c>
      <c r="C937" s="60" t="inlineStr">
        <is>
          <t>5 METROS - ROSA,1 UNI</t>
        </is>
      </c>
      <c r="D937" s="60" t="inlineStr">
        <is>
          <t>1-GUIA-5METROS-ROSA</t>
        </is>
      </c>
      <c r="E937" s="60" t="n">
        <v>22697507625</v>
      </c>
      <c r="F937" s="60" t="n">
        <v>239404327864</v>
      </c>
      <c r="G937" s="60" t="inlineStr">
        <is>
          <t>NORMAL</t>
        </is>
      </c>
      <c r="H937" s="91" t="n">
        <v>35.9</v>
      </c>
      <c r="I937" s="91" t="n">
        <v>35.9</v>
      </c>
      <c r="J937" s="62" t="inlineStr">
        <is>
          <t>NÃO</t>
        </is>
      </c>
      <c r="K937" s="60" t="inlineStr">
        <is>
          <t> </t>
        </is>
      </c>
      <c r="L937" s="87" t="n">
        <v>35.9</v>
      </c>
      <c r="P937" s="92">
        <f>IF($O937="","",L937-O937-(L937*IF(L937&lt;=79.99,20%,14%)+IF(L937&lt;=79.99,4,IF(L937&lt;=99.99,16,IF(L937&lt;=199.99,20,IF(L937&lt;=499.99,26,28)))))-L937*1.3%-L937*6%-(L937-O937)*9.25%-L937*3%-L937*3%-1)</f>
        <v/>
      </c>
      <c r="Q937" s="60" t="inlineStr">
        <is>
          <t> </t>
        </is>
      </c>
      <c r="R937" s="60" t="inlineStr">
        <is>
          <t> </t>
        </is>
      </c>
      <c r="S937" s="60" t="inlineStr">
        <is>
          <t> </t>
        </is>
      </c>
      <c r="T937" s="60" t="inlineStr">
        <is>
          <t> </t>
        </is>
      </c>
      <c r="U937" s="60" t="n">
        <v>100918</v>
      </c>
      <c r="V937" t="inlineStr">
        <is>
          <t>GUIA-3METROS-1UNI-ROSA</t>
        </is>
      </c>
      <c r="W937" t="inlineStr">
        <is>
          <t>herdado do anúncio · CUSTO ZERADO na Olist (conferido hoje)</t>
        </is>
      </c>
      <c r="Y937" t="inlineStr">
        <is>
          <t>ok</t>
        </is>
      </c>
    </row>
    <row r="938" ht="18" customHeight="1">
      <c r="A938" s="54" t="inlineStr">
        <is>
          <t>Donacor</t>
        </is>
      </c>
      <c r="B938" s="54" t="inlineStr">
        <is>
          <t>Coleira Guia Retratil Premium Para Pet Cão e Gato 5 E 3 MTS 15 e 20KG Botão Controle Regulagem</t>
        </is>
      </c>
      <c r="C938" s="54" t="inlineStr">
        <is>
          <t>5 METROS - ROSA,KIT2</t>
        </is>
      </c>
      <c r="D938" s="54" t="inlineStr">
        <is>
          <t>KIT2-GUIA-5METROS-ROSA</t>
        </is>
      </c>
      <c r="E938" s="54" t="n">
        <v>22697507625</v>
      </c>
      <c r="F938" s="54" t="n">
        <v>239404327867</v>
      </c>
      <c r="G938" s="54" t="inlineStr">
        <is>
          <t>NORMAL</t>
        </is>
      </c>
      <c r="H938" s="86" t="n">
        <v>69.90000000000001</v>
      </c>
      <c r="I938" s="86" t="n">
        <v>69.90000000000001</v>
      </c>
      <c r="J938" s="69" t="inlineStr">
        <is>
          <t>NÃO</t>
        </is>
      </c>
      <c r="K938" s="54" t="n"/>
      <c r="L938" s="87" t="n">
        <v>69.90000000000001</v>
      </c>
      <c r="P938" s="90">
        <f>IF($O938="","",L938-O938-(L938*IF(L938&lt;=79.99,20%,14%)+IF(L938&lt;=79.99,4,IF(L938&lt;=99.99,16,IF(L938&lt;=199.99,20,IF(L938&lt;=499.99,26,28)))))-L938*1.3%-L938*6%-(L938-O938)*9.25%-L938*3%-L938*3%-1)</f>
        <v/>
      </c>
      <c r="Q938" s="54">
        <f>IF(AND(K938&lt;&gt;"",H938&gt;0),(H938-K938)/H938,"")</f>
        <v/>
      </c>
      <c r="R938" s="54" t="n"/>
      <c r="S938" s="54" t="n"/>
      <c r="T938" s="54" t="n"/>
      <c r="U938" s="54" t="n">
        <v>100918</v>
      </c>
      <c r="V938" t="inlineStr">
        <is>
          <t>GUIA-3METROS-1UNI-ROSA</t>
        </is>
      </c>
      <c r="W938" t="inlineStr">
        <is>
          <t>herdado do anúncio · CUSTO ZERADO na Olist (conferido hoje)</t>
        </is>
      </c>
      <c r="Y938" t="inlineStr">
        <is>
          <t>ok</t>
        </is>
      </c>
    </row>
    <row r="939" ht="18" customHeight="1">
      <c r="A939" s="60" t="inlineStr">
        <is>
          <t>Donacor</t>
        </is>
      </c>
      <c r="B939" s="60" t="inlineStr">
        <is>
          <t>Coleira Guia Retratil Premium Para Pet Cão e Gato 5 E 3 MTS 15 e 20KG Botão Controle Regulagem</t>
        </is>
      </c>
      <c r="C939" s="60" t="inlineStr">
        <is>
          <t>5 METROS - ROSA,KIT3</t>
        </is>
      </c>
      <c r="D939" s="60" t="inlineStr">
        <is>
          <t>KIT3-GUIA-5METROS-ROSA</t>
        </is>
      </c>
      <c r="E939" s="60" t="n">
        <v>22697507625</v>
      </c>
      <c r="F939" s="60" t="n">
        <v>239404327853</v>
      </c>
      <c r="G939" s="60" t="inlineStr">
        <is>
          <t>NORMAL</t>
        </is>
      </c>
      <c r="H939" s="91" t="n">
        <v>89.90000000000001</v>
      </c>
      <c r="I939" s="91" t="n">
        <v>89.90000000000001</v>
      </c>
      <c r="J939" s="62" t="inlineStr">
        <is>
          <t>NÃO</t>
        </is>
      </c>
      <c r="K939" s="60" t="inlineStr">
        <is>
          <t> </t>
        </is>
      </c>
      <c r="L939" s="87" t="n">
        <v>89.90000000000001</v>
      </c>
      <c r="P939" s="92">
        <f>IF($O939="","",L939-O939-(L939*IF(L939&lt;=79.99,20%,14%)+IF(L939&lt;=79.99,4,IF(L939&lt;=99.99,16,IF(L939&lt;=199.99,20,IF(L939&lt;=499.99,26,28)))))-L939*1.3%-L939*6%-(L939-O939)*9.25%-L939*3%-L939*3%-1)</f>
        <v/>
      </c>
      <c r="Q939" s="60" t="inlineStr">
        <is>
          <t> </t>
        </is>
      </c>
      <c r="R939" s="60" t="inlineStr">
        <is>
          <t> </t>
        </is>
      </c>
      <c r="S939" s="60" t="inlineStr">
        <is>
          <t> </t>
        </is>
      </c>
      <c r="T939" s="60" t="inlineStr">
        <is>
          <t> </t>
        </is>
      </c>
      <c r="U939" s="60" t="n">
        <v>100918</v>
      </c>
      <c r="V939" t="inlineStr">
        <is>
          <t>GUIA-3METROS-1UNI-ROSA</t>
        </is>
      </c>
      <c r="W939" t="inlineStr">
        <is>
          <t>herdado do anúncio · CUSTO ZERADO na Olist (conferido hoje)</t>
        </is>
      </c>
      <c r="Y939" t="inlineStr">
        <is>
          <t>ok</t>
        </is>
      </c>
    </row>
    <row r="940" ht="18" customHeight="1">
      <c r="A940" s="54" t="inlineStr">
        <is>
          <t>Donacor</t>
        </is>
      </c>
      <c r="B940" s="54" t="inlineStr">
        <is>
          <t>Coleira Guia Retratil Premium Para Pet Cão e Gato 5 E 3 MTS 15 e 20KG Botão Controle Regulagem</t>
        </is>
      </c>
      <c r="C940" s="54" t="inlineStr">
        <is>
          <t>5 METROS - VERDE,1 UNI</t>
        </is>
      </c>
      <c r="D940" s="54" t="inlineStr">
        <is>
          <t>GUIA-5-METROS-1UNI</t>
        </is>
      </c>
      <c r="E940" s="54" t="n">
        <v>22697507625</v>
      </c>
      <c r="F940" s="54" t="n">
        <v>239404327861</v>
      </c>
      <c r="G940" s="54" t="inlineStr">
        <is>
          <t>NORMAL</t>
        </is>
      </c>
      <c r="H940" s="86" t="n">
        <v>35.9</v>
      </c>
      <c r="I940" s="86" t="n">
        <v>25.9</v>
      </c>
      <c r="J940" s="56" t="inlineStr">
        <is>
          <t>SIM</t>
        </is>
      </c>
      <c r="K940" s="86" t="n">
        <v>25.9</v>
      </c>
      <c r="L940" s="87" t="n">
        <v>25.9</v>
      </c>
      <c r="P940" s="90">
        <f>IF($O940="","",L940-O940-(L940*IF(L940&lt;=79.99,20%,14%)+IF(L940&lt;=79.99,4,IF(L940&lt;=99.99,16,IF(L940&lt;=199.99,20,IF(L940&lt;=499.99,26,28)))))-L940*1.3%-L940*6%-(L940-O940)*9.25%-L940*3%-L940*3%-1)</f>
        <v/>
      </c>
      <c r="Q940" s="58" t="n">
        <v>0.279</v>
      </c>
      <c r="R940" s="54" t="inlineStr">
        <is>
          <t>478840979931317, 484946028474774</t>
        </is>
      </c>
      <c r="S940" s="59" t="n">
        <v>46227.74097222222</v>
      </c>
      <c r="T940" s="59" t="n">
        <v>46248.99930555555</v>
      </c>
      <c r="U940" s="54" t="n">
        <v>100918</v>
      </c>
      <c r="V940" t="inlineStr">
        <is>
          <t>GUIA-3METROS-1UNI-ROSA</t>
        </is>
      </c>
      <c r="W940" t="inlineStr">
        <is>
          <t>herdado do anúncio · CUSTO ZERADO na Olist (conferido hoje)</t>
        </is>
      </c>
      <c r="Y940" t="inlineStr">
        <is>
          <t>ok</t>
        </is>
      </c>
    </row>
    <row r="941" ht="18" customHeight="1">
      <c r="A941" s="60" t="inlineStr">
        <is>
          <t>Donacor</t>
        </is>
      </c>
      <c r="B941" s="60" t="inlineStr">
        <is>
          <t>Coleira Guia Retratil Premium Para Pet Cão e Gato 5 E 3 MTS 15 e 20KG Botão Controle Regulagem</t>
        </is>
      </c>
      <c r="C941" s="60" t="inlineStr">
        <is>
          <t>5 METROS - VERDE,KIT2</t>
        </is>
      </c>
      <c r="D941" s="60" t="inlineStr">
        <is>
          <t>KIT2-GUIA-5METROS</t>
        </is>
      </c>
      <c r="E941" s="60" t="n">
        <v>22697507625</v>
      </c>
      <c r="F941" s="60" t="n">
        <v>239404327855</v>
      </c>
      <c r="G941" s="60" t="inlineStr">
        <is>
          <t>NORMAL</t>
        </is>
      </c>
      <c r="H941" s="91" t="n">
        <v>69.90000000000001</v>
      </c>
      <c r="I941" s="91" t="n">
        <v>69.90000000000001</v>
      </c>
      <c r="J941" s="62" t="inlineStr">
        <is>
          <t>NÃO</t>
        </is>
      </c>
      <c r="K941" s="60" t="inlineStr">
        <is>
          <t> </t>
        </is>
      </c>
      <c r="L941" s="87" t="n">
        <v>69.90000000000001</v>
      </c>
      <c r="P941" s="92">
        <f>IF($O941="","",L941-O941-(L941*IF(L941&lt;=79.99,20%,14%)+IF(L941&lt;=79.99,4,IF(L941&lt;=99.99,16,IF(L941&lt;=199.99,20,IF(L941&lt;=499.99,26,28)))))-L941*1.3%-L941*6%-(L941-O941)*9.25%-L941*3%-L941*3%-1)</f>
        <v/>
      </c>
      <c r="Q941" s="60" t="inlineStr">
        <is>
          <t> </t>
        </is>
      </c>
      <c r="R941" s="60" t="inlineStr">
        <is>
          <t> </t>
        </is>
      </c>
      <c r="S941" s="60" t="inlineStr">
        <is>
          <t> </t>
        </is>
      </c>
      <c r="T941" s="60" t="inlineStr">
        <is>
          <t> </t>
        </is>
      </c>
      <c r="U941" s="60" t="n">
        <v>100918</v>
      </c>
      <c r="V941" t="inlineStr">
        <is>
          <t>GUIA-3METROS-1UNI-ROSA</t>
        </is>
      </c>
      <c r="W941" t="inlineStr">
        <is>
          <t>herdado do anúncio · CUSTO ZERADO na Olist (conferido hoje)</t>
        </is>
      </c>
      <c r="Y941" t="inlineStr">
        <is>
          <t>ok</t>
        </is>
      </c>
    </row>
    <row r="942" ht="18" customHeight="1">
      <c r="A942" s="54" t="inlineStr">
        <is>
          <t>Donacor</t>
        </is>
      </c>
      <c r="B942" s="54" t="inlineStr">
        <is>
          <t>Coleira Guia Retratil Premium Para Pet Cão e Gato 5 E 3 MTS 15 e 20KG Botão Controle Regulagem</t>
        </is>
      </c>
      <c r="C942" s="54" t="inlineStr">
        <is>
          <t>5 METROS - VERDE,KIT3</t>
        </is>
      </c>
      <c r="D942" s="54" t="inlineStr">
        <is>
          <t>KIT3-GUIA-5METROS</t>
        </is>
      </c>
      <c r="E942" s="54" t="n">
        <v>22697507625</v>
      </c>
      <c r="F942" s="54" t="n">
        <v>239404327869</v>
      </c>
      <c r="G942" s="54" t="inlineStr">
        <is>
          <t>NORMAL</t>
        </is>
      </c>
      <c r="H942" s="86" t="n">
        <v>89.90000000000001</v>
      </c>
      <c r="I942" s="86" t="n">
        <v>74.90000000000001</v>
      </c>
      <c r="J942" s="56" t="inlineStr">
        <is>
          <t>SIM</t>
        </is>
      </c>
      <c r="K942" s="86" t="n">
        <v>74.90000000000001</v>
      </c>
      <c r="L942" s="87" t="n">
        <v>74.90000000000001</v>
      </c>
      <c r="P942" s="90">
        <f>IF($O942="","",L942-O942-(L942*IF(L942&lt;=79.99,20%,14%)+IF(L942&lt;=79.99,4,IF(L942&lt;=99.99,16,IF(L942&lt;=199.99,20,IF(L942&lt;=499.99,26,28)))))-L942*1.3%-L942*6%-(L942-O942)*9.25%-L942*3%-L942*3%-1)</f>
        <v/>
      </c>
      <c r="Q942" s="58" t="n">
        <v>0.167</v>
      </c>
      <c r="R942" s="54" t="inlineStr">
        <is>
          <t>478840979931317, 484946028474774</t>
        </is>
      </c>
      <c r="S942" s="59" t="n">
        <v>46227.74097222222</v>
      </c>
      <c r="T942" s="59" t="n">
        <v>46248.99930555555</v>
      </c>
      <c r="U942" s="54" t="n">
        <v>100918</v>
      </c>
      <c r="V942" t="inlineStr">
        <is>
          <t>GUIA-3METROS-1UNI-ROSA</t>
        </is>
      </c>
      <c r="W942" t="inlineStr">
        <is>
          <t>herdado do anúncio · CUSTO ZERADO na Olist (conferido hoje)</t>
        </is>
      </c>
      <c r="Y942" t="inlineStr">
        <is>
          <t>ok</t>
        </is>
      </c>
    </row>
    <row r="943" ht="18" customHeight="1">
      <c r="A943" s="60" t="inlineStr">
        <is>
          <t>Donacor</t>
        </is>
      </c>
      <c r="B943" s="60" t="inlineStr">
        <is>
          <t>Conjunto 10 ou 5 / 3 Potes Herméticos Alimentos Marmita Fitness vidro Retangular 370ml - OliverHome</t>
        </is>
      </c>
      <c r="C943" s="60" t="inlineStr">
        <is>
          <t>10 Potes,Azul</t>
        </is>
      </c>
      <c r="D943" s="60" t="inlineStr">
        <is>
          <t>Kit pote 10 un 370ml azul</t>
        </is>
      </c>
      <c r="E943" s="60" t="n">
        <v>20997803773</v>
      </c>
      <c r="F943" s="60" t="n">
        <v>209599042064</v>
      </c>
      <c r="G943" s="60" t="inlineStr">
        <is>
          <t>NORMAL</t>
        </is>
      </c>
      <c r="H943" s="91" t="n">
        <v>149.9</v>
      </c>
      <c r="I943" s="91" t="n">
        <v>77.90000000000001</v>
      </c>
      <c r="J943" s="65" t="inlineStr">
        <is>
          <t>SIM</t>
        </is>
      </c>
      <c r="K943" s="91" t="n">
        <v>77.90000000000001</v>
      </c>
      <c r="L943" s="87" t="n">
        <v>77.90000000000001</v>
      </c>
      <c r="M943" s="88" t="n">
        <v>10</v>
      </c>
      <c r="N943" s="89" t="n">
        <v>3.93</v>
      </c>
      <c r="O943" s="89">
        <f>ROUND(M943*N943,2)</f>
        <v/>
      </c>
      <c r="P943" s="92">
        <f>IF($O943="","",L943-O943-(L943*IF(L943&lt;=79.99,20%,14%)+IF(L943&lt;=79.99,4,IF(L943&lt;=99.99,16,IF(L943&lt;=199.99,20,IF(L943&lt;=499.99,26,28)))))-L943*1.3%-L943*6%-(L943-O943)*9.25%-L943*3%-L943*3%-1)</f>
        <v/>
      </c>
      <c r="Q943" s="67" t="n">
        <v>0.48</v>
      </c>
      <c r="R943" s="60" t="inlineStr">
        <is>
          <t>478840979931317, 492080438919432</t>
        </is>
      </c>
      <c r="S943" s="68" t="n">
        <v>46248</v>
      </c>
      <c r="T943" s="68" t="n">
        <v>46248.99930555555</v>
      </c>
      <c r="U943" s="60" t="n">
        <v>101220</v>
      </c>
      <c r="V943" t="inlineStr">
        <is>
          <t>213876</t>
        </is>
      </c>
      <c r="W943" t="inlineStr">
        <is>
          <t>venda casada (695 pedidos) · custo do KIT 215945 (10× 213876)</t>
        </is>
      </c>
      <c r="X943" t="n">
        <v>695</v>
      </c>
      <c r="Y943" t="inlineStr">
        <is>
          <t>ok</t>
        </is>
      </c>
    </row>
    <row r="944" ht="18" customHeight="1">
      <c r="A944" s="54" t="inlineStr">
        <is>
          <t>Donacor</t>
        </is>
      </c>
      <c r="B944" s="54" t="inlineStr">
        <is>
          <t>Conjunto 10 ou 5 / 3 Potes Herméticos Alimentos Marmita Fitness vidro Retangular 370ml - OliverHome</t>
        </is>
      </c>
      <c r="C944" s="54" t="inlineStr">
        <is>
          <t>10 Potes,Branco</t>
        </is>
      </c>
      <c r="D944" s="54" t="inlineStr">
        <is>
          <t>Kit pote 10 un 370ml branco</t>
        </is>
      </c>
      <c r="E944" s="54" t="n">
        <v>20997803773</v>
      </c>
      <c r="F944" s="54" t="n">
        <v>209599042065</v>
      </c>
      <c r="G944" s="54" t="inlineStr">
        <is>
          <t>NORMAL</t>
        </is>
      </c>
      <c r="H944" s="86" t="n">
        <v>149.9</v>
      </c>
      <c r="I944" s="86" t="n">
        <v>77.90000000000001</v>
      </c>
      <c r="J944" s="56" t="inlineStr">
        <is>
          <t>SIM</t>
        </is>
      </c>
      <c r="K944" s="86" t="n">
        <v>77.90000000000001</v>
      </c>
      <c r="L944" s="87" t="n">
        <v>77.90000000000001</v>
      </c>
      <c r="M944" s="88" t="n">
        <v>10</v>
      </c>
      <c r="N944" s="89" t="n">
        <v>3.93</v>
      </c>
      <c r="O944" s="89">
        <f>ROUND(M944*N944,2)</f>
        <v/>
      </c>
      <c r="P944" s="90">
        <f>IF($O944="","",L944-O944-(L944*IF(L944&lt;=79.99,20%,14%)+IF(L944&lt;=79.99,4,IF(L944&lt;=99.99,16,IF(L944&lt;=199.99,20,IF(L944&lt;=499.99,26,28)))))-L944*1.3%-L944*6%-(L944-O944)*9.25%-L944*3%-L944*3%-1)</f>
        <v/>
      </c>
      <c r="Q944" s="58" t="n">
        <v>0.48</v>
      </c>
      <c r="R944" s="54" t="inlineStr">
        <is>
          <t>478840979931317, 492080438919432</t>
        </is>
      </c>
      <c r="S944" s="59" t="n">
        <v>46248</v>
      </c>
      <c r="T944" s="59" t="n">
        <v>46248.99930555555</v>
      </c>
      <c r="U944" s="54" t="n">
        <v>101220</v>
      </c>
      <c r="V944" t="inlineStr">
        <is>
          <t>213875</t>
        </is>
      </c>
      <c r="W944" t="inlineStr">
        <is>
          <t>venda casada (548 pedidos) · custo do KIT 215961 (10× 213875)</t>
        </is>
      </c>
      <c r="X944" t="n">
        <v>548</v>
      </c>
      <c r="Y944" t="inlineStr">
        <is>
          <t>ok</t>
        </is>
      </c>
    </row>
    <row r="945" ht="18" customHeight="1">
      <c r="A945" s="60" t="inlineStr">
        <is>
          <t>Donacor</t>
        </is>
      </c>
      <c r="B945" s="60" t="inlineStr">
        <is>
          <t>Conjunto 10 ou 5 / 3 Potes Herméticos Alimentos Marmita Fitness vidro Retangular 370ml - OliverHome</t>
        </is>
      </c>
      <c r="C945" s="60" t="inlineStr">
        <is>
          <t>10 Potes,Sortido</t>
        </is>
      </c>
      <c r="D945" s="60" t="inlineStr">
        <is>
          <t>Kit pote 10 un 370ml sortido</t>
        </is>
      </c>
      <c r="E945" s="60" t="n">
        <v>20997803773</v>
      </c>
      <c r="F945" s="60" t="n">
        <v>209599042070</v>
      </c>
      <c r="G945" s="60" t="inlineStr">
        <is>
          <t>NORMAL</t>
        </is>
      </c>
      <c r="H945" s="91" t="n">
        <v>149.9</v>
      </c>
      <c r="I945" s="91" t="n">
        <v>77.90000000000001</v>
      </c>
      <c r="J945" s="65" t="inlineStr">
        <is>
          <t>SIM</t>
        </is>
      </c>
      <c r="K945" s="91" t="n">
        <v>77.90000000000001</v>
      </c>
      <c r="L945" s="87" t="n">
        <v>77.90000000000001</v>
      </c>
      <c r="M945" s="88" t="n">
        <v>10</v>
      </c>
      <c r="N945" s="89" t="n">
        <v>3.93</v>
      </c>
      <c r="O945" s="89">
        <f>ROUND(M945*N945,2)</f>
        <v/>
      </c>
      <c r="P945" s="92">
        <f>IF($O945="","",L945-O945-(L945*IF(L945&lt;=79.99,20%,14%)+IF(L945&lt;=79.99,4,IF(L945&lt;=99.99,16,IF(L945&lt;=199.99,20,IF(L945&lt;=499.99,26,28)))))-L945*1.3%-L945*6%-(L945-O945)*9.25%-L945*3%-L945*3%-1)</f>
        <v/>
      </c>
      <c r="Q945" s="67" t="n">
        <v>0.48</v>
      </c>
      <c r="R945" s="60" t="inlineStr">
        <is>
          <t>478840979931317, 492080438919432</t>
        </is>
      </c>
      <c r="S945" s="68" t="n">
        <v>46248</v>
      </c>
      <c r="T945" s="68" t="n">
        <v>46248.99930555555</v>
      </c>
      <c r="U945" s="60" t="n">
        <v>101220</v>
      </c>
      <c r="V945" t="inlineStr">
        <is>
          <t>213875</t>
        </is>
      </c>
      <c r="W945" t="inlineStr">
        <is>
          <t>venda casada (348 pedidos) · custo do KIT 215961 (10× 213875)</t>
        </is>
      </c>
      <c r="X945" t="n">
        <v>348</v>
      </c>
      <c r="Y945" t="inlineStr">
        <is>
          <t>ok</t>
        </is>
      </c>
    </row>
    <row r="946" ht="18" customHeight="1">
      <c r="A946" s="54" t="inlineStr">
        <is>
          <t>Donacor</t>
        </is>
      </c>
      <c r="B946" s="54" t="inlineStr">
        <is>
          <t>Conjunto 10 ou 5 / 3 Potes Herméticos Alimentos Marmita Fitness vidro Retangular 370ml - OliverHome</t>
        </is>
      </c>
      <c r="C946" s="54" t="inlineStr">
        <is>
          <t>3 Potes,Azul</t>
        </is>
      </c>
      <c r="D946" s="54" t="inlineStr">
        <is>
          <t>Kit pote 3 un 370ml azul</t>
        </is>
      </c>
      <c r="E946" s="54" t="n">
        <v>20997803773</v>
      </c>
      <c r="F946" s="54" t="n">
        <v>209599042066</v>
      </c>
      <c r="G946" s="54" t="inlineStr">
        <is>
          <t>NORMAL</t>
        </is>
      </c>
      <c r="H946" s="86" t="n">
        <v>69.90000000000001</v>
      </c>
      <c r="I946" s="86" t="n">
        <v>29.89</v>
      </c>
      <c r="J946" s="56" t="inlineStr">
        <is>
          <t>SIM</t>
        </is>
      </c>
      <c r="K946" s="86" t="n">
        <v>29.89</v>
      </c>
      <c r="L946" s="87" t="n">
        <v>29.89</v>
      </c>
      <c r="M946" s="88" t="n">
        <v>3</v>
      </c>
      <c r="N946" s="89" t="n">
        <v>3.93</v>
      </c>
      <c r="O946" s="89">
        <f>ROUND(M946*N946,2)</f>
        <v/>
      </c>
      <c r="P946" s="90">
        <f>IF($O946="","",L946-O946-(L946*IF(L946&lt;=79.99,20%,14%)+IF(L946&lt;=79.99,4,IF(L946&lt;=99.99,16,IF(L946&lt;=199.99,20,IF(L946&lt;=499.99,26,28)))))-L946*1.3%-L946*6%-(L946-O946)*9.25%-L946*3%-L946*3%-1)</f>
        <v/>
      </c>
      <c r="Q946" s="58" t="n">
        <v>0.572</v>
      </c>
      <c r="R946" s="54" t="inlineStr">
        <is>
          <t>492080438919432, 478840979931317</t>
        </is>
      </c>
      <c r="S946" s="59" t="n">
        <v>46248</v>
      </c>
      <c r="T946" s="59" t="n">
        <v>46248.99930555555</v>
      </c>
      <c r="U946" s="54" t="n">
        <v>101220</v>
      </c>
      <c r="V946" t="inlineStr">
        <is>
          <t>213876</t>
        </is>
      </c>
      <c r="W946" t="inlineStr">
        <is>
          <t>venda casada (796 pedidos) · custo do KIT 215941 (3× 213876)</t>
        </is>
      </c>
      <c r="X946" t="n">
        <v>796</v>
      </c>
      <c r="Y946" t="inlineStr">
        <is>
          <t>ok</t>
        </is>
      </c>
    </row>
    <row r="947" ht="18" customHeight="1">
      <c r="A947" s="60" t="inlineStr">
        <is>
          <t>Donacor</t>
        </is>
      </c>
      <c r="B947" s="60" t="inlineStr">
        <is>
          <t>Conjunto 10 ou 5 / 3 Potes Herméticos Alimentos Marmita Fitness vidro Retangular 370ml - OliverHome</t>
        </is>
      </c>
      <c r="C947" s="60" t="inlineStr">
        <is>
          <t>3 Potes,Branco</t>
        </is>
      </c>
      <c r="D947" s="60" t="inlineStr">
        <is>
          <t>Kit pote 3 un 370ml branco</t>
        </is>
      </c>
      <c r="E947" s="60" t="n">
        <v>20997803773</v>
      </c>
      <c r="F947" s="60" t="n">
        <v>209599042062</v>
      </c>
      <c r="G947" s="60" t="inlineStr">
        <is>
          <t>NORMAL</t>
        </is>
      </c>
      <c r="H947" s="91" t="n">
        <v>69.90000000000001</v>
      </c>
      <c r="I947" s="91" t="n">
        <v>29.89</v>
      </c>
      <c r="J947" s="65" t="inlineStr">
        <is>
          <t>SIM</t>
        </is>
      </c>
      <c r="K947" s="91" t="n">
        <v>29.89</v>
      </c>
      <c r="L947" s="87" t="n">
        <v>29.89</v>
      </c>
      <c r="M947" s="88" t="n">
        <v>3</v>
      </c>
      <c r="N947" s="89" t="n">
        <v>3.93</v>
      </c>
      <c r="O947" s="89">
        <f>ROUND(M947*N947,2)</f>
        <v/>
      </c>
      <c r="P947" s="92">
        <f>IF($O947="","",L947-O947-(L947*IF(L947&lt;=79.99,20%,14%)+IF(L947&lt;=79.99,4,IF(L947&lt;=99.99,16,IF(L947&lt;=199.99,20,IF(L947&lt;=499.99,26,28)))))-L947*1.3%-L947*6%-(L947-O947)*9.25%-L947*3%-L947*3%-1)</f>
        <v/>
      </c>
      <c r="Q947" s="67" t="n">
        <v>0.572</v>
      </c>
      <c r="R947" s="60" t="inlineStr">
        <is>
          <t>478840979931317, 492080438919432</t>
        </is>
      </c>
      <c r="S947" s="68" t="n">
        <v>46248</v>
      </c>
      <c r="T947" s="68" t="n">
        <v>46248.99930555555</v>
      </c>
      <c r="U947" s="60" t="n">
        <v>101220</v>
      </c>
      <c r="V947" t="inlineStr">
        <is>
          <t>213875</t>
        </is>
      </c>
      <c r="W947" t="inlineStr">
        <is>
          <t>venda casada (1248 pedidos) · custo do KIT 215957 (3× 213875)</t>
        </is>
      </c>
      <c r="X947" t="n">
        <v>1248</v>
      </c>
      <c r="Y947" t="inlineStr">
        <is>
          <t>ok</t>
        </is>
      </c>
    </row>
    <row r="948" ht="18" customHeight="1">
      <c r="A948" s="54" t="inlineStr">
        <is>
          <t>Donacor</t>
        </is>
      </c>
      <c r="B948" s="54" t="inlineStr">
        <is>
          <t>Conjunto 10 ou 5 / 3 Potes Herméticos Alimentos Marmita Fitness vidro Retangular 370ml - OliverHome</t>
        </is>
      </c>
      <c r="C948" s="54" t="inlineStr">
        <is>
          <t>3 Potes,Sortido</t>
        </is>
      </c>
      <c r="D948" s="54" t="inlineStr">
        <is>
          <t>Kit pote 3 un 370ml sortido</t>
        </is>
      </c>
      <c r="E948" s="54" t="n">
        <v>20997803773</v>
      </c>
      <c r="F948" s="54" t="n">
        <v>209599042067</v>
      </c>
      <c r="G948" s="54" t="inlineStr">
        <is>
          <t>NORMAL</t>
        </is>
      </c>
      <c r="H948" s="86" t="n">
        <v>69.90000000000001</v>
      </c>
      <c r="I948" s="86" t="n">
        <v>29.89</v>
      </c>
      <c r="J948" s="56" t="inlineStr">
        <is>
          <t>SIM</t>
        </is>
      </c>
      <c r="K948" s="86" t="n">
        <v>29.89</v>
      </c>
      <c r="L948" s="87" t="n">
        <v>29.89</v>
      </c>
      <c r="M948" s="88" t="n">
        <v>3</v>
      </c>
      <c r="N948" s="89" t="n">
        <v>3.93</v>
      </c>
      <c r="O948" s="89">
        <f>ROUND(M948*N948,2)</f>
        <v/>
      </c>
      <c r="P948" s="90">
        <f>IF($O948="","",L948-O948-(L948*IF(L948&lt;=79.99,20%,14%)+IF(L948&lt;=79.99,4,IF(L948&lt;=99.99,16,IF(L948&lt;=199.99,20,IF(L948&lt;=499.99,26,28)))))-L948*1.3%-L948*6%-(L948-O948)*9.25%-L948*3%-L948*3%-1)</f>
        <v/>
      </c>
      <c r="Q948" s="58" t="n">
        <v>0.572</v>
      </c>
      <c r="R948" s="54" t="inlineStr">
        <is>
          <t>478840979931317, 492080438919432</t>
        </is>
      </c>
      <c r="S948" s="59" t="n">
        <v>46248</v>
      </c>
      <c r="T948" s="59" t="n">
        <v>46248.99930555555</v>
      </c>
      <c r="U948" s="54" t="n">
        <v>101220</v>
      </c>
      <c r="V948" t="inlineStr">
        <is>
          <t>213875</t>
        </is>
      </c>
      <c r="W948" t="inlineStr">
        <is>
          <t>venda casada (476 pedidos) · custo do KIT 215957 (3× 213875)</t>
        </is>
      </c>
      <c r="X948" t="n">
        <v>476</v>
      </c>
      <c r="Y948" t="inlineStr">
        <is>
          <t>ok</t>
        </is>
      </c>
    </row>
    <row r="949" ht="18" customHeight="1">
      <c r="A949" s="60" t="inlineStr">
        <is>
          <t>Donacor</t>
        </is>
      </c>
      <c r="B949" s="60" t="inlineStr">
        <is>
          <t>Conjunto 10 ou 5 / 3 Potes Herméticos Alimentos Marmita Fitness vidro Retangular 370ml - OliverHome</t>
        </is>
      </c>
      <c r="C949" s="60" t="inlineStr">
        <is>
          <t>5 Potes,Azul</t>
        </is>
      </c>
      <c r="D949" s="60" t="inlineStr">
        <is>
          <t>Kit pote 5 un 370ml azul</t>
        </is>
      </c>
      <c r="E949" s="60" t="n">
        <v>20997803773</v>
      </c>
      <c r="F949" s="60" t="n">
        <v>209599042063</v>
      </c>
      <c r="G949" s="60" t="inlineStr">
        <is>
          <t>NORMAL</t>
        </is>
      </c>
      <c r="H949" s="91" t="n">
        <v>99.90000000000001</v>
      </c>
      <c r="I949" s="91" t="n">
        <v>44.89</v>
      </c>
      <c r="J949" s="65" t="inlineStr">
        <is>
          <t>SIM</t>
        </is>
      </c>
      <c r="K949" s="91" t="n">
        <v>44.89</v>
      </c>
      <c r="L949" s="87" t="n">
        <v>44.89</v>
      </c>
      <c r="M949" s="88" t="n">
        <v>5</v>
      </c>
      <c r="N949" s="89" t="n">
        <v>3.93</v>
      </c>
      <c r="O949" s="89">
        <f>ROUND(M949*N949,2)</f>
        <v/>
      </c>
      <c r="P949" s="92">
        <f>IF($O949="","",L949-O949-(L949*IF(L949&lt;=79.99,20%,14%)+IF(L949&lt;=79.99,4,IF(L949&lt;=99.99,16,IF(L949&lt;=199.99,20,IF(L949&lt;=499.99,26,28)))))-L949*1.3%-L949*6%-(L949-O949)*9.25%-L949*3%-L949*3%-1)</f>
        <v/>
      </c>
      <c r="Q949" s="67" t="n">
        <v>0.551</v>
      </c>
      <c r="R949" s="60" t="inlineStr">
        <is>
          <t>478840979931317, 492080438919432</t>
        </is>
      </c>
      <c r="S949" s="68" t="n">
        <v>46248</v>
      </c>
      <c r="T949" s="68" t="n">
        <v>46248.99930555555</v>
      </c>
      <c r="U949" s="60" t="n">
        <v>101220</v>
      </c>
      <c r="V949" t="inlineStr">
        <is>
          <t>213876</t>
        </is>
      </c>
      <c r="W949" t="inlineStr">
        <is>
          <t>venda casada (1094 pedidos) · custo do KIT 215942 (5× 213876)</t>
        </is>
      </c>
      <c r="X949" t="n">
        <v>1094</v>
      </c>
      <c r="Y949" t="inlineStr">
        <is>
          <t>ok</t>
        </is>
      </c>
    </row>
    <row r="950" ht="18" customHeight="1">
      <c r="A950" s="54" t="inlineStr">
        <is>
          <t>Donacor</t>
        </is>
      </c>
      <c r="B950" s="54" t="inlineStr">
        <is>
          <t>Conjunto 10 ou 5 / 3 Potes Herméticos Alimentos Marmita Fitness vidro Retangular 370ml - OliverHome</t>
        </is>
      </c>
      <c r="C950" s="54" t="inlineStr">
        <is>
          <t>5 Potes,Branco</t>
        </is>
      </c>
      <c r="D950" s="54" t="inlineStr">
        <is>
          <t>Kit pote 5 un 370ml branco</t>
        </is>
      </c>
      <c r="E950" s="54" t="n">
        <v>20997803773</v>
      </c>
      <c r="F950" s="54" t="n">
        <v>209599042068</v>
      </c>
      <c r="G950" s="54" t="inlineStr">
        <is>
          <t>NORMAL</t>
        </is>
      </c>
      <c r="H950" s="86" t="n">
        <v>99.90000000000001</v>
      </c>
      <c r="I950" s="86" t="n">
        <v>44.89</v>
      </c>
      <c r="J950" s="56" t="inlineStr">
        <is>
          <t>SIM</t>
        </is>
      </c>
      <c r="K950" s="86" t="n">
        <v>44.89</v>
      </c>
      <c r="L950" s="87" t="n">
        <v>44.89</v>
      </c>
      <c r="M950" s="88" t="n">
        <v>5</v>
      </c>
      <c r="N950" s="89" t="n">
        <v>3.93</v>
      </c>
      <c r="O950" s="89">
        <f>ROUND(M950*N950,2)</f>
        <v/>
      </c>
      <c r="P950" s="90">
        <f>IF($O950="","",L950-O950-(L950*IF(L950&lt;=79.99,20%,14%)+IF(L950&lt;=79.99,4,IF(L950&lt;=99.99,16,IF(L950&lt;=199.99,20,IF(L950&lt;=499.99,26,28)))))-L950*1.3%-L950*6%-(L950-O950)*9.25%-L950*3%-L950*3%-1)</f>
        <v/>
      </c>
      <c r="Q950" s="58" t="n">
        <v>0.551</v>
      </c>
      <c r="R950" s="54" t="inlineStr">
        <is>
          <t>478840979931317, 492080438919432</t>
        </is>
      </c>
      <c r="S950" s="59" t="n">
        <v>46248</v>
      </c>
      <c r="T950" s="59" t="n">
        <v>46248.99930555555</v>
      </c>
      <c r="U950" s="54" t="n">
        <v>101220</v>
      </c>
      <c r="V950" t="inlineStr">
        <is>
          <t>213875</t>
        </is>
      </c>
      <c r="W950" t="inlineStr">
        <is>
          <t>venda casada (609 pedidos) · custo do KIT 215958 (5× 213875)</t>
        </is>
      </c>
      <c r="X950" t="n">
        <v>609</v>
      </c>
      <c r="Y950" t="inlineStr">
        <is>
          <t>ok</t>
        </is>
      </c>
    </row>
    <row r="951" ht="18" customHeight="1">
      <c r="A951" s="60" t="inlineStr">
        <is>
          <t>Donacor</t>
        </is>
      </c>
      <c r="B951" s="60" t="inlineStr">
        <is>
          <t>Conjunto 10 ou 5 / 3 Potes Herméticos Alimentos Marmita Fitness vidro Retangular 370ml - OliverHome</t>
        </is>
      </c>
      <c r="C951" s="60" t="inlineStr">
        <is>
          <t>5 Potes,Sortido</t>
        </is>
      </c>
      <c r="D951" s="60" t="inlineStr">
        <is>
          <t>Kit pote 5 un 370ml sortido</t>
        </is>
      </c>
      <c r="E951" s="60" t="n">
        <v>20997803773</v>
      </c>
      <c r="F951" s="60" t="n">
        <v>209599042069</v>
      </c>
      <c r="G951" s="60" t="inlineStr">
        <is>
          <t>NORMAL</t>
        </is>
      </c>
      <c r="H951" s="91" t="n">
        <v>99.90000000000001</v>
      </c>
      <c r="I951" s="91" t="n">
        <v>44.89</v>
      </c>
      <c r="J951" s="65" t="inlineStr">
        <is>
          <t>SIM</t>
        </is>
      </c>
      <c r="K951" s="91" t="n">
        <v>44.89</v>
      </c>
      <c r="L951" s="87" t="n">
        <v>44.89</v>
      </c>
      <c r="M951" s="88" t="n">
        <v>5</v>
      </c>
      <c r="N951" s="89" t="n">
        <v>3.93</v>
      </c>
      <c r="O951" s="89">
        <f>ROUND(M951*N951,2)</f>
        <v/>
      </c>
      <c r="P951" s="92">
        <f>IF($O951="","",L951-O951-(L951*IF(L951&lt;=79.99,20%,14%)+IF(L951&lt;=79.99,4,IF(L951&lt;=99.99,16,IF(L951&lt;=199.99,20,IF(L951&lt;=499.99,26,28)))))-L951*1.3%-L951*6%-(L951-O951)*9.25%-L951*3%-L951*3%-1)</f>
        <v/>
      </c>
      <c r="Q951" s="67" t="n">
        <v>0.551</v>
      </c>
      <c r="R951" s="60" t="inlineStr">
        <is>
          <t>478840979931317, 492080438919432</t>
        </is>
      </c>
      <c r="S951" s="68" t="n">
        <v>46248</v>
      </c>
      <c r="T951" s="68" t="n">
        <v>46248.99930555555</v>
      </c>
      <c r="U951" s="60" t="n">
        <v>101220</v>
      </c>
      <c r="V951" t="inlineStr">
        <is>
          <t>213875</t>
        </is>
      </c>
      <c r="W951" t="inlineStr">
        <is>
          <t>venda casada (586 pedidos) · custo do KIT 215958 (5× 213875)</t>
        </is>
      </c>
      <c r="X951" t="n">
        <v>586</v>
      </c>
      <c r="Y951" t="inlineStr">
        <is>
          <t>ok</t>
        </is>
      </c>
    </row>
    <row r="952" ht="18" customHeight="1">
      <c r="A952" s="54" t="inlineStr">
        <is>
          <t>Donacor</t>
        </is>
      </c>
      <c r="B952" s="54" t="inlineStr">
        <is>
          <t>Conjunto 12 Potes de Vidro 640ml Hermético Marmita Fit com Tampa 4 Travas</t>
        </is>
      </c>
      <c r="C952" s="54" t="inlineStr">
        <is>
          <t>Azul</t>
        </is>
      </c>
      <c r="D952" s="54" t="inlineStr">
        <is>
          <t>Kit pote 12 un 640ml azul</t>
        </is>
      </c>
      <c r="E952" s="54" t="n">
        <v>23897736330</v>
      </c>
      <c r="F952" s="54" t="n">
        <v>219599042645</v>
      </c>
      <c r="G952" s="54" t="inlineStr">
        <is>
          <t>NORMAL</t>
        </is>
      </c>
      <c r="H952" s="86" t="n">
        <v>209.9</v>
      </c>
      <c r="I952" s="86" t="n">
        <v>179.9</v>
      </c>
      <c r="J952" s="56" t="inlineStr">
        <is>
          <t>SIM</t>
        </is>
      </c>
      <c r="K952" s="86" t="n">
        <v>179.9</v>
      </c>
      <c r="L952" s="87" t="n">
        <v>179.9</v>
      </c>
      <c r="P952" s="90">
        <f>IF($O952="","",L952-O952-(L952*IF(L952&lt;=79.99,20%,14%)+IF(L952&lt;=79.99,4,IF(L952&lt;=99.99,16,IF(L952&lt;=199.99,20,IF(L952&lt;=499.99,26,28)))))-L952*1.3%-L952*6%-(L952-O952)*9.25%-L952*3%-L952*3%-1)</f>
        <v/>
      </c>
      <c r="Q952" s="58" t="n">
        <v>0.143</v>
      </c>
      <c r="R952" s="54" t="n">
        <v>484945860710786</v>
      </c>
      <c r="S952" s="59" t="n">
        <v>46227.73958333334</v>
      </c>
      <c r="T952" s="59" t="n">
        <v>46405.45833333334</v>
      </c>
      <c r="U952" s="54" t="n">
        <v>101220</v>
      </c>
      <c r="V952" t="inlineStr">
        <is>
          <t>Kit pote 12 un 640ml azul</t>
        </is>
      </c>
      <c r="W952" t="inlineStr">
        <is>
          <t>SKU idêntico na Olist · CUSTO ZERADO na Olist (conferido hoje)</t>
        </is>
      </c>
      <c r="Y952" t="inlineStr">
        <is>
          <t>ok</t>
        </is>
      </c>
    </row>
    <row r="953" ht="18" customHeight="1">
      <c r="A953" s="60" t="inlineStr">
        <is>
          <t>Donacor</t>
        </is>
      </c>
      <c r="B953" s="60" t="inlineStr">
        <is>
          <t>Conjunto 12 Potes de Vidro 640ml Hermético Marmita Fit com Tampa 4 Travas</t>
        </is>
      </c>
      <c r="C953" s="60" t="inlineStr">
        <is>
          <t>Branco</t>
        </is>
      </c>
      <c r="D953" s="60" t="inlineStr">
        <is>
          <t>Kit pote 12 un 640ml branco</t>
        </is>
      </c>
      <c r="E953" s="60" t="n">
        <v>23897736330</v>
      </c>
      <c r="F953" s="60" t="n">
        <v>219599042644</v>
      </c>
      <c r="G953" s="60" t="inlineStr">
        <is>
          <t>NORMAL</t>
        </is>
      </c>
      <c r="H953" s="91" t="n">
        <v>209.9</v>
      </c>
      <c r="I953" s="91" t="n">
        <v>179.9</v>
      </c>
      <c r="J953" s="65" t="inlineStr">
        <is>
          <t>SIM</t>
        </is>
      </c>
      <c r="K953" s="91" t="n">
        <v>179.9</v>
      </c>
      <c r="L953" s="87" t="n">
        <v>179.9</v>
      </c>
      <c r="M953" s="88" t="n">
        <v>12</v>
      </c>
      <c r="N953" s="89" t="n">
        <v>6.55</v>
      </c>
      <c r="O953" s="89">
        <f>ROUND(M953*N953,2)</f>
        <v/>
      </c>
      <c r="P953" s="92">
        <f>IF($O953="","",L953-O953-(L953*IF(L953&lt;=79.99,20%,14%)+IF(L953&lt;=79.99,4,IF(L953&lt;=99.99,16,IF(L953&lt;=199.99,20,IF(L953&lt;=499.99,26,28)))))-L953*1.3%-L953*6%-(L953-O953)*9.25%-L953*3%-L953*3%-1)</f>
        <v/>
      </c>
      <c r="Q953" s="67" t="n">
        <v>0.143</v>
      </c>
      <c r="R953" s="60" t="n">
        <v>484945860710786</v>
      </c>
      <c r="S953" s="68" t="n">
        <v>46227.73958333334</v>
      </c>
      <c r="T953" s="68" t="n">
        <v>46405.45833333334</v>
      </c>
      <c r="U953" s="60" t="n">
        <v>101220</v>
      </c>
      <c r="V953" t="inlineStr">
        <is>
          <t>213877</t>
        </is>
      </c>
      <c r="W953" t="inlineStr">
        <is>
          <t>venda casada (1 pedido) · custo do KIT 215994 (12× 213877)</t>
        </is>
      </c>
      <c r="X953" t="n">
        <v>1</v>
      </c>
      <c r="Y953" t="inlineStr">
        <is>
          <t>⚠ evidência fraca (1 pedido)</t>
        </is>
      </c>
    </row>
    <row r="954" ht="18" customHeight="1">
      <c r="A954" s="54" t="inlineStr">
        <is>
          <t>Donacor</t>
        </is>
      </c>
      <c r="B954" s="54" t="inlineStr">
        <is>
          <t>Conjunto 12 Potes de Vidro 640ml Hermético Marmita Fit com Tampa 4 Travas</t>
        </is>
      </c>
      <c r="C954" s="54" t="inlineStr">
        <is>
          <t>Sortido</t>
        </is>
      </c>
      <c r="D954" s="54" t="inlineStr">
        <is>
          <t>Kit pote 12 un 640ml sortido</t>
        </is>
      </c>
      <c r="E954" s="54" t="n">
        <v>23897736330</v>
      </c>
      <c r="F954" s="54" t="n">
        <v>219599042646</v>
      </c>
      <c r="G954" s="54" t="inlineStr">
        <is>
          <t>NORMAL</t>
        </is>
      </c>
      <c r="H954" s="86" t="n">
        <v>209.9</v>
      </c>
      <c r="I954" s="86" t="n">
        <v>179.9</v>
      </c>
      <c r="J954" s="56" t="inlineStr">
        <is>
          <t>SIM</t>
        </is>
      </c>
      <c r="K954" s="86" t="n">
        <v>179.9</v>
      </c>
      <c r="L954" s="87" t="n">
        <v>179.9</v>
      </c>
      <c r="M954" s="88" t="n">
        <v>12</v>
      </c>
      <c r="N954" s="89" t="n">
        <v>6.55</v>
      </c>
      <c r="O954" s="89">
        <f>ROUND(M954*N954,2)</f>
        <v/>
      </c>
      <c r="P954" s="90">
        <f>IF($O954="","",L954-O954-(L954*IF(L954&lt;=79.99,20%,14%)+IF(L954&lt;=79.99,4,IF(L954&lt;=99.99,16,IF(L954&lt;=199.99,20,IF(L954&lt;=499.99,26,28)))))-L954*1.3%-L954*6%-(L954-O954)*9.25%-L954*3%-L954*3%-1)</f>
        <v/>
      </c>
      <c r="Q954" s="58" t="n">
        <v>0.143</v>
      </c>
      <c r="R954" s="54" t="n">
        <v>484945860710786</v>
      </c>
      <c r="S954" s="59" t="n">
        <v>46227.73958333334</v>
      </c>
      <c r="T954" s="59" t="n">
        <v>46405.45833333334</v>
      </c>
      <c r="U954" s="54" t="n">
        <v>101220</v>
      </c>
      <c r="V954" t="inlineStr">
        <is>
          <t>213877</t>
        </is>
      </c>
      <c r="W954" t="inlineStr">
        <is>
          <t>venda casada (2 pedidos) · custo do KIT 215994 (12× 213877)</t>
        </is>
      </c>
      <c r="X954" t="n">
        <v>2</v>
      </c>
      <c r="Y954" t="inlineStr">
        <is>
          <t>ok</t>
        </is>
      </c>
    </row>
    <row r="955" ht="18" customHeight="1">
      <c r="A955" s="60" t="inlineStr">
        <is>
          <t>Donacor</t>
        </is>
      </c>
      <c r="B955" s="60" t="inlineStr">
        <is>
          <t>Conjunto Com 10 Potes Vidro 1040ml Hermético Marmita 4 Trava</t>
        </is>
      </c>
      <c r="C955" s="60" t="inlineStr">
        <is>
          <t>Azul</t>
        </is>
      </c>
      <c r="D955" s="60" t="inlineStr">
        <is>
          <t>Kit potes 10 un 1040ml azul</t>
        </is>
      </c>
      <c r="E955" s="60" t="n">
        <v>23797736635</v>
      </c>
      <c r="F955" s="60" t="n">
        <v>189166599873</v>
      </c>
      <c r="G955" s="60" t="inlineStr">
        <is>
          <t>NORMAL</t>
        </is>
      </c>
      <c r="H955" s="91" t="n">
        <v>279.9</v>
      </c>
      <c r="I955" s="91" t="n">
        <v>158.9</v>
      </c>
      <c r="J955" s="65" t="inlineStr">
        <is>
          <t>SIM</t>
        </is>
      </c>
      <c r="K955" s="91" t="n">
        <v>158.9</v>
      </c>
      <c r="L955" s="87" t="n">
        <v>158.9</v>
      </c>
      <c r="M955" s="88" t="n">
        <v>10</v>
      </c>
      <c r="N955" s="89" t="n">
        <v>9.48</v>
      </c>
      <c r="O955" s="89">
        <f>ROUND(M955*N955,2)</f>
        <v/>
      </c>
      <c r="P955" s="92">
        <f>IF($O955="","",L955-O955-(L955*IF(L955&lt;=79.99,20%,14%)+IF(L955&lt;=79.99,4,IF(L955&lt;=99.99,16,IF(L955&lt;=199.99,20,IF(L955&lt;=499.99,26,28)))))-L955*1.3%-L955*6%-(L955-O955)*9.25%-L955*3%-L955*3%-1)</f>
        <v/>
      </c>
      <c r="Q955" s="67" t="n">
        <v>0.432</v>
      </c>
      <c r="R955" s="60" t="n">
        <v>484945860710786</v>
      </c>
      <c r="S955" s="68" t="n">
        <v>46227.73958333334</v>
      </c>
      <c r="T955" s="68" t="n">
        <v>46405.45833333334</v>
      </c>
      <c r="U955" s="60" t="n">
        <v>101220</v>
      </c>
      <c r="V955" t="inlineStr">
        <is>
          <t>213880</t>
        </is>
      </c>
      <c r="W955" t="inlineStr">
        <is>
          <t>venda casada (5 pedidos) · custo do KIT 216009 (10× 213880)</t>
        </is>
      </c>
      <c r="X955" t="n">
        <v>5</v>
      </c>
      <c r="Y955" t="inlineStr">
        <is>
          <t>ok</t>
        </is>
      </c>
    </row>
    <row r="956" ht="18" customHeight="1">
      <c r="A956" s="54" t="inlineStr">
        <is>
          <t>Donacor</t>
        </is>
      </c>
      <c r="B956" s="54" t="inlineStr">
        <is>
          <t>Conjunto Com 10 Potes Vidro 1040ml Hermético Marmita 4 Trava</t>
        </is>
      </c>
      <c r="C956" s="54" t="inlineStr">
        <is>
          <t>Branco</t>
        </is>
      </c>
      <c r="D956" s="54" t="inlineStr">
        <is>
          <t>Kit potes 10 un 1040ml branco</t>
        </is>
      </c>
      <c r="E956" s="54" t="n">
        <v>23797736635</v>
      </c>
      <c r="F956" s="54" t="n">
        <v>189166599872</v>
      </c>
      <c r="G956" s="54" t="inlineStr">
        <is>
          <t>NORMAL</t>
        </is>
      </c>
      <c r="H956" s="86" t="n">
        <v>279.9</v>
      </c>
      <c r="I956" s="86" t="n">
        <v>279.9</v>
      </c>
      <c r="J956" s="69" t="inlineStr">
        <is>
          <t>NÃO</t>
        </is>
      </c>
      <c r="K956" s="54" t="n"/>
      <c r="L956" s="87" t="n">
        <v>279.9</v>
      </c>
      <c r="M956" s="88" t="n">
        <v>10</v>
      </c>
      <c r="N956" s="89" t="n">
        <v>9.48</v>
      </c>
      <c r="O956" s="89">
        <f>ROUND(M956*N956,2)</f>
        <v/>
      </c>
      <c r="P956" s="90">
        <f>IF($O956="","",L956-O956-(L956*IF(L956&lt;=79.99,20%,14%)+IF(L956&lt;=79.99,4,IF(L956&lt;=99.99,16,IF(L956&lt;=199.99,20,IF(L956&lt;=499.99,26,28)))))-L956*1.3%-L956*6%-(L956-O956)*9.25%-L956*3%-L956*3%-1)</f>
        <v/>
      </c>
      <c r="Q956" s="54">
        <f>IF(AND(K956&lt;&gt;"",H956&gt;0),(H956-K956)/H956,"")</f>
        <v/>
      </c>
      <c r="R956" s="54" t="n"/>
      <c r="S956" s="54" t="n"/>
      <c r="T956" s="54" t="n"/>
      <c r="U956" s="54" t="n">
        <v>101220</v>
      </c>
      <c r="V956" t="inlineStr">
        <is>
          <t>213879</t>
        </is>
      </c>
      <c r="W956" t="inlineStr">
        <is>
          <t>venda casada (6 pedidos) · custo do KIT 216025 (10× 213879)</t>
        </is>
      </c>
      <c r="X956" t="n">
        <v>6</v>
      </c>
      <c r="Y956" t="inlineStr">
        <is>
          <t>ok</t>
        </is>
      </c>
    </row>
    <row r="957" ht="18" customHeight="1">
      <c r="A957" s="60" t="inlineStr">
        <is>
          <t>Donacor</t>
        </is>
      </c>
      <c r="B957" s="60" t="inlineStr">
        <is>
          <t>Conjunto Com 10 Potes Vidro 1040ml Hermético Marmita 4 Trava</t>
        </is>
      </c>
      <c r="C957" s="60" t="inlineStr">
        <is>
          <t>Sortido</t>
        </is>
      </c>
      <c r="D957" s="60" t="inlineStr">
        <is>
          <t>Kit potes 10 un 1040ml sortido</t>
        </is>
      </c>
      <c r="E957" s="60" t="n">
        <v>23797736635</v>
      </c>
      <c r="F957" s="60" t="n">
        <v>189166599874</v>
      </c>
      <c r="G957" s="60" t="inlineStr">
        <is>
          <t>NORMAL</t>
        </is>
      </c>
      <c r="H957" s="91" t="n">
        <v>279.9</v>
      </c>
      <c r="I957" s="91" t="n">
        <v>158.9</v>
      </c>
      <c r="J957" s="65" t="inlineStr">
        <is>
          <t>SIM</t>
        </is>
      </c>
      <c r="K957" s="91" t="n">
        <v>158.9</v>
      </c>
      <c r="L957" s="87" t="n">
        <v>158.9</v>
      </c>
      <c r="M957" s="88" t="n">
        <v>10</v>
      </c>
      <c r="N957" s="89" t="n">
        <v>9.48</v>
      </c>
      <c r="O957" s="89">
        <f>ROUND(M957*N957,2)</f>
        <v/>
      </c>
      <c r="P957" s="92">
        <f>IF($O957="","",L957-O957-(L957*IF(L957&lt;=79.99,20%,14%)+IF(L957&lt;=79.99,4,IF(L957&lt;=99.99,16,IF(L957&lt;=199.99,20,IF(L957&lt;=499.99,26,28)))))-L957*1.3%-L957*6%-(L957-O957)*9.25%-L957*3%-L957*3%-1)</f>
        <v/>
      </c>
      <c r="Q957" s="67" t="n">
        <v>0.432</v>
      </c>
      <c r="R957" s="60" t="n">
        <v>484945860710786</v>
      </c>
      <c r="S957" s="68" t="n">
        <v>46227.73958333334</v>
      </c>
      <c r="T957" s="68" t="n">
        <v>46405.45833333334</v>
      </c>
      <c r="U957" s="60" t="n">
        <v>101220</v>
      </c>
      <c r="V957" t="inlineStr">
        <is>
          <t>213879</t>
        </is>
      </c>
      <c r="W957" t="inlineStr">
        <is>
          <t>venda casada (1 pedido) · custo do KIT 216025 (10× 213879)</t>
        </is>
      </c>
      <c r="X957" t="n">
        <v>1</v>
      </c>
      <c r="Y957" t="inlineStr">
        <is>
          <t>⚠ evidência fraca (1 pedido)</t>
        </is>
      </c>
    </row>
    <row r="958" ht="18" customHeight="1">
      <c r="A958" s="54" t="inlineStr">
        <is>
          <t>Donacor</t>
        </is>
      </c>
      <c r="B958" s="54" t="inlineStr">
        <is>
          <t>Conjunto Com 3 Potes Vidro 1040ml Hermético Marmita 4 Trava</t>
        </is>
      </c>
      <c r="C958" s="54" t="inlineStr">
        <is>
          <t>Azul</t>
        </is>
      </c>
      <c r="D958" s="54" t="inlineStr">
        <is>
          <t>Kit pote 3 un 1040ml azul</t>
        </is>
      </c>
      <c r="E958" s="54" t="n">
        <v>22493258940</v>
      </c>
      <c r="F958" s="54" t="n">
        <v>239409703381</v>
      </c>
      <c r="G958" s="54" t="inlineStr">
        <is>
          <t>NORMAL</t>
        </is>
      </c>
      <c r="H958" s="86" t="n">
        <v>99.90000000000001</v>
      </c>
      <c r="I958" s="86" t="n">
        <v>54.9</v>
      </c>
      <c r="J958" s="56" t="inlineStr">
        <is>
          <t>SIM</t>
        </is>
      </c>
      <c r="K958" s="86" t="n">
        <v>54.9</v>
      </c>
      <c r="L958" s="87" t="n">
        <v>54.9</v>
      </c>
      <c r="M958" s="88" t="n">
        <v>3</v>
      </c>
      <c r="N958" s="89" t="n">
        <v>9.48</v>
      </c>
      <c r="O958" s="89">
        <f>ROUND(M958*N958,2)</f>
        <v/>
      </c>
      <c r="P958" s="90">
        <f>IF($O958="","",L958-O958-(L958*IF(L958&lt;=79.99,20%,14%)+IF(L958&lt;=79.99,4,IF(L958&lt;=99.99,16,IF(L958&lt;=199.99,20,IF(L958&lt;=499.99,26,28)))))-L958*1.3%-L958*6%-(L958-O958)*9.25%-L958*3%-L958*3%-1)</f>
        <v/>
      </c>
      <c r="Q958" s="58" t="n">
        <v>0.45</v>
      </c>
      <c r="R958" s="54" t="n">
        <v>484945860710786</v>
      </c>
      <c r="S958" s="59" t="n">
        <v>46227.73958333334</v>
      </c>
      <c r="T958" s="59" t="n">
        <v>46405.45833333334</v>
      </c>
      <c r="U958" s="54" t="n">
        <v>101220</v>
      </c>
      <c r="V958" t="inlineStr">
        <is>
          <t>213880</t>
        </is>
      </c>
      <c r="W958" t="inlineStr">
        <is>
          <t>venda casada (11 pedidos) · custo do KIT 216005 (3× 213880)</t>
        </is>
      </c>
      <c r="X958" t="n">
        <v>11</v>
      </c>
      <c r="Y958" t="inlineStr">
        <is>
          <t>ok</t>
        </is>
      </c>
    </row>
    <row r="959" ht="18" customHeight="1">
      <c r="A959" s="60" t="inlineStr">
        <is>
          <t>Donacor</t>
        </is>
      </c>
      <c r="B959" s="60" t="inlineStr">
        <is>
          <t>Conjunto Com 3 Potes Vidro 1040ml Hermético Marmita 4 Trava</t>
        </is>
      </c>
      <c r="C959" s="60" t="inlineStr">
        <is>
          <t>Branco</t>
        </is>
      </c>
      <c r="D959" s="60" t="inlineStr">
        <is>
          <t>Kit pote 3 un 1040ml branco</t>
        </is>
      </c>
      <c r="E959" s="60" t="n">
        <v>22493258940</v>
      </c>
      <c r="F959" s="60" t="n">
        <v>239409703380</v>
      </c>
      <c r="G959" s="60" t="inlineStr">
        <is>
          <t>NORMAL</t>
        </is>
      </c>
      <c r="H959" s="91" t="n">
        <v>99.90000000000001</v>
      </c>
      <c r="I959" s="91" t="n">
        <v>99.90000000000001</v>
      </c>
      <c r="J959" s="62" t="inlineStr">
        <is>
          <t>NÃO</t>
        </is>
      </c>
      <c r="K959" s="60" t="inlineStr">
        <is>
          <t> </t>
        </is>
      </c>
      <c r="L959" s="87" t="n">
        <v>99.90000000000001</v>
      </c>
      <c r="M959" s="88" t="n">
        <v>3</v>
      </c>
      <c r="N959" s="89" t="n">
        <v>9.48</v>
      </c>
      <c r="O959" s="89">
        <f>ROUND(M959*N959,2)</f>
        <v/>
      </c>
      <c r="P959" s="92">
        <f>IF($O959="","",L959-O959-(L959*IF(L959&lt;=79.99,20%,14%)+IF(L959&lt;=79.99,4,IF(L959&lt;=99.99,16,IF(L959&lt;=199.99,20,IF(L959&lt;=499.99,26,28)))))-L959*1.3%-L959*6%-(L959-O959)*9.25%-L959*3%-L959*3%-1)</f>
        <v/>
      </c>
      <c r="Q959" s="60" t="inlineStr">
        <is>
          <t> </t>
        </is>
      </c>
      <c r="R959" s="60" t="inlineStr">
        <is>
          <t> </t>
        </is>
      </c>
      <c r="S959" s="60" t="inlineStr">
        <is>
          <t> </t>
        </is>
      </c>
      <c r="T959" s="60" t="inlineStr">
        <is>
          <t> </t>
        </is>
      </c>
      <c r="U959" s="60" t="n">
        <v>101220</v>
      </c>
      <c r="V959" t="inlineStr">
        <is>
          <t>213879</t>
        </is>
      </c>
      <c r="W959" t="inlineStr">
        <is>
          <t>venda casada (5 pedidos) · custo do KIT 216021 (3× 213879)</t>
        </is>
      </c>
      <c r="X959" t="n">
        <v>5</v>
      </c>
      <c r="Y959" t="inlineStr">
        <is>
          <t>ok</t>
        </is>
      </c>
    </row>
    <row r="960" ht="18" customHeight="1">
      <c r="A960" s="54" t="inlineStr">
        <is>
          <t>Donacor</t>
        </is>
      </c>
      <c r="B960" s="54" t="inlineStr">
        <is>
          <t>Conjunto Com 3 Potes Vidro 1040ml Hermético Marmita 4 Trava</t>
        </is>
      </c>
      <c r="C960" s="54" t="inlineStr">
        <is>
          <t>Sortido</t>
        </is>
      </c>
      <c r="D960" s="54" t="inlineStr">
        <is>
          <t>Kit pote 3 un 1040ml sortido</t>
        </is>
      </c>
      <c r="E960" s="54" t="n">
        <v>22493258940</v>
      </c>
      <c r="F960" s="54" t="n">
        <v>239409703382</v>
      </c>
      <c r="G960" s="54" t="inlineStr">
        <is>
          <t>NORMAL</t>
        </is>
      </c>
      <c r="H960" s="86" t="n">
        <v>99.90000000000001</v>
      </c>
      <c r="I960" s="86" t="n">
        <v>54.9</v>
      </c>
      <c r="J960" s="56" t="inlineStr">
        <is>
          <t>SIM</t>
        </is>
      </c>
      <c r="K960" s="86" t="n">
        <v>54.9</v>
      </c>
      <c r="L960" s="87" t="n">
        <v>54.9</v>
      </c>
      <c r="P960" s="90">
        <f>IF($O960="","",L960-O960-(L960*IF(L960&lt;=79.99,20%,14%)+IF(L960&lt;=79.99,4,IF(L960&lt;=99.99,16,IF(L960&lt;=199.99,20,IF(L960&lt;=499.99,26,28)))))-L960*1.3%-L960*6%-(L960-O960)*9.25%-L960*3%-L960*3%-1)</f>
        <v/>
      </c>
      <c r="Q960" s="58" t="n">
        <v>0.45</v>
      </c>
      <c r="R960" s="54" t="n">
        <v>484945860710786</v>
      </c>
      <c r="S960" s="59" t="n">
        <v>46227.73958333334</v>
      </c>
      <c r="T960" s="59" t="n">
        <v>46405.45833333334</v>
      </c>
      <c r="U960" s="54" t="n">
        <v>101220</v>
      </c>
      <c r="W960" t="inlineStr">
        <is>
          <t>sem correspondência</t>
        </is>
      </c>
      <c r="Y960" t="inlineStr"/>
    </row>
    <row r="961" ht="18" customHeight="1">
      <c r="A961" s="60" t="inlineStr">
        <is>
          <t>Donacor</t>
        </is>
      </c>
      <c r="B961" s="60" t="inlineStr">
        <is>
          <t>Conjunto Com 5 Potes Vidro 1040ml Hermético Marmita 4 Trava</t>
        </is>
      </c>
      <c r="C961" s="60" t="inlineStr">
        <is>
          <t>Azul</t>
        </is>
      </c>
      <c r="D961" s="60" t="inlineStr">
        <is>
          <t>Kit potes 5 un 1040ml azul</t>
        </is>
      </c>
      <c r="E961" s="60" t="n">
        <v>22497755648</v>
      </c>
      <c r="F961" s="60" t="n">
        <v>149541438490</v>
      </c>
      <c r="G961" s="60" t="inlineStr">
        <is>
          <t>NORMAL</t>
        </is>
      </c>
      <c r="H961" s="91" t="n">
        <v>169.9</v>
      </c>
      <c r="I961" s="91" t="n">
        <v>99.90000000000001</v>
      </c>
      <c r="J961" s="65" t="inlineStr">
        <is>
          <t>SIM</t>
        </is>
      </c>
      <c r="K961" s="91" t="n">
        <v>99.90000000000001</v>
      </c>
      <c r="L961" s="87" t="n">
        <v>99.90000000000001</v>
      </c>
      <c r="M961" s="88" t="n">
        <v>5</v>
      </c>
      <c r="N961" s="89" t="n">
        <v>9.48</v>
      </c>
      <c r="O961" s="89">
        <f>ROUND(M961*N961,2)</f>
        <v/>
      </c>
      <c r="P961" s="92">
        <f>IF($O961="","",L961-O961-(L961*IF(L961&lt;=79.99,20%,14%)+IF(L961&lt;=79.99,4,IF(L961&lt;=99.99,16,IF(L961&lt;=199.99,20,IF(L961&lt;=499.99,26,28)))))-L961*1.3%-L961*6%-(L961-O961)*9.25%-L961*3%-L961*3%-1)</f>
        <v/>
      </c>
      <c r="Q961" s="67" t="n">
        <v>0.412</v>
      </c>
      <c r="R961" s="60" t="inlineStr">
        <is>
          <t>478840979931317, 484945860710786</t>
        </is>
      </c>
      <c r="S961" s="68" t="n">
        <v>46227.73958333334</v>
      </c>
      <c r="T961" s="68" t="n">
        <v>46248.99930555555</v>
      </c>
      <c r="U961" s="60" t="n">
        <v>101220</v>
      </c>
      <c r="V961" t="inlineStr">
        <is>
          <t>213880</t>
        </is>
      </c>
      <c r="W961" t="inlineStr">
        <is>
          <t>venda casada (5 pedidos) · custo do KIT 216006 (5× 213880)</t>
        </is>
      </c>
      <c r="X961" t="n">
        <v>5</v>
      </c>
      <c r="Y961" t="inlineStr">
        <is>
          <t>ok</t>
        </is>
      </c>
    </row>
    <row r="962" ht="18" customHeight="1">
      <c r="A962" s="54" t="inlineStr">
        <is>
          <t>Donacor</t>
        </is>
      </c>
      <c r="B962" s="54" t="inlineStr">
        <is>
          <t>Conjunto Com 5 Potes Vidro 1040ml Hermético Marmita 4 Trava</t>
        </is>
      </c>
      <c r="C962" s="54" t="inlineStr">
        <is>
          <t>Branco</t>
        </is>
      </c>
      <c r="D962" s="54" t="inlineStr">
        <is>
          <t>Kit potes 5 un 1040ml branco</t>
        </is>
      </c>
      <c r="E962" s="54" t="n">
        <v>22497755648</v>
      </c>
      <c r="F962" s="54" t="n">
        <v>149541438492</v>
      </c>
      <c r="G962" s="54" t="inlineStr">
        <is>
          <t>NORMAL</t>
        </is>
      </c>
      <c r="H962" s="86" t="n">
        <v>169.9</v>
      </c>
      <c r="I962" s="86" t="n">
        <v>169.9</v>
      </c>
      <c r="J962" s="69" t="inlineStr">
        <is>
          <t>NÃO</t>
        </is>
      </c>
      <c r="K962" s="54" t="n"/>
      <c r="L962" s="87" t="n">
        <v>169.9</v>
      </c>
      <c r="M962" s="88" t="n">
        <v>5</v>
      </c>
      <c r="N962" s="89" t="n">
        <v>9.48</v>
      </c>
      <c r="O962" s="89">
        <f>ROUND(M962*N962,2)</f>
        <v/>
      </c>
      <c r="P962" s="90">
        <f>IF($O962="","",L962-O962-(L962*IF(L962&lt;=79.99,20%,14%)+IF(L962&lt;=79.99,4,IF(L962&lt;=99.99,16,IF(L962&lt;=199.99,20,IF(L962&lt;=499.99,26,28)))))-L962*1.3%-L962*6%-(L962-O962)*9.25%-L962*3%-L962*3%-1)</f>
        <v/>
      </c>
      <c r="Q962" s="54">
        <f>IF(AND(K962&lt;&gt;"",H962&gt;0),(H962-K962)/H962,"")</f>
        <v/>
      </c>
      <c r="R962" s="54" t="n"/>
      <c r="S962" s="54" t="n"/>
      <c r="T962" s="54" t="n"/>
      <c r="U962" s="54" t="n">
        <v>101220</v>
      </c>
      <c r="V962" t="inlineStr">
        <is>
          <t>213879</t>
        </is>
      </c>
      <c r="W962" t="inlineStr">
        <is>
          <t>venda casada (3 pedidos) · custo do KIT 216022 (5× 213879)</t>
        </is>
      </c>
      <c r="X962" t="n">
        <v>3</v>
      </c>
      <c r="Y962" t="inlineStr">
        <is>
          <t>ok</t>
        </is>
      </c>
    </row>
    <row r="963" ht="18" customHeight="1">
      <c r="A963" s="60" t="inlineStr">
        <is>
          <t>Donacor</t>
        </is>
      </c>
      <c r="B963" s="60" t="inlineStr">
        <is>
          <t>Conjunto Com 5 Potes Vidro 1040ml Hermético Marmita 4 Trava</t>
        </is>
      </c>
      <c r="C963" s="60" t="inlineStr">
        <is>
          <t>Sortido</t>
        </is>
      </c>
      <c r="D963" s="60" t="inlineStr">
        <is>
          <t>Kit potes 5 un 1040ml sortido</t>
        </is>
      </c>
      <c r="E963" s="60" t="n">
        <v>22497755648</v>
      </c>
      <c r="F963" s="60" t="n">
        <v>149541438491</v>
      </c>
      <c r="G963" s="60" t="inlineStr">
        <is>
          <t>NORMAL</t>
        </is>
      </c>
      <c r="H963" s="91" t="n">
        <v>169.9</v>
      </c>
      <c r="I963" s="91" t="n">
        <v>99.90000000000001</v>
      </c>
      <c r="J963" s="65" t="inlineStr">
        <is>
          <t>SIM</t>
        </is>
      </c>
      <c r="K963" s="91" t="n">
        <v>99.90000000000001</v>
      </c>
      <c r="L963" s="87" t="n">
        <v>99.90000000000001</v>
      </c>
      <c r="M963" s="88" t="n">
        <v>5</v>
      </c>
      <c r="N963" s="89" t="n">
        <v>9.48</v>
      </c>
      <c r="O963" s="89">
        <f>ROUND(M963*N963,2)</f>
        <v/>
      </c>
      <c r="P963" s="92">
        <f>IF($O963="","",L963-O963-(L963*IF(L963&lt;=79.99,20%,14%)+IF(L963&lt;=79.99,4,IF(L963&lt;=99.99,16,IF(L963&lt;=199.99,20,IF(L963&lt;=499.99,26,28)))))-L963*1.3%-L963*6%-(L963-O963)*9.25%-L963*3%-L963*3%-1)</f>
        <v/>
      </c>
      <c r="Q963" s="67" t="n">
        <v>0.412</v>
      </c>
      <c r="R963" s="60" t="n">
        <v>484945860710786</v>
      </c>
      <c r="S963" s="68" t="n">
        <v>46227.73958333334</v>
      </c>
      <c r="T963" s="68" t="n">
        <v>46405.45833333334</v>
      </c>
      <c r="U963" s="60" t="n">
        <v>101220</v>
      </c>
      <c r="V963" t="inlineStr">
        <is>
          <t>213879</t>
        </is>
      </c>
      <c r="W963" t="inlineStr">
        <is>
          <t>SKU do de-para · custo do KIT 216022 (5× 213879)</t>
        </is>
      </c>
      <c r="X963" t="n">
        <v>235</v>
      </c>
      <c r="Y963" t="inlineStr">
        <is>
          <t>ok</t>
        </is>
      </c>
    </row>
    <row r="964" ht="18" customHeight="1">
      <c r="A964" s="54" t="inlineStr">
        <is>
          <t>Donacor</t>
        </is>
      </c>
      <c r="B964" s="54" t="inlineStr">
        <is>
          <t>Conjunto Com 5 Potes Vidro 1040ml Hermético Marmita 4 Trava- Pote Hermetico</t>
        </is>
      </c>
      <c r="C964" s="54" t="inlineStr">
        <is>
          <t>Kit 2 Potes,Azul</t>
        </is>
      </c>
      <c r="D964" s="54" t="inlineStr">
        <is>
          <t>Kit potes 2 un 1040ml azul</t>
        </is>
      </c>
      <c r="E964" s="54" t="n">
        <v>23993240034</v>
      </c>
      <c r="F964" s="54" t="n">
        <v>219166594193</v>
      </c>
      <c r="G964" s="54" t="inlineStr">
        <is>
          <t>NORMAL</t>
        </is>
      </c>
      <c r="H964" s="86" t="n">
        <v>89.90000000000001</v>
      </c>
      <c r="I964" s="86" t="n">
        <v>39.9</v>
      </c>
      <c r="J964" s="56" t="inlineStr">
        <is>
          <t>SIM</t>
        </is>
      </c>
      <c r="K964" s="86" t="n">
        <v>39.9</v>
      </c>
      <c r="L964" s="87" t="n">
        <v>39.9</v>
      </c>
      <c r="M964" s="88" t="n">
        <v>2</v>
      </c>
      <c r="N964" s="89" t="n">
        <v>9.48</v>
      </c>
      <c r="O964" s="89">
        <f>ROUND(M964*N964,2)</f>
        <v/>
      </c>
      <c r="P964" s="90">
        <f>IF($O964="","",L964-O964-(L964*IF(L964&lt;=79.99,20%,14%)+IF(L964&lt;=79.99,4,IF(L964&lt;=99.99,16,IF(L964&lt;=199.99,20,IF(L964&lt;=499.99,26,28)))))-L964*1.3%-L964*6%-(L964-O964)*9.25%-L964*3%-L964*3%-1)</f>
        <v/>
      </c>
      <c r="Q964" s="58" t="n">
        <v>0.556</v>
      </c>
      <c r="R964" s="54" t="n">
        <v>484945860710786</v>
      </c>
      <c r="S964" s="59" t="n">
        <v>46227.73958333334</v>
      </c>
      <c r="T964" s="59" t="n">
        <v>46405.45833333334</v>
      </c>
      <c r="U964" s="54" t="n">
        <v>101220</v>
      </c>
      <c r="V964" t="inlineStr">
        <is>
          <t>213880</t>
        </is>
      </c>
      <c r="W964" t="inlineStr">
        <is>
          <t>venda casada (333 pedidos) · custo do KIT 216004 (2× 213880)</t>
        </is>
      </c>
      <c r="X964" t="n">
        <v>333</v>
      </c>
      <c r="Y964" t="inlineStr">
        <is>
          <t>ok</t>
        </is>
      </c>
    </row>
    <row r="965" ht="18" customHeight="1">
      <c r="A965" s="60" t="inlineStr">
        <is>
          <t>Donacor</t>
        </is>
      </c>
      <c r="B965" s="60" t="inlineStr">
        <is>
          <t>Conjunto Com 5 Potes Vidro 1040ml Hermético Marmita 4 Trava- Pote Hermetico</t>
        </is>
      </c>
      <c r="C965" s="60" t="inlineStr">
        <is>
          <t>Kit 2 Potes,Branco</t>
        </is>
      </c>
      <c r="D965" s="60" t="inlineStr">
        <is>
          <t>Kit potes 2 un 1040ml branco</t>
        </is>
      </c>
      <c r="E965" s="60" t="n">
        <v>23993240034</v>
      </c>
      <c r="F965" s="60" t="n">
        <v>219166594192</v>
      </c>
      <c r="G965" s="60" t="inlineStr">
        <is>
          <t>NORMAL</t>
        </is>
      </c>
      <c r="H965" s="91" t="n">
        <v>89.90000000000001</v>
      </c>
      <c r="I965" s="91" t="n">
        <v>89.90000000000001</v>
      </c>
      <c r="J965" s="62" t="inlineStr">
        <is>
          <t>NÃO</t>
        </is>
      </c>
      <c r="K965" s="60" t="inlineStr">
        <is>
          <t> </t>
        </is>
      </c>
      <c r="L965" s="87" t="n">
        <v>89.90000000000001</v>
      </c>
      <c r="M965" s="88" t="n">
        <v>2</v>
      </c>
      <c r="N965" s="89" t="n">
        <v>9.48</v>
      </c>
      <c r="O965" s="89">
        <f>ROUND(M965*N965,2)</f>
        <v/>
      </c>
      <c r="P965" s="92">
        <f>IF($O965="","",L965-O965-(L965*IF(L965&lt;=79.99,20%,14%)+IF(L965&lt;=79.99,4,IF(L965&lt;=99.99,16,IF(L965&lt;=199.99,20,IF(L965&lt;=499.99,26,28)))))-L965*1.3%-L965*6%-(L965-O965)*9.25%-L965*3%-L965*3%-1)</f>
        <v/>
      </c>
      <c r="Q965" s="60" t="inlineStr">
        <is>
          <t> </t>
        </is>
      </c>
      <c r="R965" s="60" t="inlineStr">
        <is>
          <t> </t>
        </is>
      </c>
      <c r="S965" s="60" t="inlineStr">
        <is>
          <t> </t>
        </is>
      </c>
      <c r="T965" s="60" t="inlineStr">
        <is>
          <t> </t>
        </is>
      </c>
      <c r="U965" s="60" t="n">
        <v>101220</v>
      </c>
      <c r="V965" t="inlineStr">
        <is>
          <t>213879</t>
        </is>
      </c>
      <c r="W965" t="inlineStr">
        <is>
          <t>venda casada (204 pedidos) · custo do KIT 216020 (2× 213879)</t>
        </is>
      </c>
      <c r="X965" t="n">
        <v>204</v>
      </c>
      <c r="Y965" t="inlineStr">
        <is>
          <t>ok</t>
        </is>
      </c>
    </row>
    <row r="966" ht="18" customHeight="1">
      <c r="A966" s="54" t="inlineStr">
        <is>
          <t>Donacor</t>
        </is>
      </c>
      <c r="B966" s="54" t="inlineStr">
        <is>
          <t>Conjunto Com 5 Potes Vidro 1040ml Hermético Marmita 4 Trava- Pote Hermetico</t>
        </is>
      </c>
      <c r="C966" s="54" t="inlineStr">
        <is>
          <t>Kit 2 Potes,Sortido</t>
        </is>
      </c>
      <c r="D966" s="54" t="inlineStr">
        <is>
          <t>Kit potes 2 un 1040ml sortido</t>
        </is>
      </c>
      <c r="E966" s="54" t="n">
        <v>23993240034</v>
      </c>
      <c r="F966" s="54" t="n">
        <v>219166594198</v>
      </c>
      <c r="G966" s="54" t="inlineStr">
        <is>
          <t>NORMAL</t>
        </is>
      </c>
      <c r="H966" s="86" t="n">
        <v>89.90000000000001</v>
      </c>
      <c r="I966" s="86" t="n">
        <v>39.9</v>
      </c>
      <c r="J966" s="56" t="inlineStr">
        <is>
          <t>SIM</t>
        </is>
      </c>
      <c r="K966" s="86" t="n">
        <v>39.9</v>
      </c>
      <c r="L966" s="87" t="n">
        <v>39.9</v>
      </c>
      <c r="M966" s="88" t="n">
        <v>2</v>
      </c>
      <c r="N966" s="89" t="n">
        <v>9.48</v>
      </c>
      <c r="O966" s="89">
        <f>ROUND(M966*N966,2)</f>
        <v/>
      </c>
      <c r="P966" s="90">
        <f>IF($O966="","",L966-O966-(L966*IF(L966&lt;=79.99,20%,14%)+IF(L966&lt;=79.99,4,IF(L966&lt;=99.99,16,IF(L966&lt;=199.99,20,IF(L966&lt;=499.99,26,28)))))-L966*1.3%-L966*6%-(L966-O966)*9.25%-L966*3%-L966*3%-1)</f>
        <v/>
      </c>
      <c r="Q966" s="58" t="n">
        <v>0.556</v>
      </c>
      <c r="R966" s="54" t="n">
        <v>484945860710786</v>
      </c>
      <c r="S966" s="59" t="n">
        <v>46227.73958333334</v>
      </c>
      <c r="T966" s="59" t="n">
        <v>46405.45833333334</v>
      </c>
      <c r="U966" s="54" t="n">
        <v>101220</v>
      </c>
      <c r="V966" t="inlineStr">
        <is>
          <t>213879</t>
        </is>
      </c>
      <c r="W966" t="inlineStr">
        <is>
          <t>venda casada (97 pedidos) · custo do KIT 216020 (2× 213879)</t>
        </is>
      </c>
      <c r="X966" t="n">
        <v>97</v>
      </c>
      <c r="Y966" t="inlineStr">
        <is>
          <t>ok</t>
        </is>
      </c>
    </row>
    <row r="967" ht="18" customHeight="1">
      <c r="A967" s="60" t="inlineStr">
        <is>
          <t>Donacor</t>
        </is>
      </c>
      <c r="B967" s="60" t="inlineStr">
        <is>
          <t>Conjunto Com 5 Potes Vidro 1040ml Hermético Marmita 4 Trava- Pote Hermetico</t>
        </is>
      </c>
      <c r="C967" s="60" t="inlineStr">
        <is>
          <t>Kit 3 Potes,Azul</t>
        </is>
      </c>
      <c r="D967" s="60" t="inlineStr">
        <is>
          <t>Kit potes 3 un 1040ml azul</t>
        </is>
      </c>
      <c r="E967" s="60" t="n">
        <v>23993240034</v>
      </c>
      <c r="F967" s="60" t="n">
        <v>219166594194</v>
      </c>
      <c r="G967" s="60" t="inlineStr">
        <is>
          <t>NORMAL</t>
        </is>
      </c>
      <c r="H967" s="91" t="n">
        <v>99.90000000000001</v>
      </c>
      <c r="I967" s="91" t="n">
        <v>54.9</v>
      </c>
      <c r="J967" s="65" t="inlineStr">
        <is>
          <t>SIM</t>
        </is>
      </c>
      <c r="K967" s="91" t="n">
        <v>54.9</v>
      </c>
      <c r="L967" s="87" t="n">
        <v>54.9</v>
      </c>
      <c r="M967" s="88" t="n">
        <v>3</v>
      </c>
      <c r="N967" s="89" t="n">
        <v>9.48</v>
      </c>
      <c r="O967" s="89">
        <f>ROUND(M967*N967,2)</f>
        <v/>
      </c>
      <c r="P967" s="92">
        <f>IF($O967="","",L967-O967-(L967*IF(L967&lt;=79.99,20%,14%)+IF(L967&lt;=79.99,4,IF(L967&lt;=99.99,16,IF(L967&lt;=199.99,20,IF(L967&lt;=499.99,26,28)))))-L967*1.3%-L967*6%-(L967-O967)*9.25%-L967*3%-L967*3%-1)</f>
        <v/>
      </c>
      <c r="Q967" s="67" t="n">
        <v>0.45</v>
      </c>
      <c r="R967" s="60" t="n">
        <v>484945860710786</v>
      </c>
      <c r="S967" s="68" t="n">
        <v>46227.73958333334</v>
      </c>
      <c r="T967" s="68" t="n">
        <v>46405.45833333334</v>
      </c>
      <c r="U967" s="60" t="n">
        <v>101220</v>
      </c>
      <c r="V967" t="inlineStr">
        <is>
          <t>213880</t>
        </is>
      </c>
      <c r="W967" t="inlineStr">
        <is>
          <t>venda casada (351 pedidos) · custo do KIT 216005 (3× 213880)</t>
        </is>
      </c>
      <c r="X967" t="n">
        <v>351</v>
      </c>
      <c r="Y967" t="inlineStr">
        <is>
          <t>ok</t>
        </is>
      </c>
    </row>
    <row r="968" ht="18" customHeight="1">
      <c r="A968" s="54" t="inlineStr">
        <is>
          <t>Donacor</t>
        </is>
      </c>
      <c r="B968" s="54" t="inlineStr">
        <is>
          <t>Conjunto Com 5 Potes Vidro 1040ml Hermético Marmita 4 Trava- Pote Hermetico</t>
        </is>
      </c>
      <c r="C968" s="54" t="inlineStr">
        <is>
          <t>Kit 3 Potes,Branco</t>
        </is>
      </c>
      <c r="D968" s="54" t="inlineStr">
        <is>
          <t>Kit potes 3 un 1040ml branco</t>
        </is>
      </c>
      <c r="E968" s="54" t="n">
        <v>23993240034</v>
      </c>
      <c r="F968" s="54" t="n">
        <v>219166594199</v>
      </c>
      <c r="G968" s="54" t="inlineStr">
        <is>
          <t>NORMAL</t>
        </is>
      </c>
      <c r="H968" s="86" t="n">
        <v>99.90000000000001</v>
      </c>
      <c r="I968" s="86" t="n">
        <v>99.90000000000001</v>
      </c>
      <c r="J968" s="69" t="inlineStr">
        <is>
          <t>NÃO</t>
        </is>
      </c>
      <c r="K968" s="54" t="n"/>
      <c r="L968" s="87" t="n">
        <v>99.90000000000001</v>
      </c>
      <c r="M968" s="88" t="n">
        <v>3</v>
      </c>
      <c r="N968" s="89" t="n">
        <v>9.48</v>
      </c>
      <c r="O968" s="89">
        <f>ROUND(M968*N968,2)</f>
        <v/>
      </c>
      <c r="P968" s="90">
        <f>IF($O968="","",L968-O968-(L968*IF(L968&lt;=79.99,20%,14%)+IF(L968&lt;=79.99,4,IF(L968&lt;=99.99,16,IF(L968&lt;=199.99,20,IF(L968&lt;=499.99,26,28)))))-L968*1.3%-L968*6%-(L968-O968)*9.25%-L968*3%-L968*3%-1)</f>
        <v/>
      </c>
      <c r="Q968" s="54">
        <f>IF(AND(K968&lt;&gt;"",H968&gt;0),(H968-K968)/H968,"")</f>
        <v/>
      </c>
      <c r="R968" s="54" t="n"/>
      <c r="S968" s="54" t="n"/>
      <c r="T968" s="54" t="n"/>
      <c r="U968" s="54" t="n">
        <v>101220</v>
      </c>
      <c r="V968" t="inlineStr">
        <is>
          <t>213879</t>
        </is>
      </c>
      <c r="W968" t="inlineStr">
        <is>
          <t>venda casada (264 pedidos) · custo do KIT 216021 (3× 213879)</t>
        </is>
      </c>
      <c r="X968" t="n">
        <v>264</v>
      </c>
      <c r="Y968" t="inlineStr">
        <is>
          <t>ok</t>
        </is>
      </c>
    </row>
    <row r="969" ht="18" customHeight="1">
      <c r="A969" s="60" t="inlineStr">
        <is>
          <t>Donacor</t>
        </is>
      </c>
      <c r="B969" s="60" t="inlineStr">
        <is>
          <t>Conjunto Com 5 Potes Vidro 1040ml Hermético Marmita 4 Trava- Pote Hermetico</t>
        </is>
      </c>
      <c r="C969" s="60" t="inlineStr">
        <is>
          <t>Kit 3 Potes,Sortido</t>
        </is>
      </c>
      <c r="D969" s="60" t="inlineStr">
        <is>
          <t>Kit potes 3 un 1040ml sortido</t>
        </is>
      </c>
      <c r="E969" s="60" t="n">
        <v>23993240034</v>
      </c>
      <c r="F969" s="60" t="n">
        <v>219166594195</v>
      </c>
      <c r="G969" s="60" t="inlineStr">
        <is>
          <t>NORMAL</t>
        </is>
      </c>
      <c r="H969" s="91" t="n">
        <v>99.90000000000001</v>
      </c>
      <c r="I969" s="91" t="n">
        <v>54.9</v>
      </c>
      <c r="J969" s="65" t="inlineStr">
        <is>
          <t>SIM</t>
        </is>
      </c>
      <c r="K969" s="91" t="n">
        <v>54.9</v>
      </c>
      <c r="L969" s="87" t="n">
        <v>54.9</v>
      </c>
      <c r="M969" s="88" t="n">
        <v>3</v>
      </c>
      <c r="N969" s="89" t="n">
        <v>9.48</v>
      </c>
      <c r="O969" s="89">
        <f>ROUND(M969*N969,2)</f>
        <v/>
      </c>
      <c r="P969" s="92">
        <f>IF($O969="","",L969-O969-(L969*IF(L969&lt;=79.99,20%,14%)+IF(L969&lt;=79.99,4,IF(L969&lt;=99.99,16,IF(L969&lt;=199.99,20,IF(L969&lt;=499.99,26,28)))))-L969*1.3%-L969*6%-(L969-O969)*9.25%-L969*3%-L969*3%-1)</f>
        <v/>
      </c>
      <c r="Q969" s="67" t="n">
        <v>0.45</v>
      </c>
      <c r="R969" s="60" t="n">
        <v>484945860710786</v>
      </c>
      <c r="S969" s="68" t="n">
        <v>46227.73958333334</v>
      </c>
      <c r="T969" s="68" t="n">
        <v>46405.45833333334</v>
      </c>
      <c r="U969" s="60" t="n">
        <v>101220</v>
      </c>
      <c r="V969" t="inlineStr">
        <is>
          <t>213879</t>
        </is>
      </c>
      <c r="W969" t="inlineStr">
        <is>
          <t>venda casada (105 pedidos) · custo do KIT 216021 (3× 213879)</t>
        </is>
      </c>
      <c r="X969" t="n">
        <v>105</v>
      </c>
      <c r="Y969" t="inlineStr">
        <is>
          <t>ok</t>
        </is>
      </c>
    </row>
    <row r="970" ht="18" customHeight="1">
      <c r="A970" s="54" t="inlineStr">
        <is>
          <t>Donacor</t>
        </is>
      </c>
      <c r="B970" s="54" t="inlineStr">
        <is>
          <t>Conjunto Com 5 Potes Vidro 1040ml Hermético Marmita 4 Trava- Pote Hermetico</t>
        </is>
      </c>
      <c r="C970" s="54" t="inlineStr">
        <is>
          <t>Kit 5 Potes,Azul</t>
        </is>
      </c>
      <c r="D970" s="54" t="inlineStr">
        <is>
          <t>Kit potes 5 un 1040ml azul</t>
        </is>
      </c>
      <c r="E970" s="54" t="n">
        <v>23993240034</v>
      </c>
      <c r="F970" s="54" t="n">
        <v>219166594196</v>
      </c>
      <c r="G970" s="54" t="inlineStr">
        <is>
          <t>NORMAL</t>
        </is>
      </c>
      <c r="H970" s="86" t="n">
        <v>169.9</v>
      </c>
      <c r="I970" s="86" t="n">
        <v>99.90000000000001</v>
      </c>
      <c r="J970" s="56" t="inlineStr">
        <is>
          <t>SIM</t>
        </is>
      </c>
      <c r="K970" s="86" t="n">
        <v>99.90000000000001</v>
      </c>
      <c r="L970" s="87" t="n">
        <v>99.90000000000001</v>
      </c>
      <c r="M970" s="88" t="n">
        <v>5</v>
      </c>
      <c r="N970" s="89" t="n">
        <v>9.48</v>
      </c>
      <c r="O970" s="89">
        <f>ROUND(M970*N970,2)</f>
        <v/>
      </c>
      <c r="P970" s="90">
        <f>IF($O970="","",L970-O970-(L970*IF(L970&lt;=79.99,20%,14%)+IF(L970&lt;=79.99,4,IF(L970&lt;=99.99,16,IF(L970&lt;=199.99,20,IF(L970&lt;=499.99,26,28)))))-L970*1.3%-L970*6%-(L970-O970)*9.25%-L970*3%-L970*3%-1)</f>
        <v/>
      </c>
      <c r="Q970" s="58" t="n">
        <v>0.412</v>
      </c>
      <c r="R970" s="54" t="n">
        <v>484945860710786</v>
      </c>
      <c r="S970" s="59" t="n">
        <v>46227.73958333334</v>
      </c>
      <c r="T970" s="59" t="n">
        <v>46405.45833333334</v>
      </c>
      <c r="U970" s="54" t="n">
        <v>101220</v>
      </c>
      <c r="V970" t="inlineStr">
        <is>
          <t>213880</t>
        </is>
      </c>
      <c r="W970" t="inlineStr">
        <is>
          <t>venda casada (884 pedidos) · custo do KIT 216006 (5× 213880)</t>
        </is>
      </c>
      <c r="X970" t="n">
        <v>884</v>
      </c>
      <c r="Y970" t="inlineStr">
        <is>
          <t>ok</t>
        </is>
      </c>
    </row>
    <row r="971" ht="18" customHeight="1">
      <c r="A971" s="60" t="inlineStr">
        <is>
          <t>Donacor</t>
        </is>
      </c>
      <c r="B971" s="60" t="inlineStr">
        <is>
          <t>Conjunto Com 5 Potes Vidro 1040ml Hermético Marmita 4 Trava- Pote Hermetico</t>
        </is>
      </c>
      <c r="C971" s="60" t="inlineStr">
        <is>
          <t>Kit 5 Potes,Branco</t>
        </is>
      </c>
      <c r="D971" s="60" t="inlineStr">
        <is>
          <t>Kit potes 5 un 1040ml branco</t>
        </is>
      </c>
      <c r="E971" s="60" t="n">
        <v>23993240034</v>
      </c>
      <c r="F971" s="60" t="n">
        <v>219166594200</v>
      </c>
      <c r="G971" s="60" t="inlineStr">
        <is>
          <t>NORMAL</t>
        </is>
      </c>
      <c r="H971" s="91" t="n">
        <v>169.9</v>
      </c>
      <c r="I971" s="91" t="n">
        <v>169.9</v>
      </c>
      <c r="J971" s="62" t="inlineStr">
        <is>
          <t>NÃO</t>
        </is>
      </c>
      <c r="K971" s="60" t="inlineStr">
        <is>
          <t> </t>
        </is>
      </c>
      <c r="L971" s="87" t="n">
        <v>169.9</v>
      </c>
      <c r="M971" s="88" t="n">
        <v>5</v>
      </c>
      <c r="N971" s="89" t="n">
        <v>9.48</v>
      </c>
      <c r="O971" s="89">
        <f>ROUND(M971*N971,2)</f>
        <v/>
      </c>
      <c r="P971" s="92">
        <f>IF($O971="","",L971-O971-(L971*IF(L971&lt;=79.99,20%,14%)+IF(L971&lt;=79.99,4,IF(L971&lt;=99.99,16,IF(L971&lt;=199.99,20,IF(L971&lt;=499.99,26,28)))))-L971*1.3%-L971*6%-(L971-O971)*9.25%-L971*3%-L971*3%-1)</f>
        <v/>
      </c>
      <c r="Q971" s="60" t="inlineStr">
        <is>
          <t> </t>
        </is>
      </c>
      <c r="R971" s="60" t="inlineStr">
        <is>
          <t> </t>
        </is>
      </c>
      <c r="S971" s="60" t="inlineStr">
        <is>
          <t> </t>
        </is>
      </c>
      <c r="T971" s="60" t="inlineStr">
        <is>
          <t> </t>
        </is>
      </c>
      <c r="U971" s="60" t="n">
        <v>101220</v>
      </c>
      <c r="V971" t="inlineStr">
        <is>
          <t>213879</t>
        </is>
      </c>
      <c r="W971" t="inlineStr">
        <is>
          <t>venda casada (561 pedidos) · custo do KIT 216022 (5× 213879)</t>
        </is>
      </c>
      <c r="X971" t="n">
        <v>561</v>
      </c>
      <c r="Y971" t="inlineStr">
        <is>
          <t>ok</t>
        </is>
      </c>
    </row>
    <row r="972" ht="18" customHeight="1">
      <c r="A972" s="54" t="inlineStr">
        <is>
          <t>Donacor</t>
        </is>
      </c>
      <c r="B972" s="54" t="inlineStr">
        <is>
          <t>Conjunto Com 5 Potes Vidro 1040ml Hermético Marmita 4 Trava- Pote Hermetico</t>
        </is>
      </c>
      <c r="C972" s="54" t="inlineStr">
        <is>
          <t>Kit 5 Potes,Sortido</t>
        </is>
      </c>
      <c r="D972" s="54" t="inlineStr">
        <is>
          <t>Kit potes 5 un 1040ml sortido</t>
        </is>
      </c>
      <c r="E972" s="54" t="n">
        <v>23993240034</v>
      </c>
      <c r="F972" s="54" t="n">
        <v>219166594197</v>
      </c>
      <c r="G972" s="54" t="inlineStr">
        <is>
          <t>NORMAL</t>
        </is>
      </c>
      <c r="H972" s="86" t="n">
        <v>169.9</v>
      </c>
      <c r="I972" s="86" t="n">
        <v>99.90000000000001</v>
      </c>
      <c r="J972" s="56" t="inlineStr">
        <is>
          <t>SIM</t>
        </is>
      </c>
      <c r="K972" s="86" t="n">
        <v>99.90000000000001</v>
      </c>
      <c r="L972" s="87" t="n">
        <v>99.90000000000001</v>
      </c>
      <c r="M972" s="88" t="n">
        <v>5</v>
      </c>
      <c r="N972" s="89" t="n">
        <v>9.48</v>
      </c>
      <c r="O972" s="89">
        <f>ROUND(M972*N972,2)</f>
        <v/>
      </c>
      <c r="P972" s="90">
        <f>IF($O972="","",L972-O972-(L972*IF(L972&lt;=79.99,20%,14%)+IF(L972&lt;=79.99,4,IF(L972&lt;=99.99,16,IF(L972&lt;=199.99,20,IF(L972&lt;=499.99,26,28)))))-L972*1.3%-L972*6%-(L972-O972)*9.25%-L972*3%-L972*3%-1)</f>
        <v/>
      </c>
      <c r="Q972" s="58" t="n">
        <v>0.412</v>
      </c>
      <c r="R972" s="54" t="n">
        <v>484945860710786</v>
      </c>
      <c r="S972" s="59" t="n">
        <v>46227.73958333334</v>
      </c>
      <c r="T972" s="59" t="n">
        <v>46405.45833333334</v>
      </c>
      <c r="U972" s="54" t="n">
        <v>101220</v>
      </c>
      <c r="V972" t="inlineStr">
        <is>
          <t>213879</t>
        </is>
      </c>
      <c r="W972" t="inlineStr">
        <is>
          <t>venda casada (180 pedidos) · custo do KIT 216022 (5× 213879)</t>
        </is>
      </c>
      <c r="X972" t="n">
        <v>180</v>
      </c>
      <c r="Y972" t="inlineStr">
        <is>
          <t>ok</t>
        </is>
      </c>
    </row>
    <row r="973" ht="18" customHeight="1">
      <c r="A973" s="60" t="inlineStr">
        <is>
          <t>Donacor</t>
        </is>
      </c>
      <c r="B973" s="60" t="inlineStr">
        <is>
          <t>Conjunto de Taças 2/4/6/12 de Vidro 340ML Premium Ultra Resistente Diamond Transparente</t>
        </is>
      </c>
      <c r="C973" s="60" t="inlineStr">
        <is>
          <t>12 UNID</t>
        </is>
      </c>
      <c r="D973" s="60" t="inlineStr">
        <is>
          <t>TAÇA-340ML-12UN</t>
        </is>
      </c>
      <c r="E973" s="60" t="n">
        <v>41617189645</v>
      </c>
      <c r="F973" s="60" t="n">
        <v>206246161929</v>
      </c>
      <c r="G973" s="60" t="inlineStr">
        <is>
          <t>NORMAL</t>
        </is>
      </c>
      <c r="H973" s="91" t="n">
        <v>139.9</v>
      </c>
      <c r="I973" s="91" t="n">
        <v>68.88</v>
      </c>
      <c r="J973" s="65" t="inlineStr">
        <is>
          <t>SIM</t>
        </is>
      </c>
      <c r="K973" s="91" t="n">
        <v>68.88</v>
      </c>
      <c r="L973" s="87" t="n">
        <v>68.88</v>
      </c>
      <c r="M973" s="88" t="n">
        <v>12</v>
      </c>
      <c r="N973" s="89" t="n">
        <v>2.14</v>
      </c>
      <c r="O973" s="89">
        <f>ROUND(M973*N973,2)</f>
        <v/>
      </c>
      <c r="P973" s="92">
        <f>IF($O973="","",L973-O973-(L973*IF(L973&lt;=79.99,20%,14%)+IF(L973&lt;=79.99,4,IF(L973&lt;=99.99,16,IF(L973&lt;=199.99,20,IF(L973&lt;=499.99,26,28)))))-L973*1.3%-L973*6%-(L973-O973)*9.25%-L973*3%-L973*3%-1)</f>
        <v/>
      </c>
      <c r="Q973" s="67" t="n">
        <v>0.508</v>
      </c>
      <c r="R973" s="60" t="n">
        <v>492080438919432</v>
      </c>
      <c r="S973" s="68" t="n">
        <v>46248</v>
      </c>
      <c r="T973" s="68" t="n">
        <v>46249</v>
      </c>
      <c r="U973" s="60" t="n">
        <v>101240</v>
      </c>
      <c r="V973" t="inlineStr">
        <is>
          <t>213243</t>
        </is>
      </c>
      <c r="W973" t="inlineStr">
        <is>
          <t>venda casada (190 pedidos) · custo do KIT 214036 (12× 213243)</t>
        </is>
      </c>
      <c r="X973" t="n">
        <v>190</v>
      </c>
      <c r="Y973" t="inlineStr">
        <is>
          <t>ok</t>
        </is>
      </c>
    </row>
    <row r="974" ht="18" customHeight="1">
      <c r="A974" s="54" t="inlineStr">
        <is>
          <t>Donacor</t>
        </is>
      </c>
      <c r="B974" s="54" t="inlineStr">
        <is>
          <t>Conjunto de Taças 2/4/6/12 de Vidro 340ML Premium Ultra Resistente Diamond Transparente</t>
        </is>
      </c>
      <c r="C974" s="54" t="inlineStr">
        <is>
          <t>2 UNID</t>
        </is>
      </c>
      <c r="D974" s="54" t="inlineStr">
        <is>
          <t>TAÇA-340ML-2UN</t>
        </is>
      </c>
      <c r="E974" s="54" t="n">
        <v>41617189645</v>
      </c>
      <c r="F974" s="54" t="n">
        <v>385023991915</v>
      </c>
      <c r="G974" s="54" t="inlineStr">
        <is>
          <t>NORMAL</t>
        </is>
      </c>
      <c r="H974" s="86" t="n">
        <v>39.9</v>
      </c>
      <c r="I974" s="86" t="n">
        <v>17.87</v>
      </c>
      <c r="J974" s="56" t="inlineStr">
        <is>
          <t>SIM</t>
        </is>
      </c>
      <c r="K974" s="86" t="n">
        <v>17.87</v>
      </c>
      <c r="L974" s="87" t="n">
        <v>17.87</v>
      </c>
      <c r="M974" s="88" t="n">
        <v>2</v>
      </c>
      <c r="N974" s="89" t="n">
        <v>2.14</v>
      </c>
      <c r="O974" s="89">
        <f>ROUND(M974*N974,2)</f>
        <v/>
      </c>
      <c r="P974" s="90">
        <f>IF($O974="","",L974-O974-(L974*IF(L974&lt;=79.99,20%,14%)+IF(L974&lt;=79.99,4,IF(L974&lt;=99.99,16,IF(L974&lt;=199.99,20,IF(L974&lt;=499.99,26,28)))))-L974*1.3%-L974*6%-(L974-O974)*9.25%-L974*3%-L974*3%-1)</f>
        <v/>
      </c>
      <c r="Q974" s="58" t="n">
        <v>0.552</v>
      </c>
      <c r="R974" s="54" t="n">
        <v>492080438919432</v>
      </c>
      <c r="S974" s="59" t="n">
        <v>46248</v>
      </c>
      <c r="T974" s="59" t="n">
        <v>46249</v>
      </c>
      <c r="U974" s="54" t="n">
        <v>101240</v>
      </c>
      <c r="V974" t="inlineStr">
        <is>
          <t>213243</t>
        </is>
      </c>
      <c r="W974" t="inlineStr">
        <is>
          <t>venda casada (159 pedidos) · custo do KIT 214033 (2× 213243)</t>
        </is>
      </c>
      <c r="X974" t="n">
        <v>159</v>
      </c>
      <c r="Y974" t="inlineStr">
        <is>
          <t>ok</t>
        </is>
      </c>
    </row>
    <row r="975" ht="18" customHeight="1">
      <c r="A975" s="60" t="inlineStr">
        <is>
          <t>Donacor</t>
        </is>
      </c>
      <c r="B975" s="60" t="inlineStr">
        <is>
          <t>Conjunto de Taças 2/4/6/12 de Vidro 340ML Premium Ultra Resistente Diamond Transparente</t>
        </is>
      </c>
      <c r="C975" s="60" t="inlineStr">
        <is>
          <t>4 UNID</t>
        </is>
      </c>
      <c r="D975" s="60" t="inlineStr">
        <is>
          <t>TAÇA-340ML-4UN</t>
        </is>
      </c>
      <c r="E975" s="60" t="n">
        <v>41617189645</v>
      </c>
      <c r="F975" s="60" t="n">
        <v>206246161927</v>
      </c>
      <c r="G975" s="60" t="inlineStr">
        <is>
          <t>NORMAL</t>
        </is>
      </c>
      <c r="H975" s="91" t="n">
        <v>49.9</v>
      </c>
      <c r="I975" s="91" t="n">
        <v>26.98</v>
      </c>
      <c r="J975" s="65" t="inlineStr">
        <is>
          <t>SIM</t>
        </is>
      </c>
      <c r="K975" s="91" t="n">
        <v>26.98</v>
      </c>
      <c r="L975" s="87" t="n">
        <v>26.98</v>
      </c>
      <c r="M975" s="88" t="n">
        <v>4</v>
      </c>
      <c r="N975" s="89" t="n">
        <v>2.14</v>
      </c>
      <c r="O975" s="89">
        <f>ROUND(M975*N975,2)</f>
        <v/>
      </c>
      <c r="P975" s="92">
        <f>IF($O975="","",L975-O975-(L975*IF(L975&lt;=79.99,20%,14%)+IF(L975&lt;=79.99,4,IF(L975&lt;=99.99,16,IF(L975&lt;=199.99,20,IF(L975&lt;=499.99,26,28)))))-L975*1.3%-L975*6%-(L975-O975)*9.25%-L975*3%-L975*3%-1)</f>
        <v/>
      </c>
      <c r="Q975" s="67" t="n">
        <v>0.459</v>
      </c>
      <c r="R975" s="60" t="n">
        <v>492080438919432</v>
      </c>
      <c r="S975" s="68" t="n">
        <v>46248</v>
      </c>
      <c r="T975" s="68" t="n">
        <v>46249</v>
      </c>
      <c r="U975" s="60" t="n">
        <v>101240</v>
      </c>
      <c r="V975" t="inlineStr">
        <is>
          <t>213243</t>
        </is>
      </c>
      <c r="W975" t="inlineStr">
        <is>
          <t>venda casada (294 pedidos) · custo do KIT 214034 (4× 213243)</t>
        </is>
      </c>
      <c r="X975" t="n">
        <v>294</v>
      </c>
      <c r="Y975" t="inlineStr">
        <is>
          <t>ok</t>
        </is>
      </c>
    </row>
    <row r="976" ht="18" customHeight="1">
      <c r="A976" s="54" t="inlineStr">
        <is>
          <t>Donacor</t>
        </is>
      </c>
      <c r="B976" s="54" t="inlineStr">
        <is>
          <t>Conjunto de Taças 2/4/6/12 de Vidro 340ML Premium Ultra Resistente Diamond Transparente</t>
        </is>
      </c>
      <c r="C976" s="54" t="inlineStr">
        <is>
          <t>6 UNID</t>
        </is>
      </c>
      <c r="D976" s="54" t="inlineStr">
        <is>
          <t>TAÇA-340ML-6UN</t>
        </is>
      </c>
      <c r="E976" s="54" t="n">
        <v>41617189645</v>
      </c>
      <c r="F976" s="54" t="n">
        <v>206246161928</v>
      </c>
      <c r="G976" s="54" t="inlineStr">
        <is>
          <t>NORMAL</t>
        </is>
      </c>
      <c r="H976" s="86" t="n">
        <v>79.90000000000001</v>
      </c>
      <c r="I976" s="86" t="n">
        <v>34.89</v>
      </c>
      <c r="J976" s="56" t="inlineStr">
        <is>
          <t>SIM</t>
        </is>
      </c>
      <c r="K976" s="86" t="n">
        <v>34.89</v>
      </c>
      <c r="L976" s="87" t="n">
        <v>34.89</v>
      </c>
      <c r="M976" s="88" t="n">
        <v>6</v>
      </c>
      <c r="N976" s="89" t="n">
        <v>2.14</v>
      </c>
      <c r="O976" s="89">
        <f>ROUND(M976*N976,2)</f>
        <v/>
      </c>
      <c r="P976" s="90">
        <f>IF($O976="","",L976-O976-(L976*IF(L976&lt;=79.99,20%,14%)+IF(L976&lt;=79.99,4,IF(L976&lt;=99.99,16,IF(L976&lt;=199.99,20,IF(L976&lt;=499.99,26,28)))))-L976*1.3%-L976*6%-(L976-O976)*9.25%-L976*3%-L976*3%-1)</f>
        <v/>
      </c>
      <c r="Q976" s="58" t="n">
        <v>0.5629999999999999</v>
      </c>
      <c r="R976" s="54" t="n">
        <v>492080438919432</v>
      </c>
      <c r="S976" s="59" t="n">
        <v>46248</v>
      </c>
      <c r="T976" s="59" t="n">
        <v>46249</v>
      </c>
      <c r="U976" s="54" t="n">
        <v>101240</v>
      </c>
      <c r="V976" t="inlineStr">
        <is>
          <t>213243</t>
        </is>
      </c>
      <c r="W976" t="inlineStr">
        <is>
          <t>venda casada (906 pedidos) · custo do KIT 214035 (6× 213243)</t>
        </is>
      </c>
      <c r="X976" t="n">
        <v>906</v>
      </c>
      <c r="Y976" t="inlineStr">
        <is>
          <t>ok</t>
        </is>
      </c>
    </row>
    <row r="977" ht="18" customHeight="1">
      <c r="A977" s="60" t="inlineStr">
        <is>
          <t>Donacor</t>
        </is>
      </c>
      <c r="B977" s="60" t="inlineStr">
        <is>
          <t>Conjunto Potes de Vidro 640ml Hermético +  Balança de Cozinha</t>
        </is>
      </c>
      <c r="C977" s="60" t="inlineStr">
        <is>
          <t>AZUL,10 POTES 640ML + BALANÇA</t>
        </is>
      </c>
      <c r="D977" s="60" t="inlineStr">
        <is>
          <t>10-POTES640ML-AZUL-BALANÇA-COZINHA</t>
        </is>
      </c>
      <c r="E977" s="60" t="n">
        <v>51354348314</v>
      </c>
      <c r="F977" s="60" t="n">
        <v>435408668093</v>
      </c>
      <c r="G977" s="60" t="inlineStr">
        <is>
          <t>NORMAL</t>
        </is>
      </c>
      <c r="H977" s="91" t="n">
        <v>279.9</v>
      </c>
      <c r="I977" s="91" t="n">
        <v>169.9</v>
      </c>
      <c r="J977" s="65" t="inlineStr">
        <is>
          <t>SIM</t>
        </is>
      </c>
      <c r="K977" s="91" t="n">
        <v>169.9</v>
      </c>
      <c r="L977" s="87" t="n">
        <v>169.9</v>
      </c>
      <c r="P977" s="92">
        <f>IF($O977="","",L977-O977-(L977*IF(L977&lt;=79.99,20%,14%)+IF(L977&lt;=79.99,4,IF(L977&lt;=99.99,16,IF(L977&lt;=199.99,20,IF(L977&lt;=499.99,26,28)))))-L977*1.3%-L977*6%-(L977-O977)*9.25%-L977*3%-L977*3%-1)</f>
        <v/>
      </c>
      <c r="Q977" s="67" t="n">
        <v>0.393</v>
      </c>
      <c r="R977" s="60" t="inlineStr">
        <is>
          <t>478840979931317, 484945860710786</t>
        </is>
      </c>
      <c r="S977" s="68" t="n">
        <v>46227.73958333334</v>
      </c>
      <c r="T977" s="68" t="n">
        <v>46248.99930555555</v>
      </c>
      <c r="U977" s="60" t="n">
        <v>101220</v>
      </c>
      <c r="W977" t="inlineStr">
        <is>
          <t>sem correspondência</t>
        </is>
      </c>
      <c r="Y977" t="inlineStr"/>
    </row>
    <row r="978" ht="18" customHeight="1">
      <c r="A978" s="54" t="inlineStr">
        <is>
          <t>Donacor</t>
        </is>
      </c>
      <c r="B978" s="54" t="inlineStr">
        <is>
          <t>Conjunto Potes de Vidro 640ml Hermético +  Balança de Cozinha</t>
        </is>
      </c>
      <c r="C978" s="54" t="inlineStr">
        <is>
          <t>AZUL,5 POTES 640ML + BALANÇA</t>
        </is>
      </c>
      <c r="D978" s="54" t="inlineStr">
        <is>
          <t>5-POTES640ML-AZUL-BALANÇA-COZINHA</t>
        </is>
      </c>
      <c r="E978" s="54" t="n">
        <v>51354348314</v>
      </c>
      <c r="F978" s="54" t="n">
        <v>435408668092</v>
      </c>
      <c r="G978" s="54" t="inlineStr">
        <is>
          <t>NORMAL</t>
        </is>
      </c>
      <c r="H978" s="86" t="n">
        <v>199.9</v>
      </c>
      <c r="I978" s="86" t="n">
        <v>104.9</v>
      </c>
      <c r="J978" s="56" t="inlineStr">
        <is>
          <t>SIM</t>
        </is>
      </c>
      <c r="K978" s="86" t="n">
        <v>104.9</v>
      </c>
      <c r="L978" s="87" t="n">
        <v>104.9</v>
      </c>
      <c r="P978" s="90">
        <f>IF($O978="","",L978-O978-(L978*IF(L978&lt;=79.99,20%,14%)+IF(L978&lt;=79.99,4,IF(L978&lt;=99.99,16,IF(L978&lt;=199.99,20,IF(L978&lt;=499.99,26,28)))))-L978*1.3%-L978*6%-(L978-O978)*9.25%-L978*3%-L978*3%-1)</f>
        <v/>
      </c>
      <c r="Q978" s="58" t="n">
        <v>0.475</v>
      </c>
      <c r="R978" s="54" t="inlineStr">
        <is>
          <t>478840979931317, 484945860710786</t>
        </is>
      </c>
      <c r="S978" s="59" t="n">
        <v>46227.73958333334</v>
      </c>
      <c r="T978" s="59" t="n">
        <v>46248.99930555555</v>
      </c>
      <c r="U978" s="54" t="n">
        <v>101220</v>
      </c>
      <c r="W978" t="inlineStr">
        <is>
          <t>sem correspondência</t>
        </is>
      </c>
      <c r="Y978" t="inlineStr"/>
    </row>
    <row r="979" ht="18" customHeight="1">
      <c r="A979" s="60" t="inlineStr">
        <is>
          <t>Donacor</t>
        </is>
      </c>
      <c r="B979" s="60" t="inlineStr">
        <is>
          <t>Conjunto Potes de Vidro 640ml Hermético +  Balança de Cozinha</t>
        </is>
      </c>
      <c r="C979" s="60" t="inlineStr">
        <is>
          <t>BRANCO,10 POTES 640ML + BALANÇA</t>
        </is>
      </c>
      <c r="D979" s="60" t="inlineStr">
        <is>
          <t>10-POTES640ML-BRANCO-BALANÇA-COZINHA</t>
        </is>
      </c>
      <c r="E979" s="60" t="n">
        <v>51354348314</v>
      </c>
      <c r="F979" s="60" t="n">
        <v>435408668097</v>
      </c>
      <c r="G979" s="60" t="inlineStr">
        <is>
          <t>NORMAL</t>
        </is>
      </c>
      <c r="H979" s="91" t="n">
        <v>279.9</v>
      </c>
      <c r="I979" s="91" t="n">
        <v>169.9</v>
      </c>
      <c r="J979" s="65" t="inlineStr">
        <is>
          <t>SIM</t>
        </is>
      </c>
      <c r="K979" s="91" t="n">
        <v>169.9</v>
      </c>
      <c r="L979" s="87" t="n">
        <v>169.9</v>
      </c>
      <c r="P979" s="92">
        <f>IF($O979="","",L979-O979-(L979*IF(L979&lt;=79.99,20%,14%)+IF(L979&lt;=79.99,4,IF(L979&lt;=99.99,16,IF(L979&lt;=199.99,20,IF(L979&lt;=499.99,26,28)))))-L979*1.3%-L979*6%-(L979-O979)*9.25%-L979*3%-L979*3%-1)</f>
        <v/>
      </c>
      <c r="Q979" s="67" t="n">
        <v>0.393</v>
      </c>
      <c r="R979" s="60" t="inlineStr">
        <is>
          <t>478840979931317, 484945860710786</t>
        </is>
      </c>
      <c r="S979" s="68" t="n">
        <v>46227.73958333334</v>
      </c>
      <c r="T979" s="68" t="n">
        <v>46248.99930555555</v>
      </c>
      <c r="U979" s="60" t="n">
        <v>101220</v>
      </c>
      <c r="W979" t="inlineStr">
        <is>
          <t>sem correspondência</t>
        </is>
      </c>
      <c r="Y979" t="inlineStr"/>
    </row>
    <row r="980" ht="18" customHeight="1">
      <c r="A980" s="54" t="inlineStr">
        <is>
          <t>Donacor</t>
        </is>
      </c>
      <c r="B980" s="54" t="inlineStr">
        <is>
          <t>Conjunto Potes de Vidro 640ml Hermético +  Balança de Cozinha</t>
        </is>
      </c>
      <c r="C980" s="54" t="inlineStr">
        <is>
          <t>BRANCO,5 POTES 640ML + BALANÇA</t>
        </is>
      </c>
      <c r="D980" s="54" t="inlineStr">
        <is>
          <t>5-POTES640ML-BRANCO-BALANÇA-COZINHA</t>
        </is>
      </c>
      <c r="E980" s="54" t="n">
        <v>51354348314</v>
      </c>
      <c r="F980" s="54" t="n">
        <v>435408668096</v>
      </c>
      <c r="G980" s="54" t="inlineStr">
        <is>
          <t>NORMAL</t>
        </is>
      </c>
      <c r="H980" s="86" t="n">
        <v>199.9</v>
      </c>
      <c r="I980" s="86" t="n">
        <v>104.9</v>
      </c>
      <c r="J980" s="56" t="inlineStr">
        <is>
          <t>SIM</t>
        </is>
      </c>
      <c r="K980" s="86" t="n">
        <v>104.9</v>
      </c>
      <c r="L980" s="87" t="n">
        <v>104.9</v>
      </c>
      <c r="P980" s="90">
        <f>IF($O980="","",L980-O980-(L980*IF(L980&lt;=79.99,20%,14%)+IF(L980&lt;=79.99,4,IF(L980&lt;=99.99,16,IF(L980&lt;=199.99,20,IF(L980&lt;=499.99,26,28)))))-L980*1.3%-L980*6%-(L980-O980)*9.25%-L980*3%-L980*3%-1)</f>
        <v/>
      </c>
      <c r="Q980" s="58" t="n">
        <v>0.475</v>
      </c>
      <c r="R980" s="54" t="inlineStr">
        <is>
          <t>478840979931317, 484945860710786</t>
        </is>
      </c>
      <c r="S980" s="59" t="n">
        <v>46227.73958333334</v>
      </c>
      <c r="T980" s="59" t="n">
        <v>46248.99930555555</v>
      </c>
      <c r="U980" s="54" t="n">
        <v>101220</v>
      </c>
      <c r="W980" t="inlineStr">
        <is>
          <t>sem correspondência</t>
        </is>
      </c>
      <c r="Y980" t="inlineStr"/>
    </row>
    <row r="981" ht="18" customHeight="1">
      <c r="A981" s="60" t="inlineStr">
        <is>
          <t>Donacor</t>
        </is>
      </c>
      <c r="B981" s="60" t="inlineStr">
        <is>
          <t>Conjunto Potes de Vidro 640ml Hermético +  Balança de Cozinha</t>
        </is>
      </c>
      <c r="C981" s="60" t="inlineStr">
        <is>
          <t>SORTIDO,10 POTES 640ML + BALANÇA</t>
        </is>
      </c>
      <c r="D981" s="60" t="inlineStr">
        <is>
          <t>10-POTES640ML-SORTIDO-BALANÇA-COZINHA</t>
        </is>
      </c>
      <c r="E981" s="60" t="n">
        <v>51354348314</v>
      </c>
      <c r="F981" s="60" t="n">
        <v>435408668101</v>
      </c>
      <c r="G981" s="60" t="inlineStr">
        <is>
          <t>NORMAL</t>
        </is>
      </c>
      <c r="H981" s="91" t="n">
        <v>279.9</v>
      </c>
      <c r="I981" s="91" t="n">
        <v>169.9</v>
      </c>
      <c r="J981" s="65" t="inlineStr">
        <is>
          <t>SIM</t>
        </is>
      </c>
      <c r="K981" s="91" t="n">
        <v>169.9</v>
      </c>
      <c r="L981" s="87" t="n">
        <v>169.9</v>
      </c>
      <c r="P981" s="92">
        <f>IF($O981="","",L981-O981-(L981*IF(L981&lt;=79.99,20%,14%)+IF(L981&lt;=79.99,4,IF(L981&lt;=99.99,16,IF(L981&lt;=199.99,20,IF(L981&lt;=499.99,26,28)))))-L981*1.3%-L981*6%-(L981-O981)*9.25%-L981*3%-L981*3%-1)</f>
        <v/>
      </c>
      <c r="Q981" s="67" t="n">
        <v>0.393</v>
      </c>
      <c r="R981" s="60" t="inlineStr">
        <is>
          <t>478840979931317, 484945860710786</t>
        </is>
      </c>
      <c r="S981" s="68" t="n">
        <v>46227.73958333334</v>
      </c>
      <c r="T981" s="68" t="n">
        <v>46248.99930555555</v>
      </c>
      <c r="U981" s="60" t="n">
        <v>101220</v>
      </c>
      <c r="W981" t="inlineStr">
        <is>
          <t>sem correspondência</t>
        </is>
      </c>
      <c r="Y981" t="inlineStr"/>
    </row>
    <row r="982" ht="18" customHeight="1">
      <c r="A982" s="54" t="inlineStr">
        <is>
          <t>Donacor</t>
        </is>
      </c>
      <c r="B982" s="54" t="inlineStr">
        <is>
          <t>Conjunto Potes de Vidro 640ml Hermético +  Balança de Cozinha</t>
        </is>
      </c>
      <c r="C982" s="54" t="inlineStr">
        <is>
          <t>SORTIDO,5 POTES 640ML + BALANÇA</t>
        </is>
      </c>
      <c r="D982" s="54" t="inlineStr">
        <is>
          <t>5-POTES640ML-SORTIDO-BALANÇA-COZINHA</t>
        </is>
      </c>
      <c r="E982" s="54" t="n">
        <v>51354348314</v>
      </c>
      <c r="F982" s="54" t="n">
        <v>435408668100</v>
      </c>
      <c r="G982" s="54" t="inlineStr">
        <is>
          <t>NORMAL</t>
        </is>
      </c>
      <c r="H982" s="86" t="n">
        <v>199.9</v>
      </c>
      <c r="I982" s="86" t="n">
        <v>104.9</v>
      </c>
      <c r="J982" s="56" t="inlineStr">
        <is>
          <t>SIM</t>
        </is>
      </c>
      <c r="K982" s="86" t="n">
        <v>104.9</v>
      </c>
      <c r="L982" s="87" t="n">
        <v>104.9</v>
      </c>
      <c r="P982" s="90">
        <f>IF($O982="","",L982-O982-(L982*IF(L982&lt;=79.99,20%,14%)+IF(L982&lt;=79.99,4,IF(L982&lt;=99.99,16,IF(L982&lt;=199.99,20,IF(L982&lt;=499.99,26,28)))))-L982*1.3%-L982*6%-(L982-O982)*9.25%-L982*3%-L982*3%-1)</f>
        <v/>
      </c>
      <c r="Q982" s="58" t="n">
        <v>0.475</v>
      </c>
      <c r="R982" s="54" t="inlineStr">
        <is>
          <t>478840979931317, 484945860710786</t>
        </is>
      </c>
      <c r="S982" s="59" t="n">
        <v>46227.73958333334</v>
      </c>
      <c r="T982" s="59" t="n">
        <v>46248.99930555555</v>
      </c>
      <c r="U982" s="54" t="n">
        <v>101220</v>
      </c>
      <c r="W982" t="inlineStr">
        <is>
          <t>sem correspondência</t>
        </is>
      </c>
      <c r="Y982" t="inlineStr"/>
    </row>
    <row r="983" ht="18" customHeight="1">
      <c r="A983" s="60" t="inlineStr">
        <is>
          <t>Donacor</t>
        </is>
      </c>
      <c r="B983" s="60" t="inlineStr">
        <is>
          <t>Conjunto Potes de Vidro 640ml Hermético + Balança Corporal Transparente</t>
        </is>
      </c>
      <c r="C983" s="60" t="inlineStr">
        <is>
          <t>AZUL,10 POTES 640ML + BALANÇA</t>
        </is>
      </c>
      <c r="D983" s="60" t="inlineStr">
        <is>
          <t>KIT-10UN-POTES640ML-AZUL-BALANÇA-CORPORAL</t>
        </is>
      </c>
      <c r="E983" s="60" t="n">
        <v>52604348221</v>
      </c>
      <c r="F983" s="60" t="n">
        <v>277319725066</v>
      </c>
      <c r="G983" s="60" t="inlineStr">
        <is>
          <t>NORMAL</t>
        </is>
      </c>
      <c r="H983" s="91" t="n">
        <v>299.9</v>
      </c>
      <c r="I983" s="91" t="n">
        <v>184.9</v>
      </c>
      <c r="J983" s="65" t="inlineStr">
        <is>
          <t>SIM</t>
        </is>
      </c>
      <c r="K983" s="91" t="n">
        <v>184.9</v>
      </c>
      <c r="L983" s="87" t="n">
        <v>184.9</v>
      </c>
      <c r="P983" s="92">
        <f>IF($O983="","",L983-O983-(L983*IF(L983&lt;=79.99,20%,14%)+IF(L983&lt;=79.99,4,IF(L983&lt;=99.99,16,IF(L983&lt;=199.99,20,IF(L983&lt;=499.99,26,28)))))-L983*1.3%-L983*6%-(L983-O983)*9.25%-L983*3%-L983*3%-1)</f>
        <v/>
      </c>
      <c r="Q983" s="67" t="n">
        <v>0.383</v>
      </c>
      <c r="R983" s="60" t="inlineStr">
        <is>
          <t>478840979931317, 484945860710786</t>
        </is>
      </c>
      <c r="S983" s="68" t="n">
        <v>46227.73958333334</v>
      </c>
      <c r="T983" s="68" t="n">
        <v>46248.99930555555</v>
      </c>
      <c r="U983" s="60" t="n">
        <v>101220</v>
      </c>
      <c r="W983" t="inlineStr">
        <is>
          <t>sem correspondência</t>
        </is>
      </c>
      <c r="Y983" t="inlineStr"/>
    </row>
    <row r="984" ht="18" customHeight="1">
      <c r="A984" s="54" t="inlineStr">
        <is>
          <t>Donacor</t>
        </is>
      </c>
      <c r="B984" s="54" t="inlineStr">
        <is>
          <t>Conjunto Potes de Vidro 640ml Hermético + Balança Corporal Transparente</t>
        </is>
      </c>
      <c r="C984" s="54" t="inlineStr">
        <is>
          <t>AZUL,5 POTES 640ML + BALANÇA</t>
        </is>
      </c>
      <c r="D984" s="54" t="inlineStr">
        <is>
          <t>KIT-5UN-POTES640ML-AZUL-BALANÇA-CORPORAL</t>
        </is>
      </c>
      <c r="E984" s="54" t="n">
        <v>52604348221</v>
      </c>
      <c r="F984" s="54" t="n">
        <v>277319725065</v>
      </c>
      <c r="G984" s="54" t="inlineStr">
        <is>
          <t>NORMAL</t>
        </is>
      </c>
      <c r="H984" s="86" t="n">
        <v>229.9</v>
      </c>
      <c r="I984" s="86" t="n">
        <v>119.9</v>
      </c>
      <c r="J984" s="56" t="inlineStr">
        <is>
          <t>SIM</t>
        </is>
      </c>
      <c r="K984" s="86" t="n">
        <v>119.9</v>
      </c>
      <c r="L984" s="87" t="n">
        <v>119.9</v>
      </c>
      <c r="P984" s="90">
        <f>IF($O984="","",L984-O984-(L984*IF(L984&lt;=79.99,20%,14%)+IF(L984&lt;=79.99,4,IF(L984&lt;=99.99,16,IF(L984&lt;=199.99,20,IF(L984&lt;=499.99,26,28)))))-L984*1.3%-L984*6%-(L984-O984)*9.25%-L984*3%-L984*3%-1)</f>
        <v/>
      </c>
      <c r="Q984" s="58" t="n">
        <v>0.478</v>
      </c>
      <c r="R984" s="54" t="inlineStr">
        <is>
          <t>478840979931317, 484945860710786</t>
        </is>
      </c>
      <c r="S984" s="59" t="n">
        <v>46227.73958333334</v>
      </c>
      <c r="T984" s="59" t="n">
        <v>46248.99930555555</v>
      </c>
      <c r="U984" s="54" t="n">
        <v>101220</v>
      </c>
      <c r="W984" t="inlineStr">
        <is>
          <t>sem correspondência</t>
        </is>
      </c>
      <c r="Y984" t="inlineStr"/>
    </row>
    <row r="985" ht="18" customHeight="1">
      <c r="A985" s="60" t="inlineStr">
        <is>
          <t>Donacor</t>
        </is>
      </c>
      <c r="B985" s="60" t="inlineStr">
        <is>
          <t>Conjunto Potes de Vidro 640ml Hermético + Balança Corporal Transparente</t>
        </is>
      </c>
      <c r="C985" s="60" t="inlineStr">
        <is>
          <t>BRANCO,10 POTES 640ML + BALANÇA</t>
        </is>
      </c>
      <c r="D985" s="60" t="inlineStr">
        <is>
          <t>KIT-10UN-POTES640ML-BRANCO-BALANÇA-CORPORAL</t>
        </is>
      </c>
      <c r="E985" s="60" t="n">
        <v>52604348221</v>
      </c>
      <c r="F985" s="60" t="n">
        <v>277319725070</v>
      </c>
      <c r="G985" s="60" t="inlineStr">
        <is>
          <t>NORMAL</t>
        </is>
      </c>
      <c r="H985" s="91" t="n">
        <v>299.9</v>
      </c>
      <c r="I985" s="91" t="n">
        <v>184.9</v>
      </c>
      <c r="J985" s="65" t="inlineStr">
        <is>
          <t>SIM</t>
        </is>
      </c>
      <c r="K985" s="91" t="n">
        <v>184.9</v>
      </c>
      <c r="L985" s="87" t="n">
        <v>184.9</v>
      </c>
      <c r="P985" s="92">
        <f>IF($O985="","",L985-O985-(L985*IF(L985&lt;=79.99,20%,14%)+IF(L985&lt;=79.99,4,IF(L985&lt;=99.99,16,IF(L985&lt;=199.99,20,IF(L985&lt;=499.99,26,28)))))-L985*1.3%-L985*6%-(L985-O985)*9.25%-L985*3%-L985*3%-1)</f>
        <v/>
      </c>
      <c r="Q985" s="67" t="n">
        <v>0.383</v>
      </c>
      <c r="R985" s="60" t="inlineStr">
        <is>
          <t>478840979931317, 484945860710786</t>
        </is>
      </c>
      <c r="S985" s="68" t="n">
        <v>46227.73958333334</v>
      </c>
      <c r="T985" s="68" t="n">
        <v>46248.99930555555</v>
      </c>
      <c r="U985" s="60" t="n">
        <v>101220</v>
      </c>
      <c r="W985" t="inlineStr">
        <is>
          <t>sem correspondência</t>
        </is>
      </c>
      <c r="Y985" t="inlineStr"/>
    </row>
    <row r="986" ht="18" customHeight="1">
      <c r="A986" s="54" t="inlineStr">
        <is>
          <t>Donacor</t>
        </is>
      </c>
      <c r="B986" s="54" t="inlineStr">
        <is>
          <t>Conjunto Potes de Vidro 640ml Hermético + Balança Corporal Transparente</t>
        </is>
      </c>
      <c r="C986" s="54" t="inlineStr">
        <is>
          <t>BRANCO,5 POTES 640ML + BALANÇA</t>
        </is>
      </c>
      <c r="D986" s="54" t="inlineStr">
        <is>
          <t>KIT-5UN-POTES640ML-BRANCO-BALANÇA-CORPORAL</t>
        </is>
      </c>
      <c r="E986" s="54" t="n">
        <v>52604348221</v>
      </c>
      <c r="F986" s="54" t="n">
        <v>277319725069</v>
      </c>
      <c r="G986" s="54" t="inlineStr">
        <is>
          <t>NORMAL</t>
        </is>
      </c>
      <c r="H986" s="86" t="n">
        <v>229.9</v>
      </c>
      <c r="I986" s="86" t="n">
        <v>119.9</v>
      </c>
      <c r="J986" s="56" t="inlineStr">
        <is>
          <t>SIM</t>
        </is>
      </c>
      <c r="K986" s="86" t="n">
        <v>119.9</v>
      </c>
      <c r="L986" s="87" t="n">
        <v>119.9</v>
      </c>
      <c r="P986" s="90">
        <f>IF($O986="","",L986-O986-(L986*IF(L986&lt;=79.99,20%,14%)+IF(L986&lt;=79.99,4,IF(L986&lt;=99.99,16,IF(L986&lt;=199.99,20,IF(L986&lt;=499.99,26,28)))))-L986*1.3%-L986*6%-(L986-O986)*9.25%-L986*3%-L986*3%-1)</f>
        <v/>
      </c>
      <c r="Q986" s="58" t="n">
        <v>0.478</v>
      </c>
      <c r="R986" s="54" t="inlineStr">
        <is>
          <t>484945860710786, 478840979931317</t>
        </is>
      </c>
      <c r="S986" s="59" t="n">
        <v>46227.73958333334</v>
      </c>
      <c r="T986" s="59" t="n">
        <v>46248.99930555555</v>
      </c>
      <c r="U986" s="54" t="n">
        <v>101220</v>
      </c>
      <c r="W986" t="inlineStr">
        <is>
          <t>sem correspondência</t>
        </is>
      </c>
      <c r="Y986" t="inlineStr"/>
    </row>
    <row r="987" ht="18" customHeight="1">
      <c r="A987" s="60" t="inlineStr">
        <is>
          <t>Donacor</t>
        </is>
      </c>
      <c r="B987" s="60" t="inlineStr">
        <is>
          <t>Conjunto Potes de Vidro 640ml Hermético + Balança Corporal Transparente</t>
        </is>
      </c>
      <c r="C987" s="60" t="inlineStr">
        <is>
          <t>SORTIDO,10 POTES 640ML + BALANÇA</t>
        </is>
      </c>
      <c r="D987" s="60" t="inlineStr">
        <is>
          <t>KIT-10UN-POTES640ML-SORTIDO-BALANÇA-CORPORAL</t>
        </is>
      </c>
      <c r="E987" s="60" t="n">
        <v>52604348221</v>
      </c>
      <c r="F987" s="60" t="n">
        <v>277319725074</v>
      </c>
      <c r="G987" s="60" t="inlineStr">
        <is>
          <t>NORMAL</t>
        </is>
      </c>
      <c r="H987" s="91" t="n">
        <v>299.9</v>
      </c>
      <c r="I987" s="91" t="n">
        <v>184.9</v>
      </c>
      <c r="J987" s="65" t="inlineStr">
        <is>
          <t>SIM</t>
        </is>
      </c>
      <c r="K987" s="91" t="n">
        <v>184.9</v>
      </c>
      <c r="L987" s="87" t="n">
        <v>184.9</v>
      </c>
      <c r="P987" s="92">
        <f>IF($O987="","",L987-O987-(L987*IF(L987&lt;=79.99,20%,14%)+IF(L987&lt;=79.99,4,IF(L987&lt;=99.99,16,IF(L987&lt;=199.99,20,IF(L987&lt;=499.99,26,28)))))-L987*1.3%-L987*6%-(L987-O987)*9.25%-L987*3%-L987*3%-1)</f>
        <v/>
      </c>
      <c r="Q987" s="67" t="n">
        <v>0.383</v>
      </c>
      <c r="R987" s="60" t="inlineStr">
        <is>
          <t>478840979931317, 484945860710786</t>
        </is>
      </c>
      <c r="S987" s="68" t="n">
        <v>46227.73958333334</v>
      </c>
      <c r="T987" s="68" t="n">
        <v>46248.99930555555</v>
      </c>
      <c r="U987" s="60" t="n">
        <v>101220</v>
      </c>
      <c r="W987" t="inlineStr">
        <is>
          <t>sem correspondência</t>
        </is>
      </c>
      <c r="Y987" t="inlineStr"/>
    </row>
    <row r="988" ht="18" customHeight="1">
      <c r="A988" s="54" t="inlineStr">
        <is>
          <t>Donacor</t>
        </is>
      </c>
      <c r="B988" s="54" t="inlineStr">
        <is>
          <t>Conjunto Potes de Vidro 640ml Hermético + Balança Corporal Transparente</t>
        </is>
      </c>
      <c r="C988" s="54" t="inlineStr">
        <is>
          <t>SORTIDO,5 POTES 640ML + BALANÇA</t>
        </is>
      </c>
      <c r="D988" s="54" t="inlineStr">
        <is>
          <t>KIT-5UN-POTES640ML-SORTIDO-BALANÇA-CORPORAL</t>
        </is>
      </c>
      <c r="E988" s="54" t="n">
        <v>52604348221</v>
      </c>
      <c r="F988" s="54" t="n">
        <v>277319725073</v>
      </c>
      <c r="G988" s="54" t="inlineStr">
        <is>
          <t>NORMAL</t>
        </is>
      </c>
      <c r="H988" s="86" t="n">
        <v>229.9</v>
      </c>
      <c r="I988" s="86" t="n">
        <v>119.9</v>
      </c>
      <c r="J988" s="56" t="inlineStr">
        <is>
          <t>SIM</t>
        </is>
      </c>
      <c r="K988" s="86" t="n">
        <v>119.9</v>
      </c>
      <c r="L988" s="87" t="n">
        <v>119.9</v>
      </c>
      <c r="P988" s="90">
        <f>IF($O988="","",L988-O988-(L988*IF(L988&lt;=79.99,20%,14%)+IF(L988&lt;=79.99,4,IF(L988&lt;=99.99,16,IF(L988&lt;=199.99,20,IF(L988&lt;=499.99,26,28)))))-L988*1.3%-L988*6%-(L988-O988)*9.25%-L988*3%-L988*3%-1)</f>
        <v/>
      </c>
      <c r="Q988" s="58" t="n">
        <v>0.478</v>
      </c>
      <c r="R988" s="54" t="inlineStr">
        <is>
          <t>478840979931317, 484945860710786</t>
        </is>
      </c>
      <c r="S988" s="59" t="n">
        <v>46227.73958333334</v>
      </c>
      <c r="T988" s="59" t="n">
        <v>46248.99930555555</v>
      </c>
      <c r="U988" s="54" t="n">
        <v>101220</v>
      </c>
      <c r="W988" t="inlineStr">
        <is>
          <t>sem correspondência</t>
        </is>
      </c>
      <c r="Y988" t="inlineStr"/>
    </row>
    <row r="989" ht="18" customHeight="1">
      <c r="A989" s="60" t="inlineStr">
        <is>
          <t>Donacor</t>
        </is>
      </c>
      <c r="B989" s="60" t="inlineStr">
        <is>
          <t>Cueca Boxer Long Leg 674 Antiassadura Micromodal Sem Costura Plus Original</t>
        </is>
      </c>
      <c r="C989" s="60" t="inlineStr">
        <is>
          <t>Preto,G</t>
        </is>
      </c>
      <c r="D989" s="60" t="inlineStr">
        <is>
          <t>CUECA-BOX-LONG-LEG-PRETA-G</t>
        </is>
      </c>
      <c r="E989" s="60" t="n">
        <v>45307349171</v>
      </c>
      <c r="F989" s="60" t="n">
        <v>330652899890</v>
      </c>
      <c r="G989" s="60" t="inlineStr">
        <is>
          <t>NORMAL</t>
        </is>
      </c>
      <c r="H989" s="91" t="n">
        <v>109.9</v>
      </c>
      <c r="I989" s="91" t="n">
        <v>109.9</v>
      </c>
      <c r="J989" s="62" t="inlineStr">
        <is>
          <t>NÃO</t>
        </is>
      </c>
      <c r="K989" s="60" t="inlineStr">
        <is>
          <t> </t>
        </is>
      </c>
      <c r="L989" s="87" t="n">
        <v>109.9</v>
      </c>
      <c r="M989" s="88" t="n">
        <v>1</v>
      </c>
      <c r="N989" s="89" t="n">
        <v>29.04</v>
      </c>
      <c r="O989" s="89">
        <f>ROUND(M989*N989,2)</f>
        <v/>
      </c>
      <c r="P989" s="92">
        <f>IF($O989="","",L989-O989-(L989*IF(L989&lt;=79.99,20%,14%)+IF(L989&lt;=79.99,4,IF(L989&lt;=99.99,16,IF(L989&lt;=199.99,20,IF(L989&lt;=499.99,26,28)))))-L989*1.3%-L989*6%-(L989-O989)*9.25%-L989*3%-L989*3%-1)</f>
        <v/>
      </c>
      <c r="Q989" s="60" t="inlineStr">
        <is>
          <t> </t>
        </is>
      </c>
      <c r="R989" s="60" t="inlineStr">
        <is>
          <t> </t>
        </is>
      </c>
      <c r="S989" s="60" t="inlineStr">
        <is>
          <t> </t>
        </is>
      </c>
      <c r="T989" s="60" t="inlineStr">
        <is>
          <t> </t>
        </is>
      </c>
      <c r="U989" s="60" t="n">
        <v>100247</v>
      </c>
      <c r="V989" t="inlineStr">
        <is>
          <t>215418</t>
        </is>
      </c>
      <c r="W989" t="inlineStr">
        <is>
          <t>herdado do anúncio</t>
        </is>
      </c>
      <c r="Y989" t="inlineStr">
        <is>
          <t>ok</t>
        </is>
      </c>
    </row>
    <row r="990" ht="18" customHeight="1">
      <c r="A990" s="54" t="inlineStr">
        <is>
          <t>Donacor</t>
        </is>
      </c>
      <c r="B990" s="54" t="inlineStr">
        <is>
          <t>Cueca Boxer Long Leg 674 Antiassadura Micromodal Sem Costura Plus Original</t>
        </is>
      </c>
      <c r="C990" s="54" t="inlineStr">
        <is>
          <t>Preto,GG</t>
        </is>
      </c>
      <c r="D990" s="54" t="inlineStr">
        <is>
          <t>CUECA-BOX-LONG-LEG-PRETA-GG</t>
        </is>
      </c>
      <c r="E990" s="54" t="n">
        <v>45307349171</v>
      </c>
      <c r="F990" s="54" t="n">
        <v>330652899891</v>
      </c>
      <c r="G990" s="54" t="inlineStr">
        <is>
          <t>NORMAL</t>
        </is>
      </c>
      <c r="H990" s="86" t="n">
        <v>109.9</v>
      </c>
      <c r="I990" s="86" t="n">
        <v>109.9</v>
      </c>
      <c r="J990" s="69" t="inlineStr">
        <is>
          <t>NÃO</t>
        </is>
      </c>
      <c r="K990" s="54" t="n"/>
      <c r="L990" s="87" t="n">
        <v>109.9</v>
      </c>
      <c r="M990" s="88" t="n">
        <v>1</v>
      </c>
      <c r="N990" s="89" t="n">
        <v>29.04</v>
      </c>
      <c r="O990" s="89">
        <f>ROUND(M990*N990,2)</f>
        <v/>
      </c>
      <c r="P990" s="90">
        <f>IF($O990="","",L990-O990-(L990*IF(L990&lt;=79.99,20%,14%)+IF(L990&lt;=79.99,4,IF(L990&lt;=99.99,16,IF(L990&lt;=199.99,20,IF(L990&lt;=499.99,26,28)))))-L990*1.3%-L990*6%-(L990-O990)*9.25%-L990*3%-L990*3%-1)</f>
        <v/>
      </c>
      <c r="Q990" s="54">
        <f>IF(AND(K990&lt;&gt;"",H990&gt;0),(H990-K990)/H990,"")</f>
        <v/>
      </c>
      <c r="R990" s="54" t="n"/>
      <c r="S990" s="54" t="n"/>
      <c r="T990" s="54" t="n"/>
      <c r="U990" s="54" t="n">
        <v>100247</v>
      </c>
      <c r="V990" t="inlineStr">
        <is>
          <t>215418</t>
        </is>
      </c>
      <c r="W990" t="inlineStr">
        <is>
          <t>venda casada (1 pedido)</t>
        </is>
      </c>
      <c r="X990" t="n">
        <v>1</v>
      </c>
      <c r="Y990" t="inlineStr">
        <is>
          <t>⚠ evidência fraca (1 pedido)</t>
        </is>
      </c>
    </row>
    <row r="991" ht="18" customHeight="1">
      <c r="A991" s="60" t="inlineStr">
        <is>
          <t>Donacor</t>
        </is>
      </c>
      <c r="B991" s="60" t="inlineStr">
        <is>
          <t>Cueca Boxer Long Leg 674 Antiassadura Micromodal Sem Costura Plus Original</t>
        </is>
      </c>
      <c r="C991" s="60" t="inlineStr">
        <is>
          <t>Preto,M</t>
        </is>
      </c>
      <c r="D991" s="60" t="inlineStr">
        <is>
          <t>CUECA-BOX-LONG-LEG-PRETA-M</t>
        </is>
      </c>
      <c r="E991" s="60" t="n">
        <v>45307349171</v>
      </c>
      <c r="F991" s="60" t="n">
        <v>330652899889</v>
      </c>
      <c r="G991" s="60" t="inlineStr">
        <is>
          <t>NORMAL</t>
        </is>
      </c>
      <c r="H991" s="91" t="n">
        <v>109.9</v>
      </c>
      <c r="I991" s="91" t="n">
        <v>109.9</v>
      </c>
      <c r="J991" s="62" t="inlineStr">
        <is>
          <t>NÃO</t>
        </is>
      </c>
      <c r="K991" s="60" t="inlineStr">
        <is>
          <t> </t>
        </is>
      </c>
      <c r="L991" s="87" t="n">
        <v>109.9</v>
      </c>
      <c r="M991" s="88" t="n">
        <v>1</v>
      </c>
      <c r="N991" s="89" t="n">
        <v>29.04</v>
      </c>
      <c r="O991" s="89">
        <f>ROUND(M991*N991,2)</f>
        <v/>
      </c>
      <c r="P991" s="92">
        <f>IF($O991="","",L991-O991-(L991*IF(L991&lt;=79.99,20%,14%)+IF(L991&lt;=79.99,4,IF(L991&lt;=99.99,16,IF(L991&lt;=199.99,20,IF(L991&lt;=499.99,26,28)))))-L991*1.3%-L991*6%-(L991-O991)*9.25%-L991*3%-L991*3%-1)</f>
        <v/>
      </c>
      <c r="Q991" s="60" t="inlineStr">
        <is>
          <t> </t>
        </is>
      </c>
      <c r="R991" s="60" t="inlineStr">
        <is>
          <t> </t>
        </is>
      </c>
      <c r="S991" s="60" t="inlineStr">
        <is>
          <t> </t>
        </is>
      </c>
      <c r="T991" s="60" t="inlineStr">
        <is>
          <t> </t>
        </is>
      </c>
      <c r="U991" s="60" t="n">
        <v>100247</v>
      </c>
      <c r="V991" t="inlineStr">
        <is>
          <t>215418</t>
        </is>
      </c>
      <c r="W991" t="inlineStr">
        <is>
          <t>herdado do anúncio</t>
        </is>
      </c>
      <c r="Y991" t="inlineStr">
        <is>
          <t>ok</t>
        </is>
      </c>
    </row>
    <row r="992" ht="18" customHeight="1">
      <c r="A992" s="54" t="inlineStr">
        <is>
          <t>Donacor</t>
        </is>
      </c>
      <c r="B992" s="54" t="inlineStr">
        <is>
          <t>Cueca Boxer Long Leg 674 Antiassadura Micromodal Sem Costura Plus Original</t>
        </is>
      </c>
      <c r="C992" s="54" t="inlineStr">
        <is>
          <t>Preto,P</t>
        </is>
      </c>
      <c r="D992" s="54" t="inlineStr">
        <is>
          <t>CUECA-BOX-LONG-LEG-PRETA-P</t>
        </is>
      </c>
      <c r="E992" s="54" t="n">
        <v>45307349171</v>
      </c>
      <c r="F992" s="54" t="n">
        <v>330652899888</v>
      </c>
      <c r="G992" s="54" t="inlineStr">
        <is>
          <t>NORMAL</t>
        </is>
      </c>
      <c r="H992" s="86" t="n">
        <v>109.9</v>
      </c>
      <c r="I992" s="86" t="n">
        <v>109.9</v>
      </c>
      <c r="J992" s="69" t="inlineStr">
        <is>
          <t>NÃO</t>
        </is>
      </c>
      <c r="K992" s="54" t="n"/>
      <c r="L992" s="87" t="n">
        <v>109.9</v>
      </c>
      <c r="M992" s="88" t="n">
        <v>1</v>
      </c>
      <c r="N992" s="89" t="n">
        <v>29.04</v>
      </c>
      <c r="O992" s="89">
        <f>ROUND(M992*N992,2)</f>
        <v/>
      </c>
      <c r="P992" s="90">
        <f>IF($O992="","",L992-O992-(L992*IF(L992&lt;=79.99,20%,14%)+IF(L992&lt;=79.99,4,IF(L992&lt;=99.99,16,IF(L992&lt;=199.99,20,IF(L992&lt;=499.99,26,28)))))-L992*1.3%-L992*6%-(L992-O992)*9.25%-L992*3%-L992*3%-1)</f>
        <v/>
      </c>
      <c r="Q992" s="54">
        <f>IF(AND(K992&lt;&gt;"",H992&gt;0),(H992-K992)/H992,"")</f>
        <v/>
      </c>
      <c r="R992" s="54" t="n"/>
      <c r="S992" s="54" t="n"/>
      <c r="T992" s="54" t="n"/>
      <c r="U992" s="54" t="n">
        <v>100247</v>
      </c>
      <c r="V992" t="inlineStr">
        <is>
          <t>215418</t>
        </is>
      </c>
      <c r="W992" t="inlineStr">
        <is>
          <t>herdado do anúncio</t>
        </is>
      </c>
      <c r="Y992" t="inlineStr">
        <is>
          <t>ok</t>
        </is>
      </c>
    </row>
    <row r="993" ht="18" customHeight="1">
      <c r="A993" s="60" t="inlineStr">
        <is>
          <t>Donacor</t>
        </is>
      </c>
      <c r="B993" s="60" t="inlineStr">
        <is>
          <t>Cueca Boxer Long Leg 674 Antiassadura Micromodal Sem Costura Plus Original</t>
        </is>
      </c>
      <c r="C993" s="60" t="inlineStr">
        <is>
          <t>Preto,XG</t>
        </is>
      </c>
      <c r="D993" s="60" t="inlineStr">
        <is>
          <t>CUECA-BOX-LONG-LEG-PRETA-XG</t>
        </is>
      </c>
      <c r="E993" s="60" t="n">
        <v>45307349171</v>
      </c>
      <c r="F993" s="60" t="n">
        <v>330652899892</v>
      </c>
      <c r="G993" s="60" t="inlineStr">
        <is>
          <t>NORMAL</t>
        </is>
      </c>
      <c r="H993" s="91" t="n">
        <v>109.9</v>
      </c>
      <c r="I993" s="91" t="n">
        <v>109.9</v>
      </c>
      <c r="J993" s="62" t="inlineStr">
        <is>
          <t>NÃO</t>
        </is>
      </c>
      <c r="K993" s="60" t="inlineStr">
        <is>
          <t> </t>
        </is>
      </c>
      <c r="L993" s="87" t="n">
        <v>109.9</v>
      </c>
      <c r="M993" s="88" t="n">
        <v>1</v>
      </c>
      <c r="N993" s="89" t="n">
        <v>29.04</v>
      </c>
      <c r="O993" s="89">
        <f>ROUND(M993*N993,2)</f>
        <v/>
      </c>
      <c r="P993" s="92">
        <f>IF($O993="","",L993-O993-(L993*IF(L993&lt;=79.99,20%,14%)+IF(L993&lt;=79.99,4,IF(L993&lt;=99.99,16,IF(L993&lt;=199.99,20,IF(L993&lt;=499.99,26,28)))))-L993*1.3%-L993*6%-(L993-O993)*9.25%-L993*3%-L993*3%-1)</f>
        <v/>
      </c>
      <c r="Q993" s="60" t="inlineStr">
        <is>
          <t> </t>
        </is>
      </c>
      <c r="R993" s="60" t="inlineStr">
        <is>
          <t> </t>
        </is>
      </c>
      <c r="S993" s="60" t="inlineStr">
        <is>
          <t> </t>
        </is>
      </c>
      <c r="T993" s="60" t="inlineStr">
        <is>
          <t> </t>
        </is>
      </c>
      <c r="U993" s="60" t="n">
        <v>100247</v>
      </c>
      <c r="V993" t="inlineStr">
        <is>
          <t>215418</t>
        </is>
      </c>
      <c r="W993" t="inlineStr">
        <is>
          <t>herdado do anúncio</t>
        </is>
      </c>
      <c r="Y993" t="inlineStr">
        <is>
          <t>ok</t>
        </is>
      </c>
    </row>
    <row r="994" ht="18" customHeight="1">
      <c r="A994" s="54" t="inlineStr">
        <is>
          <t>Donacor</t>
        </is>
      </c>
      <c r="B994" s="54" t="inlineStr">
        <is>
          <t>DERATOPIC DOG TABS 54G</t>
        </is>
      </c>
      <c r="C994" s="54" t="inlineStr">
        <is>
          <t>Sem variação</t>
        </is>
      </c>
      <c r="D994" s="54" t="n">
        <v>723</v>
      </c>
      <c r="E994" s="54" t="n">
        <v>18497686139</v>
      </c>
      <c r="F994" s="54" t="n">
        <v>0</v>
      </c>
      <c r="G994" s="54" t="inlineStr">
        <is>
          <t>NORMAL</t>
        </is>
      </c>
      <c r="H994" s="86" t="n">
        <v>169.8</v>
      </c>
      <c r="I994" s="86" t="n">
        <v>169.8</v>
      </c>
      <c r="J994" s="69" t="inlineStr">
        <is>
          <t>NÃO</t>
        </is>
      </c>
      <c r="K994" s="54" t="n"/>
      <c r="L994" s="87" t="n">
        <v>169.8</v>
      </c>
      <c r="P994" s="90">
        <f>IF($O994="","",L994-O994-(L994*IF(L994&lt;=79.99,20%,14%)+IF(L994&lt;=79.99,4,IF(L994&lt;=99.99,16,IF(L994&lt;=199.99,20,IF(L994&lt;=499.99,26,28)))))-L994*1.3%-L994*6%-(L994-O994)*9.25%-L994*3%-L994*3%-1)</f>
        <v/>
      </c>
      <c r="Q994" s="54">
        <f>IF(AND(K994&lt;&gt;"",H994&gt;0),(H994-K994)/H994,"")</f>
        <v/>
      </c>
      <c r="R994" s="54" t="n"/>
      <c r="S994" s="54" t="n"/>
      <c r="T994" s="54" t="n"/>
      <c r="U994" s="54" t="n">
        <v>100944</v>
      </c>
      <c r="W994" t="inlineStr">
        <is>
          <t>sem correspondência</t>
        </is>
      </c>
      <c r="Y994" t="inlineStr"/>
    </row>
    <row r="995" ht="18" customHeight="1">
      <c r="A995" s="60" t="inlineStr">
        <is>
          <t>Donacor</t>
        </is>
      </c>
      <c r="B995" s="60" t="inlineStr">
        <is>
          <t>Desinfetante Pet 1 Litro Chemitec</t>
        </is>
      </c>
      <c r="C995" s="60" t="inlineStr">
        <is>
          <t>Sem variação</t>
        </is>
      </c>
      <c r="D995" s="60" t="inlineStr">
        <is>
          <t>DESINFETANTE-1L</t>
        </is>
      </c>
      <c r="E995" s="60" t="n">
        <v>22593010975</v>
      </c>
      <c r="F995" s="60" t="n">
        <v>0</v>
      </c>
      <c r="G995" s="60" t="inlineStr">
        <is>
          <t>NORMAL</t>
        </is>
      </c>
      <c r="H995" s="91" t="n">
        <v>59.9</v>
      </c>
      <c r="I995" s="91" t="n">
        <v>59.9</v>
      </c>
      <c r="J995" s="62" t="inlineStr">
        <is>
          <t>NÃO</t>
        </is>
      </c>
      <c r="K995" s="60" t="inlineStr">
        <is>
          <t> </t>
        </is>
      </c>
      <c r="L995" s="87" t="n">
        <v>59.9</v>
      </c>
      <c r="P995" s="92">
        <f>IF($O995="","",L995-O995-(L995*IF(L995&lt;=79.99,20%,14%)+IF(L995&lt;=79.99,4,IF(L995&lt;=99.99,16,IF(L995&lt;=199.99,20,IF(L995&lt;=499.99,26,28)))))-L995*1.3%-L995*6%-(L995-O995)*9.25%-L995*3%-L995*3%-1)</f>
        <v/>
      </c>
      <c r="Q995" s="60" t="inlineStr">
        <is>
          <t> </t>
        </is>
      </c>
      <c r="R995" s="60" t="inlineStr">
        <is>
          <t> </t>
        </is>
      </c>
      <c r="S995" s="60" t="inlineStr">
        <is>
          <t> </t>
        </is>
      </c>
      <c r="T995" s="60" t="inlineStr">
        <is>
          <t> </t>
        </is>
      </c>
      <c r="U995" s="60" t="n">
        <v>101213</v>
      </c>
      <c r="W995" t="inlineStr">
        <is>
          <t>sem correspondência</t>
        </is>
      </c>
      <c r="Y995" t="inlineStr"/>
    </row>
    <row r="996" ht="18" customHeight="1">
      <c r="A996" s="54" t="inlineStr">
        <is>
          <t>Donacor</t>
        </is>
      </c>
      <c r="B996" s="54" t="inlineStr">
        <is>
          <t>DUPRACOR C 100ML</t>
        </is>
      </c>
      <c r="C996" s="54" t="inlineStr">
        <is>
          <t>Sem variação</t>
        </is>
      </c>
      <c r="D996" s="54" t="inlineStr">
        <is>
          <t>0636_2</t>
        </is>
      </c>
      <c r="E996" s="54" t="n">
        <v>23397507278</v>
      </c>
      <c r="F996" s="54" t="n">
        <v>0</v>
      </c>
      <c r="G996" s="54" t="inlineStr">
        <is>
          <t>NORMAL</t>
        </is>
      </c>
      <c r="H996" s="86" t="n">
        <v>107.8</v>
      </c>
      <c r="I996" s="86" t="n">
        <v>107.8</v>
      </c>
      <c r="J996" s="69" t="inlineStr">
        <is>
          <t>NÃO</t>
        </is>
      </c>
      <c r="K996" s="54" t="n"/>
      <c r="L996" s="87" t="n">
        <v>107.8</v>
      </c>
      <c r="P996" s="90">
        <f>IF($O996="","",L996-O996-(L996*IF(L996&lt;=79.99,20%,14%)+IF(L996&lt;=79.99,4,IF(L996&lt;=99.99,16,IF(L996&lt;=199.99,20,IF(L996&lt;=499.99,26,28)))))-L996*1.3%-L996*6%-(L996-O996)*9.25%-L996*3%-L996*3%-1)</f>
        <v/>
      </c>
      <c r="Q996" s="54">
        <f>IF(AND(K996&lt;&gt;"",H996&gt;0),(H996-K996)/H996,"")</f>
        <v/>
      </c>
      <c r="R996" s="54" t="n"/>
      <c r="S996" s="54" t="n"/>
      <c r="T996" s="54" t="n"/>
      <c r="U996" s="54" t="n">
        <v>100944</v>
      </c>
      <c r="W996" t="inlineStr">
        <is>
          <t>sem correspondência</t>
        </is>
      </c>
      <c r="Y996" t="inlineStr"/>
    </row>
    <row r="997" ht="18" customHeight="1">
      <c r="A997" s="60" t="inlineStr">
        <is>
          <t>Donacor</t>
        </is>
      </c>
      <c r="B997" s="60" t="inlineStr">
        <is>
          <t>Escorredor De Louça Suspenso Aço Inoxidável Organizador Louça Preto 65cm</t>
        </is>
      </c>
      <c r="C997" s="60" t="inlineStr">
        <is>
          <t>Modelo 1</t>
        </is>
      </c>
      <c r="D997" s="60" t="inlineStr">
        <is>
          <t>ESCORREDOR-SUSPENSO-65CM</t>
        </is>
      </c>
      <c r="E997" s="60" t="n">
        <v>26691455442</v>
      </c>
      <c r="F997" s="60" t="n">
        <v>248888134571</v>
      </c>
      <c r="G997" s="60" t="inlineStr">
        <is>
          <t>NORMAL</t>
        </is>
      </c>
      <c r="H997" s="91" t="n">
        <v>179.9</v>
      </c>
      <c r="I997" s="91" t="n">
        <v>74.90000000000001</v>
      </c>
      <c r="J997" s="65" t="inlineStr">
        <is>
          <t>SIM</t>
        </is>
      </c>
      <c r="K997" s="91" t="n">
        <v>74.90000000000001</v>
      </c>
      <c r="L997" s="87" t="n">
        <v>74.90000000000001</v>
      </c>
      <c r="M997" s="88" t="n">
        <v>1</v>
      </c>
      <c r="N997" s="89" t="n">
        <v>51.63</v>
      </c>
      <c r="O997" s="89">
        <f>ROUND(M997*N997,2)</f>
        <v/>
      </c>
      <c r="P997" s="92">
        <f>IF($O997="","",L997-O997-(L997*IF(L997&lt;=79.99,20%,14%)+IF(L997&lt;=79.99,4,IF(L997&lt;=99.99,16,IF(L997&lt;=199.99,20,IF(L997&lt;=499.99,26,28)))))-L997*1.3%-L997*6%-(L997-O997)*9.25%-L997*3%-L997*3%-1)</f>
        <v/>
      </c>
      <c r="Q997" s="67" t="n">
        <v>0.584</v>
      </c>
      <c r="R997" s="60" t="inlineStr">
        <is>
          <t>478840979931317, 484945860710786</t>
        </is>
      </c>
      <c r="S997" s="68" t="n">
        <v>46227.73958333334</v>
      </c>
      <c r="T997" s="68" t="n">
        <v>46248.99930555555</v>
      </c>
      <c r="U997" s="60" t="n">
        <v>101224</v>
      </c>
      <c r="V997" t="inlineStr">
        <is>
          <t>214030</t>
        </is>
      </c>
      <c r="W997" t="inlineStr">
        <is>
          <t>venda casada (475 pedidos)</t>
        </is>
      </c>
      <c r="X997" t="n">
        <v>475</v>
      </c>
      <c r="Y997" t="inlineStr">
        <is>
          <t>ok</t>
        </is>
      </c>
    </row>
    <row r="998" ht="18" customHeight="1">
      <c r="A998" s="54" t="inlineStr">
        <is>
          <t>Donacor</t>
        </is>
      </c>
      <c r="B998" s="54" t="inlineStr">
        <is>
          <t>Escorredor De Louça Suspenso Aço Inoxidável Organizador Louça Preto 65cm</t>
        </is>
      </c>
      <c r="C998" s="54" t="inlineStr">
        <is>
          <t>Modelo 2</t>
        </is>
      </c>
      <c r="D998" s="54" t="inlineStr">
        <is>
          <t>ESCORREDOR-DE-PRATOS12</t>
        </is>
      </c>
      <c r="E998" s="54" t="n">
        <v>26691455442</v>
      </c>
      <c r="F998" s="54" t="n">
        <v>248888134572</v>
      </c>
      <c r="G998" s="54" t="inlineStr">
        <is>
          <t>NORMAL</t>
        </is>
      </c>
      <c r="H998" s="86" t="n">
        <v>229.9</v>
      </c>
      <c r="I998" s="86" t="n">
        <v>79.90000000000001</v>
      </c>
      <c r="J998" s="56" t="inlineStr">
        <is>
          <t>SIM</t>
        </is>
      </c>
      <c r="K998" s="86" t="n">
        <v>79.90000000000001</v>
      </c>
      <c r="L998" s="87" t="n">
        <v>79.90000000000001</v>
      </c>
      <c r="M998" s="88" t="n">
        <v>1</v>
      </c>
      <c r="N998" s="89" t="n">
        <v>48.6</v>
      </c>
      <c r="O998" s="89">
        <f>ROUND(M998*N998,2)</f>
        <v/>
      </c>
      <c r="P998" s="90">
        <f>IF($O998="","",L998-O998-(L998*IF(L998&lt;=79.99,20%,14%)+IF(L998&lt;=79.99,4,IF(L998&lt;=99.99,16,IF(L998&lt;=199.99,20,IF(L998&lt;=499.99,26,28)))))-L998*1.3%-L998*6%-(L998-O998)*9.25%-L998*3%-L998*3%-1)</f>
        <v/>
      </c>
      <c r="Q998" s="58" t="n">
        <v>0.652</v>
      </c>
      <c r="R998" s="54" t="inlineStr">
        <is>
          <t>478840979931317, 484945860710786</t>
        </is>
      </c>
      <c r="S998" s="59" t="n">
        <v>46227.73958333334</v>
      </c>
      <c r="T998" s="59" t="n">
        <v>46248.99930555555</v>
      </c>
      <c r="U998" s="54" t="n">
        <v>101224</v>
      </c>
      <c r="V998" t="inlineStr">
        <is>
          <t>214031</t>
        </is>
      </c>
      <c r="W998" t="inlineStr">
        <is>
          <t>venda casada (23 pedidos)</t>
        </is>
      </c>
      <c r="X998" t="n">
        <v>23</v>
      </c>
      <c r="Y998" t="inlineStr">
        <is>
          <t>ok</t>
        </is>
      </c>
    </row>
    <row r="999" ht="18" customHeight="1">
      <c r="A999" s="60" t="inlineStr">
        <is>
          <t>Donacor</t>
        </is>
      </c>
      <c r="B999" s="60" t="inlineStr">
        <is>
          <t>Escorredor De Louça Suspenso Aço Inoxidável Organizador Louça Preto 65cm</t>
        </is>
      </c>
      <c r="C999" s="60" t="inlineStr">
        <is>
          <t>Modelo 3</t>
        </is>
      </c>
      <c r="D999" s="60" t="inlineStr">
        <is>
          <t>ESCORREDOR-AÇO-CARBONO</t>
        </is>
      </c>
      <c r="E999" s="60" t="n">
        <v>26691455442</v>
      </c>
      <c r="F999" s="60" t="n">
        <v>248888134573</v>
      </c>
      <c r="G999" s="60" t="inlineStr">
        <is>
          <t>NORMAL</t>
        </is>
      </c>
      <c r="H999" s="91" t="n">
        <v>199.9</v>
      </c>
      <c r="I999" s="91" t="n">
        <v>79.90000000000001</v>
      </c>
      <c r="J999" s="65" t="inlineStr">
        <is>
          <t>SIM</t>
        </is>
      </c>
      <c r="K999" s="91" t="n">
        <v>79.90000000000001</v>
      </c>
      <c r="L999" s="87" t="n">
        <v>79.90000000000001</v>
      </c>
      <c r="M999" s="88" t="n">
        <v>1</v>
      </c>
      <c r="N999" s="89" t="n">
        <v>50.11</v>
      </c>
      <c r="O999" s="89">
        <f>ROUND(M999*N999,2)</f>
        <v/>
      </c>
      <c r="P999" s="92">
        <f>IF($O999="","",L999-O999-(L999*IF(L999&lt;=79.99,20%,14%)+IF(L999&lt;=79.99,4,IF(L999&lt;=99.99,16,IF(L999&lt;=199.99,20,IF(L999&lt;=499.99,26,28)))))-L999*1.3%-L999*6%-(L999-O999)*9.25%-L999*3%-L999*3%-1)</f>
        <v/>
      </c>
      <c r="Q999" s="67" t="n">
        <v>0.6</v>
      </c>
      <c r="R999" s="60" t="inlineStr">
        <is>
          <t>478840979931317, 484945860710786</t>
        </is>
      </c>
      <c r="S999" s="68" t="n">
        <v>46227.73958333334</v>
      </c>
      <c r="T999" s="68" t="n">
        <v>46248.99930555555</v>
      </c>
      <c r="U999" s="60" t="n">
        <v>101224</v>
      </c>
      <c r="V999" t="inlineStr">
        <is>
          <t>214032</t>
        </is>
      </c>
      <c r="W999" t="inlineStr">
        <is>
          <t>venda casada (11 pedidos)</t>
        </is>
      </c>
      <c r="X999" t="n">
        <v>11</v>
      </c>
      <c r="Y999" t="inlineStr">
        <is>
          <t>ok</t>
        </is>
      </c>
    </row>
    <row r="1000" ht="18" customHeight="1">
      <c r="A1000" s="54" t="inlineStr">
        <is>
          <t>Donacor</t>
        </is>
      </c>
      <c r="B1000" s="54" t="inlineStr">
        <is>
          <t>Escorredor De Louça Suspenso Aço Inoxidável Organizador Louça Preto 65cm</t>
        </is>
      </c>
      <c r="C1000" s="54" t="inlineStr">
        <is>
          <t>Sem variação</t>
        </is>
      </c>
      <c r="D1000" s="54" t="inlineStr">
        <is>
          <t>MODELO 1</t>
        </is>
      </c>
      <c r="E1000" s="54" t="n">
        <v>42818575939</v>
      </c>
      <c r="F1000" s="54" t="n">
        <v>0</v>
      </c>
      <c r="G1000" s="54" t="inlineStr">
        <is>
          <t>NORMAL</t>
        </is>
      </c>
      <c r="H1000" s="86" t="n">
        <v>199.9</v>
      </c>
      <c r="I1000" s="86" t="n">
        <v>74.90000000000001</v>
      </c>
      <c r="J1000" s="56" t="inlineStr">
        <is>
          <t>SIM</t>
        </is>
      </c>
      <c r="K1000" s="86" t="n">
        <v>74.90000000000001</v>
      </c>
      <c r="L1000" s="87" t="n">
        <v>74.90000000000001</v>
      </c>
      <c r="M1000" s="88" t="n">
        <v>1</v>
      </c>
      <c r="N1000" s="89" t="n">
        <v>51.63</v>
      </c>
      <c r="O1000" s="89">
        <f>ROUND(M1000*N1000,2)</f>
        <v/>
      </c>
      <c r="P1000" s="90">
        <f>IF($O1000="","",L1000-O1000-(L1000*IF(L1000&lt;=79.99,20%,14%)+IF(L1000&lt;=79.99,4,IF(L1000&lt;=99.99,16,IF(L1000&lt;=199.99,20,IF(L1000&lt;=499.99,26,28)))))-L1000*1.3%-L1000*6%-(L1000-O1000)*9.25%-L1000*3%-L1000*3%-1)</f>
        <v/>
      </c>
      <c r="Q1000" s="58" t="n">
        <v>0.625</v>
      </c>
      <c r="R1000" s="54" t="inlineStr">
        <is>
          <t>478840979931317, 484945860710786</t>
        </is>
      </c>
      <c r="S1000" s="59" t="n">
        <v>46227.73958333334</v>
      </c>
      <c r="T1000" s="59" t="n">
        <v>46248.99930555555</v>
      </c>
      <c r="U1000" s="54" t="n">
        <v>101224</v>
      </c>
      <c r="V1000" t="inlineStr">
        <is>
          <t>214030</t>
        </is>
      </c>
      <c r="W1000" t="inlineStr">
        <is>
          <t>venda casada (6 pedidos)</t>
        </is>
      </c>
      <c r="X1000" t="n">
        <v>6</v>
      </c>
      <c r="Y1000" t="inlineStr">
        <is>
          <t>ok</t>
        </is>
      </c>
    </row>
    <row r="1001" ht="18" customHeight="1">
      <c r="A1001" s="60" t="inlineStr">
        <is>
          <t>Donacor</t>
        </is>
      </c>
      <c r="B1001" s="60" t="inlineStr">
        <is>
          <t>Escorredor De Louças 12 Pratos Organizador Preto Aço Inoxidável Rack Cozinha Pia 2 Andares Cozinha Suspensa</t>
        </is>
      </c>
      <c r="C1001" s="60" t="inlineStr">
        <is>
          <t>Sem variação</t>
        </is>
      </c>
      <c r="D1001" s="60" t="inlineStr">
        <is>
          <t>MODELO 2</t>
        </is>
      </c>
      <c r="E1001" s="60" t="n">
        <v>40968572392</v>
      </c>
      <c r="F1001" s="60" t="n">
        <v>0</v>
      </c>
      <c r="G1001" s="60" t="inlineStr">
        <is>
          <t>NORMAL</t>
        </is>
      </c>
      <c r="H1001" s="91" t="n">
        <v>269.9</v>
      </c>
      <c r="I1001" s="91" t="n">
        <v>79.90000000000001</v>
      </c>
      <c r="J1001" s="65" t="inlineStr">
        <is>
          <t>SIM</t>
        </is>
      </c>
      <c r="K1001" s="91" t="n">
        <v>79.90000000000001</v>
      </c>
      <c r="L1001" s="87" t="n">
        <v>79.90000000000001</v>
      </c>
      <c r="M1001" s="88" t="n">
        <v>1</v>
      </c>
      <c r="N1001" s="89" t="n">
        <v>50.11</v>
      </c>
      <c r="O1001" s="89">
        <f>ROUND(M1001*N1001,2)</f>
        <v/>
      </c>
      <c r="P1001" s="92">
        <f>IF($O1001="","",L1001-O1001-(L1001*IF(L1001&lt;=79.99,20%,14%)+IF(L1001&lt;=79.99,4,IF(L1001&lt;=99.99,16,IF(L1001&lt;=199.99,20,IF(L1001&lt;=499.99,26,28)))))-L1001*1.3%-L1001*6%-(L1001-O1001)*9.25%-L1001*3%-L1001*3%-1)</f>
        <v/>
      </c>
      <c r="Q1001" s="67" t="n">
        <v>0.704</v>
      </c>
      <c r="R1001" s="60" t="inlineStr">
        <is>
          <t>478840979931317, 484945860710786</t>
        </is>
      </c>
      <c r="S1001" s="68" t="n">
        <v>46227.73958333334</v>
      </c>
      <c r="T1001" s="68" t="n">
        <v>46248.99930555555</v>
      </c>
      <c r="U1001" s="60" t="n">
        <v>101224</v>
      </c>
      <c r="V1001" t="inlineStr">
        <is>
          <t>214032</t>
        </is>
      </c>
      <c r="W1001" t="inlineStr">
        <is>
          <t>venda casada (22 pedidos)</t>
        </is>
      </c>
      <c r="X1001" t="n">
        <v>22</v>
      </c>
      <c r="Y1001" t="inlineStr">
        <is>
          <t>ok</t>
        </is>
      </c>
    </row>
    <row r="1002" ht="18" customHeight="1">
      <c r="A1002" s="54" t="inlineStr">
        <is>
          <t>Donacor</t>
        </is>
      </c>
      <c r="B1002" s="54" t="inlineStr">
        <is>
          <t>Escorredor de Louças Rack Aço Carbono Organizador Preto</t>
        </is>
      </c>
      <c r="C1002" s="54" t="inlineStr">
        <is>
          <t>Sem variação</t>
        </is>
      </c>
      <c r="D1002" s="54" t="inlineStr">
        <is>
          <t>MODELO 3</t>
        </is>
      </c>
      <c r="E1002" s="54" t="n">
        <v>28391413424</v>
      </c>
      <c r="F1002" s="54" t="n">
        <v>0</v>
      </c>
      <c r="G1002" s="54" t="inlineStr">
        <is>
          <t>NORMAL</t>
        </is>
      </c>
      <c r="H1002" s="86" t="n">
        <v>199.9</v>
      </c>
      <c r="I1002" s="86" t="n">
        <v>79.90000000000001</v>
      </c>
      <c r="J1002" s="56" t="inlineStr">
        <is>
          <t>SIM</t>
        </is>
      </c>
      <c r="K1002" s="86" t="n">
        <v>79.90000000000001</v>
      </c>
      <c r="L1002" s="87" t="n">
        <v>79.90000000000001</v>
      </c>
      <c r="M1002" s="88" t="n">
        <v>1</v>
      </c>
      <c r="N1002" s="89" t="n">
        <v>48.6</v>
      </c>
      <c r="O1002" s="89">
        <f>ROUND(M1002*N1002,2)</f>
        <v/>
      </c>
      <c r="P1002" s="90">
        <f>IF($O1002="","",L1002-O1002-(L1002*IF(L1002&lt;=79.99,20%,14%)+IF(L1002&lt;=79.99,4,IF(L1002&lt;=99.99,16,IF(L1002&lt;=199.99,20,IF(L1002&lt;=499.99,26,28)))))-L1002*1.3%-L1002*6%-(L1002-O1002)*9.25%-L1002*3%-L1002*3%-1)</f>
        <v/>
      </c>
      <c r="Q1002" s="58" t="n">
        <v>0.6</v>
      </c>
      <c r="R1002" s="54" t="inlineStr">
        <is>
          <t>478840979931317, 484945860710786</t>
        </is>
      </c>
      <c r="S1002" s="59" t="n">
        <v>46227.73958333334</v>
      </c>
      <c r="T1002" s="59" t="n">
        <v>46248.99930555555</v>
      </c>
      <c r="U1002" s="54" t="n">
        <v>101224</v>
      </c>
      <c r="V1002" t="inlineStr">
        <is>
          <t>214031</t>
        </is>
      </c>
      <c r="W1002" t="inlineStr">
        <is>
          <t>venda casada (1 pedido)</t>
        </is>
      </c>
      <c r="X1002" t="n">
        <v>1</v>
      </c>
      <c r="Y1002" t="inlineStr">
        <is>
          <t>⚠ evidência fraca (1 pedido)</t>
        </is>
      </c>
    </row>
    <row r="1003" ht="18" customHeight="1">
      <c r="A1003" s="60" t="inlineStr">
        <is>
          <t>Donacor</t>
        </is>
      </c>
      <c r="B1003" s="60" t="inlineStr">
        <is>
          <t>Furba Caixa de areia fechada banheiro para gatos toalete elegante</t>
        </is>
      </c>
      <c r="C1003" s="60" t="inlineStr">
        <is>
          <t>AZUL</t>
        </is>
      </c>
      <c r="D1003" s="60" t="n">
        <v>345</v>
      </c>
      <c r="E1003" s="60" t="n">
        <v>23293010893</v>
      </c>
      <c r="F1003" s="60" t="n">
        <v>159777404576</v>
      </c>
      <c r="G1003" s="60" t="inlineStr">
        <is>
          <t>NORMAL</t>
        </is>
      </c>
      <c r="H1003" s="91" t="n">
        <v>111.9</v>
      </c>
      <c r="I1003" s="91" t="n">
        <v>111.9</v>
      </c>
      <c r="J1003" s="62" t="inlineStr">
        <is>
          <t>NÃO</t>
        </is>
      </c>
      <c r="K1003" s="60" t="inlineStr">
        <is>
          <t> </t>
        </is>
      </c>
      <c r="L1003" s="87" t="n">
        <v>111.9</v>
      </c>
      <c r="P1003" s="92">
        <f>IF($O1003="","",L1003-O1003-(L1003*IF(L1003&lt;=79.99,20%,14%)+IF(L1003&lt;=79.99,4,IF(L1003&lt;=99.99,16,IF(L1003&lt;=199.99,20,IF(L1003&lt;=499.99,26,28)))))-L1003*1.3%-L1003*6%-(L1003-O1003)*9.25%-L1003*3%-L1003*3%-1)</f>
        <v/>
      </c>
      <c r="Q1003" s="60" t="inlineStr">
        <is>
          <t> </t>
        </is>
      </c>
      <c r="R1003" s="60" t="inlineStr">
        <is>
          <t> </t>
        </is>
      </c>
      <c r="S1003" s="60" t="inlineStr">
        <is>
          <t> </t>
        </is>
      </c>
      <c r="T1003" s="60" t="inlineStr">
        <is>
          <t> </t>
        </is>
      </c>
      <c r="U1003" s="60" t="n">
        <v>100923</v>
      </c>
      <c r="W1003" t="inlineStr">
        <is>
          <t>sem correspondência</t>
        </is>
      </c>
      <c r="Y1003" t="inlineStr"/>
    </row>
    <row r="1004" ht="18" customHeight="1">
      <c r="A1004" s="54" t="inlineStr">
        <is>
          <t>Donacor</t>
        </is>
      </c>
      <c r="B1004" s="54" t="inlineStr">
        <is>
          <t>Furba Caixa de areia fechada banheiro para gatos toalete elegante</t>
        </is>
      </c>
      <c r="C1004" s="54" t="inlineStr">
        <is>
          <t>BLACK</t>
        </is>
      </c>
      <c r="D1004" s="54" t="n">
        <v>344</v>
      </c>
      <c r="E1004" s="54" t="n">
        <v>23293010893</v>
      </c>
      <c r="F1004" s="54" t="n">
        <v>159777404578</v>
      </c>
      <c r="G1004" s="54" t="inlineStr">
        <is>
          <t>NORMAL</t>
        </is>
      </c>
      <c r="H1004" s="86" t="n">
        <v>111.9</v>
      </c>
      <c r="I1004" s="86" t="n">
        <v>111.9</v>
      </c>
      <c r="J1004" s="69" t="inlineStr">
        <is>
          <t>NÃO</t>
        </is>
      </c>
      <c r="K1004" s="54" t="n"/>
      <c r="L1004" s="87" t="n">
        <v>111.9</v>
      </c>
      <c r="P1004" s="90">
        <f>IF($O1004="","",L1004-O1004-(L1004*IF(L1004&lt;=79.99,20%,14%)+IF(L1004&lt;=79.99,4,IF(L1004&lt;=99.99,16,IF(L1004&lt;=199.99,20,IF(L1004&lt;=499.99,26,28)))))-L1004*1.3%-L1004*6%-(L1004-O1004)*9.25%-L1004*3%-L1004*3%-1)</f>
        <v/>
      </c>
      <c r="Q1004" s="54">
        <f>IF(AND(K1004&lt;&gt;"",H1004&gt;0),(H1004-K1004)/H1004,"")</f>
        <v/>
      </c>
      <c r="R1004" s="54" t="n"/>
      <c r="S1004" s="54" t="n"/>
      <c r="T1004" s="54" t="n"/>
      <c r="U1004" s="54" t="n">
        <v>100923</v>
      </c>
      <c r="W1004" t="inlineStr">
        <is>
          <t>sem correspondência</t>
        </is>
      </c>
      <c r="Y1004" t="inlineStr"/>
    </row>
    <row r="1005" ht="18" customHeight="1">
      <c r="A1005" s="60" t="inlineStr">
        <is>
          <t>Donacor</t>
        </is>
      </c>
      <c r="B1005" s="60" t="inlineStr">
        <is>
          <t>Furba Caixa de areia fechada banheiro para gatos toalete elegante</t>
        </is>
      </c>
      <c r="C1005" s="60" t="inlineStr">
        <is>
          <t>CORAL</t>
        </is>
      </c>
      <c r="D1005" s="60" t="n">
        <v>351</v>
      </c>
      <c r="E1005" s="60" t="n">
        <v>23293010893</v>
      </c>
      <c r="F1005" s="60" t="n">
        <v>149539384017</v>
      </c>
      <c r="G1005" s="60" t="inlineStr">
        <is>
          <t>NORMAL</t>
        </is>
      </c>
      <c r="H1005" s="91" t="n">
        <v>111.9</v>
      </c>
      <c r="I1005" s="91" t="n">
        <v>111.9</v>
      </c>
      <c r="J1005" s="62" t="inlineStr">
        <is>
          <t>NÃO</t>
        </is>
      </c>
      <c r="K1005" s="60" t="inlineStr">
        <is>
          <t> </t>
        </is>
      </c>
      <c r="L1005" s="87" t="n">
        <v>111.9</v>
      </c>
      <c r="P1005" s="92">
        <f>IF($O1005="","",L1005-O1005-(L1005*IF(L1005&lt;=79.99,20%,14%)+IF(L1005&lt;=79.99,4,IF(L1005&lt;=99.99,16,IF(L1005&lt;=199.99,20,IF(L1005&lt;=499.99,26,28)))))-L1005*1.3%-L1005*6%-(L1005-O1005)*9.25%-L1005*3%-L1005*3%-1)</f>
        <v/>
      </c>
      <c r="Q1005" s="60" t="inlineStr">
        <is>
          <t> </t>
        </is>
      </c>
      <c r="R1005" s="60" t="inlineStr">
        <is>
          <t> </t>
        </is>
      </c>
      <c r="S1005" s="60" t="inlineStr">
        <is>
          <t> </t>
        </is>
      </c>
      <c r="T1005" s="60" t="inlineStr">
        <is>
          <t> </t>
        </is>
      </c>
      <c r="U1005" s="60" t="n">
        <v>100923</v>
      </c>
      <c r="W1005" t="inlineStr">
        <is>
          <t>sem correspondência</t>
        </is>
      </c>
      <c r="Y1005" t="inlineStr"/>
    </row>
    <row r="1006" ht="18" customHeight="1">
      <c r="A1006" s="54" t="inlineStr">
        <is>
          <t>Donacor</t>
        </is>
      </c>
      <c r="B1006" s="54" t="inlineStr">
        <is>
          <t>Furba Caixa de areia fechada banheiro para gatos toalete elegante</t>
        </is>
      </c>
      <c r="C1006" s="54" t="inlineStr">
        <is>
          <t>LILÁS</t>
        </is>
      </c>
      <c r="D1006" s="54" t="n">
        <v>346</v>
      </c>
      <c r="E1006" s="54" t="n">
        <v>23293010893</v>
      </c>
      <c r="F1006" s="54" t="n">
        <v>149539384019</v>
      </c>
      <c r="G1006" s="54" t="inlineStr">
        <is>
          <t>NORMAL</t>
        </is>
      </c>
      <c r="H1006" s="86" t="n">
        <v>111.9</v>
      </c>
      <c r="I1006" s="86" t="n">
        <v>111.9</v>
      </c>
      <c r="J1006" s="69" t="inlineStr">
        <is>
          <t>NÃO</t>
        </is>
      </c>
      <c r="K1006" s="54" t="n"/>
      <c r="L1006" s="87" t="n">
        <v>111.9</v>
      </c>
      <c r="P1006" s="90">
        <f>IF($O1006="","",L1006-O1006-(L1006*IF(L1006&lt;=79.99,20%,14%)+IF(L1006&lt;=79.99,4,IF(L1006&lt;=99.99,16,IF(L1006&lt;=199.99,20,IF(L1006&lt;=499.99,26,28)))))-L1006*1.3%-L1006*6%-(L1006-O1006)*9.25%-L1006*3%-L1006*3%-1)</f>
        <v/>
      </c>
      <c r="Q1006" s="54">
        <f>IF(AND(K1006&lt;&gt;"",H1006&gt;0),(H1006-K1006)/H1006,"")</f>
        <v/>
      </c>
      <c r="R1006" s="54" t="n"/>
      <c r="S1006" s="54" t="n"/>
      <c r="T1006" s="54" t="n"/>
      <c r="U1006" s="54" t="n">
        <v>100923</v>
      </c>
      <c r="W1006" t="inlineStr">
        <is>
          <t>sem correspondência</t>
        </is>
      </c>
      <c r="Y1006" t="inlineStr"/>
    </row>
    <row r="1007" ht="18" customHeight="1">
      <c r="A1007" s="60" t="inlineStr">
        <is>
          <t>Donacor</t>
        </is>
      </c>
      <c r="B1007" s="60" t="inlineStr">
        <is>
          <t>Furba Caixa de areia fechada banheiro para gatos toalete elegante</t>
        </is>
      </c>
      <c r="C1007" s="60" t="inlineStr">
        <is>
          <t>NUDE</t>
        </is>
      </c>
      <c r="D1007" s="60" t="n">
        <v>350</v>
      </c>
      <c r="E1007" s="60" t="n">
        <v>23293010893</v>
      </c>
      <c r="F1007" s="60" t="n">
        <v>159777404577</v>
      </c>
      <c r="G1007" s="60" t="inlineStr">
        <is>
          <t>NORMAL</t>
        </is>
      </c>
      <c r="H1007" s="91" t="n">
        <v>111.9</v>
      </c>
      <c r="I1007" s="91" t="n">
        <v>111.9</v>
      </c>
      <c r="J1007" s="62" t="inlineStr">
        <is>
          <t>NÃO</t>
        </is>
      </c>
      <c r="K1007" s="60" t="inlineStr">
        <is>
          <t> </t>
        </is>
      </c>
      <c r="L1007" s="87" t="n">
        <v>111.9</v>
      </c>
      <c r="P1007" s="92">
        <f>IF($O1007="","",L1007-O1007-(L1007*IF(L1007&lt;=79.99,20%,14%)+IF(L1007&lt;=79.99,4,IF(L1007&lt;=99.99,16,IF(L1007&lt;=199.99,20,IF(L1007&lt;=499.99,26,28)))))-L1007*1.3%-L1007*6%-(L1007-O1007)*9.25%-L1007*3%-L1007*3%-1)</f>
        <v/>
      </c>
      <c r="Q1007" s="60" t="inlineStr">
        <is>
          <t> </t>
        </is>
      </c>
      <c r="R1007" s="60" t="inlineStr">
        <is>
          <t> </t>
        </is>
      </c>
      <c r="S1007" s="60" t="inlineStr">
        <is>
          <t> </t>
        </is>
      </c>
      <c r="T1007" s="60" t="inlineStr">
        <is>
          <t> </t>
        </is>
      </c>
      <c r="U1007" s="60" t="n">
        <v>100923</v>
      </c>
      <c r="W1007" t="inlineStr">
        <is>
          <t>sem correspondência</t>
        </is>
      </c>
      <c r="Y1007" t="inlineStr"/>
    </row>
    <row r="1008" ht="18" customHeight="1">
      <c r="A1008" s="54" t="inlineStr">
        <is>
          <t>Donacor</t>
        </is>
      </c>
      <c r="B1008" s="54" t="inlineStr">
        <is>
          <t>Furba Caixa de areia fechada banheiro para gatos toalete elegante</t>
        </is>
      </c>
      <c r="C1008" s="54" t="inlineStr">
        <is>
          <t>ROSA</t>
        </is>
      </c>
      <c r="D1008" s="54" t="n">
        <v>347</v>
      </c>
      <c r="E1008" s="54" t="n">
        <v>23293010893</v>
      </c>
      <c r="F1008" s="54" t="n">
        <v>159777404579</v>
      </c>
      <c r="G1008" s="54" t="inlineStr">
        <is>
          <t>NORMAL</t>
        </is>
      </c>
      <c r="H1008" s="86" t="n">
        <v>111.9</v>
      </c>
      <c r="I1008" s="86" t="n">
        <v>111.9</v>
      </c>
      <c r="J1008" s="69" t="inlineStr">
        <is>
          <t>NÃO</t>
        </is>
      </c>
      <c r="K1008" s="54" t="n"/>
      <c r="L1008" s="87" t="n">
        <v>111.9</v>
      </c>
      <c r="P1008" s="90">
        <f>IF($O1008="","",L1008-O1008-(L1008*IF(L1008&lt;=79.99,20%,14%)+IF(L1008&lt;=79.99,4,IF(L1008&lt;=99.99,16,IF(L1008&lt;=199.99,20,IF(L1008&lt;=499.99,26,28)))))-L1008*1.3%-L1008*6%-(L1008-O1008)*9.25%-L1008*3%-L1008*3%-1)</f>
        <v/>
      </c>
      <c r="Q1008" s="54">
        <f>IF(AND(K1008&lt;&gt;"",H1008&gt;0),(H1008-K1008)/H1008,"")</f>
        <v/>
      </c>
      <c r="R1008" s="54" t="n"/>
      <c r="S1008" s="54" t="n"/>
      <c r="T1008" s="54" t="n"/>
      <c r="U1008" s="54" t="n">
        <v>100923</v>
      </c>
      <c r="W1008" t="inlineStr">
        <is>
          <t>sem correspondência</t>
        </is>
      </c>
      <c r="Y1008" t="inlineStr"/>
    </row>
    <row r="1009" ht="18" customHeight="1">
      <c r="A1009" s="60" t="inlineStr">
        <is>
          <t>Donacor</t>
        </is>
      </c>
      <c r="B1009" s="60" t="inlineStr">
        <is>
          <t>Furba Caixa de areia fechada banheiro para gatos toalete elegante</t>
        </is>
      </c>
      <c r="C1009" s="60" t="inlineStr">
        <is>
          <t>TIFFANY</t>
        </is>
      </c>
      <c r="D1009" s="60" t="n">
        <v>349</v>
      </c>
      <c r="E1009" s="60" t="n">
        <v>23293010893</v>
      </c>
      <c r="F1009" s="60" t="n">
        <v>149539384018</v>
      </c>
      <c r="G1009" s="60" t="inlineStr">
        <is>
          <t>NORMAL</t>
        </is>
      </c>
      <c r="H1009" s="91" t="n">
        <v>111.9</v>
      </c>
      <c r="I1009" s="91" t="n">
        <v>111.9</v>
      </c>
      <c r="J1009" s="62" t="inlineStr">
        <is>
          <t>NÃO</t>
        </is>
      </c>
      <c r="K1009" s="60" t="inlineStr">
        <is>
          <t> </t>
        </is>
      </c>
      <c r="L1009" s="87" t="n">
        <v>111.9</v>
      </c>
      <c r="P1009" s="92">
        <f>IF($O1009="","",L1009-O1009-(L1009*IF(L1009&lt;=79.99,20%,14%)+IF(L1009&lt;=79.99,4,IF(L1009&lt;=99.99,16,IF(L1009&lt;=199.99,20,IF(L1009&lt;=499.99,26,28)))))-L1009*1.3%-L1009*6%-(L1009-O1009)*9.25%-L1009*3%-L1009*3%-1)</f>
        <v/>
      </c>
      <c r="Q1009" s="60" t="inlineStr">
        <is>
          <t> </t>
        </is>
      </c>
      <c r="R1009" s="60" t="inlineStr">
        <is>
          <t> </t>
        </is>
      </c>
      <c r="S1009" s="60" t="inlineStr">
        <is>
          <t> </t>
        </is>
      </c>
      <c r="T1009" s="60" t="inlineStr">
        <is>
          <t> </t>
        </is>
      </c>
      <c r="U1009" s="60" t="n">
        <v>100923</v>
      </c>
      <c r="W1009" t="inlineStr">
        <is>
          <t>sem correspondência</t>
        </is>
      </c>
      <c r="Y1009" t="inlineStr"/>
    </row>
    <row r="1010" ht="18" customHeight="1">
      <c r="A1010" s="54" t="inlineStr">
        <is>
          <t>Donacor</t>
        </is>
      </c>
      <c r="B1010" s="54" t="inlineStr">
        <is>
          <t>Furba Caixa de areia fechada banheiro para gatos toalete elegante</t>
        </is>
      </c>
      <c r="C1010" s="54" t="inlineStr">
        <is>
          <t>VERMELHO</t>
        </is>
      </c>
      <c r="D1010" s="54" t="n">
        <v>348</v>
      </c>
      <c r="E1010" s="54" t="n">
        <v>23293010893</v>
      </c>
      <c r="F1010" s="54" t="n">
        <v>149539384020</v>
      </c>
      <c r="G1010" s="54" t="inlineStr">
        <is>
          <t>NORMAL</t>
        </is>
      </c>
      <c r="H1010" s="86" t="n">
        <v>111.9</v>
      </c>
      <c r="I1010" s="86" t="n">
        <v>111.9</v>
      </c>
      <c r="J1010" s="69" t="inlineStr">
        <is>
          <t>NÃO</t>
        </is>
      </c>
      <c r="K1010" s="54" t="n"/>
      <c r="L1010" s="87" t="n">
        <v>111.9</v>
      </c>
      <c r="P1010" s="90">
        <f>IF($O1010="","",L1010-O1010-(L1010*IF(L1010&lt;=79.99,20%,14%)+IF(L1010&lt;=79.99,4,IF(L1010&lt;=99.99,16,IF(L1010&lt;=199.99,20,IF(L1010&lt;=499.99,26,28)))))-L1010*1.3%-L1010*6%-(L1010-O1010)*9.25%-L1010*3%-L1010*3%-1)</f>
        <v/>
      </c>
      <c r="Q1010" s="54">
        <f>IF(AND(K1010&lt;&gt;"",H1010&gt;0),(H1010-K1010)/H1010,"")</f>
        <v/>
      </c>
      <c r="R1010" s="54" t="n"/>
      <c r="S1010" s="54" t="n"/>
      <c r="T1010" s="54" t="n"/>
      <c r="U1010" s="54" t="n">
        <v>100923</v>
      </c>
      <c r="W1010" t="inlineStr">
        <is>
          <t>sem correspondência</t>
        </is>
      </c>
      <c r="Y1010" t="inlineStr"/>
    </row>
    <row r="1011" ht="18" customHeight="1">
      <c r="A1011" s="60" t="inlineStr">
        <is>
          <t>Donacor</t>
        </is>
      </c>
      <c r="B1011" s="60" t="inlineStr">
        <is>
          <t>Gaiola Coelho Chinchila Porquinho Da India Com Andar Grande</t>
        </is>
      </c>
      <c r="C1011" s="60" t="inlineStr">
        <is>
          <t>AZUL</t>
        </is>
      </c>
      <c r="D1011" s="60" t="n">
        <v>0</v>
      </c>
      <c r="E1011" s="60" t="n">
        <v>23293010823</v>
      </c>
      <c r="F1011" s="60" t="n">
        <v>169708563155</v>
      </c>
      <c r="G1011" s="60" t="inlineStr">
        <is>
          <t>NORMAL</t>
        </is>
      </c>
      <c r="H1011" s="91" t="n">
        <v>180.9</v>
      </c>
      <c r="I1011" s="91" t="n">
        <v>180.9</v>
      </c>
      <c r="J1011" s="62" t="inlineStr">
        <is>
          <t>NÃO</t>
        </is>
      </c>
      <c r="K1011" s="60" t="inlineStr">
        <is>
          <t> </t>
        </is>
      </c>
      <c r="L1011" s="87" t="n">
        <v>180.9</v>
      </c>
      <c r="P1011" s="92">
        <f>IF($O1011="","",L1011-O1011-(L1011*IF(L1011&lt;=79.99,20%,14%)+IF(L1011&lt;=79.99,4,IF(L1011&lt;=99.99,16,IF(L1011&lt;=199.99,20,IF(L1011&lt;=499.99,26,28)))))-L1011*1.3%-L1011*6%-(L1011-O1011)*9.25%-L1011*3%-L1011*3%-1)</f>
        <v/>
      </c>
      <c r="Q1011" s="60" t="inlineStr">
        <is>
          <t> </t>
        </is>
      </c>
      <c r="R1011" s="60" t="inlineStr">
        <is>
          <t> </t>
        </is>
      </c>
      <c r="S1011" s="60" t="inlineStr">
        <is>
          <t> </t>
        </is>
      </c>
      <c r="T1011" s="60" t="inlineStr">
        <is>
          <t> </t>
        </is>
      </c>
      <c r="U1011" s="60" t="n">
        <v>101684</v>
      </c>
      <c r="W1011" t="inlineStr">
        <is>
          <t>sem correspondência</t>
        </is>
      </c>
      <c r="Y1011" t="inlineStr"/>
    </row>
    <row r="1012" ht="18" customHeight="1">
      <c r="A1012" s="54" t="inlineStr">
        <is>
          <t>Donacor</t>
        </is>
      </c>
      <c r="B1012" s="54" t="inlineStr">
        <is>
          <t>Gaiola Coelho Chinchila Porquinho Da India Com Andar Grande</t>
        </is>
      </c>
      <c r="C1012" s="54" t="inlineStr">
        <is>
          <t>LILÁS</t>
        </is>
      </c>
      <c r="D1012" s="54" t="n">
        <v>0</v>
      </c>
      <c r="E1012" s="54" t="n">
        <v>23293010823</v>
      </c>
      <c r="F1012" s="54" t="n">
        <v>169708563157</v>
      </c>
      <c r="G1012" s="54" t="inlineStr">
        <is>
          <t>NORMAL</t>
        </is>
      </c>
      <c r="H1012" s="86" t="n">
        <v>180.9</v>
      </c>
      <c r="I1012" s="86" t="n">
        <v>180.9</v>
      </c>
      <c r="J1012" s="69" t="inlineStr">
        <is>
          <t>NÃO</t>
        </is>
      </c>
      <c r="K1012" s="54" t="n"/>
      <c r="L1012" s="87" t="n">
        <v>180.9</v>
      </c>
      <c r="P1012" s="90">
        <f>IF($O1012="","",L1012-O1012-(L1012*IF(L1012&lt;=79.99,20%,14%)+IF(L1012&lt;=79.99,4,IF(L1012&lt;=99.99,16,IF(L1012&lt;=199.99,20,IF(L1012&lt;=499.99,26,28)))))-L1012*1.3%-L1012*6%-(L1012-O1012)*9.25%-L1012*3%-L1012*3%-1)</f>
        <v/>
      </c>
      <c r="Q1012" s="54">
        <f>IF(AND(K1012&lt;&gt;"",H1012&gt;0),(H1012-K1012)/H1012,"")</f>
        <v/>
      </c>
      <c r="R1012" s="54" t="n"/>
      <c r="S1012" s="54" t="n"/>
      <c r="T1012" s="54" t="n"/>
      <c r="U1012" s="54" t="n">
        <v>101684</v>
      </c>
      <c r="W1012" t="inlineStr">
        <is>
          <t>sem correspondência</t>
        </is>
      </c>
      <c r="Y1012" t="inlineStr"/>
    </row>
    <row r="1013" ht="18" customHeight="1">
      <c r="A1013" s="60" t="inlineStr">
        <is>
          <t>Donacor</t>
        </is>
      </c>
      <c r="B1013" s="60" t="inlineStr">
        <is>
          <t>Gaiola Coelho Chinchila Porquinho Da India Com Andar Grande</t>
        </is>
      </c>
      <c r="C1013" s="60" t="inlineStr">
        <is>
          <t>VERMELHO</t>
        </is>
      </c>
      <c r="D1013" s="60" t="n">
        <v>0</v>
      </c>
      <c r="E1013" s="60" t="n">
        <v>23293010823</v>
      </c>
      <c r="F1013" s="60" t="n">
        <v>169708563156</v>
      </c>
      <c r="G1013" s="60" t="inlineStr">
        <is>
          <t>NORMAL</t>
        </is>
      </c>
      <c r="H1013" s="91" t="n">
        <v>180.9</v>
      </c>
      <c r="I1013" s="91" t="n">
        <v>180.9</v>
      </c>
      <c r="J1013" s="62" t="inlineStr">
        <is>
          <t>NÃO</t>
        </is>
      </c>
      <c r="K1013" s="60" t="inlineStr">
        <is>
          <t> </t>
        </is>
      </c>
      <c r="L1013" s="87" t="n">
        <v>180.9</v>
      </c>
      <c r="P1013" s="92">
        <f>IF($O1013="","",L1013-O1013-(L1013*IF(L1013&lt;=79.99,20%,14%)+IF(L1013&lt;=79.99,4,IF(L1013&lt;=99.99,16,IF(L1013&lt;=199.99,20,IF(L1013&lt;=499.99,26,28)))))-L1013*1.3%-L1013*6%-(L1013-O1013)*9.25%-L1013*3%-L1013*3%-1)</f>
        <v/>
      </c>
      <c r="Q1013" s="60" t="inlineStr">
        <is>
          <t> </t>
        </is>
      </c>
      <c r="R1013" s="60" t="inlineStr">
        <is>
          <t> </t>
        </is>
      </c>
      <c r="S1013" s="60" t="inlineStr">
        <is>
          <t> </t>
        </is>
      </c>
      <c r="T1013" s="60" t="inlineStr">
        <is>
          <t> </t>
        </is>
      </c>
      <c r="U1013" s="60" t="n">
        <v>101684</v>
      </c>
      <c r="W1013" t="inlineStr">
        <is>
          <t>sem correspondência</t>
        </is>
      </c>
      <c r="Y1013" t="inlineStr"/>
    </row>
    <row r="1014" ht="18" customHeight="1">
      <c r="A1014" s="54" t="inlineStr">
        <is>
          <t>Donacor</t>
        </is>
      </c>
      <c r="B1014" s="54" t="inlineStr">
        <is>
          <t>Gaiola Criadeira Para Calopsita Completa Grande Desmontável</t>
        </is>
      </c>
      <c r="C1014" s="54" t="inlineStr">
        <is>
          <t>Azul</t>
        </is>
      </c>
      <c r="D1014" s="54" t="inlineStr">
        <is>
          <t>GAIOLAC-AZUL</t>
        </is>
      </c>
      <c r="E1014" s="54" t="n">
        <v>23097507435</v>
      </c>
      <c r="F1014" s="54" t="n">
        <v>199162913969</v>
      </c>
      <c r="G1014" s="54" t="inlineStr">
        <is>
          <t>NORMAL</t>
        </is>
      </c>
      <c r="H1014" s="86" t="n">
        <v>339.8</v>
      </c>
      <c r="I1014" s="86" t="n">
        <v>339.8</v>
      </c>
      <c r="J1014" s="69" t="inlineStr">
        <is>
          <t>NÃO</t>
        </is>
      </c>
      <c r="K1014" s="54" t="n"/>
      <c r="L1014" s="87" t="n">
        <v>339.8</v>
      </c>
      <c r="P1014" s="90">
        <f>IF($O1014="","",L1014-O1014-(L1014*IF(L1014&lt;=79.99,20%,14%)+IF(L1014&lt;=79.99,4,IF(L1014&lt;=99.99,16,IF(L1014&lt;=199.99,20,IF(L1014&lt;=499.99,26,28)))))-L1014*1.3%-L1014*6%-(L1014-O1014)*9.25%-L1014*3%-L1014*3%-1)</f>
        <v/>
      </c>
      <c r="Q1014" s="54">
        <f>IF(AND(K1014&lt;&gt;"",H1014&gt;0),(H1014-K1014)/H1014,"")</f>
        <v/>
      </c>
      <c r="R1014" s="54" t="n"/>
      <c r="S1014" s="54" t="n"/>
      <c r="T1014" s="54" t="n"/>
      <c r="U1014" s="54" t="n">
        <v>101684</v>
      </c>
      <c r="W1014" t="inlineStr">
        <is>
          <t>sem correspondência</t>
        </is>
      </c>
      <c r="Y1014" t="inlineStr"/>
    </row>
    <row r="1015" ht="18" customHeight="1">
      <c r="A1015" s="60" t="inlineStr">
        <is>
          <t>Donacor</t>
        </is>
      </c>
      <c r="B1015" s="60" t="inlineStr">
        <is>
          <t>Gaiola Criadeira Para Calopsita Completa Grande Desmontável</t>
        </is>
      </c>
      <c r="C1015" s="60" t="inlineStr">
        <is>
          <t>Lilas</t>
        </is>
      </c>
      <c r="D1015" s="60" t="inlineStr">
        <is>
          <t>GAIOLAC-LILAS</t>
        </is>
      </c>
      <c r="E1015" s="60" t="n">
        <v>23097507435</v>
      </c>
      <c r="F1015" s="60" t="n">
        <v>199162913970</v>
      </c>
      <c r="G1015" s="60" t="inlineStr">
        <is>
          <t>NORMAL</t>
        </is>
      </c>
      <c r="H1015" s="91" t="n">
        <v>339.8</v>
      </c>
      <c r="I1015" s="91" t="n">
        <v>339.8</v>
      </c>
      <c r="J1015" s="62" t="inlineStr">
        <is>
          <t>NÃO</t>
        </is>
      </c>
      <c r="K1015" s="60" t="inlineStr">
        <is>
          <t> </t>
        </is>
      </c>
      <c r="L1015" s="87" t="n">
        <v>339.8</v>
      </c>
      <c r="P1015" s="92">
        <f>IF($O1015="","",L1015-O1015-(L1015*IF(L1015&lt;=79.99,20%,14%)+IF(L1015&lt;=79.99,4,IF(L1015&lt;=99.99,16,IF(L1015&lt;=199.99,20,IF(L1015&lt;=499.99,26,28)))))-L1015*1.3%-L1015*6%-(L1015-O1015)*9.25%-L1015*3%-L1015*3%-1)</f>
        <v/>
      </c>
      <c r="Q1015" s="60" t="inlineStr">
        <is>
          <t> </t>
        </is>
      </c>
      <c r="R1015" s="60" t="inlineStr">
        <is>
          <t> </t>
        </is>
      </c>
      <c r="S1015" s="60" t="inlineStr">
        <is>
          <t> </t>
        </is>
      </c>
      <c r="T1015" s="60" t="inlineStr">
        <is>
          <t> </t>
        </is>
      </c>
      <c r="U1015" s="60" t="n">
        <v>101684</v>
      </c>
      <c r="W1015" t="inlineStr">
        <is>
          <t>sem correspondência</t>
        </is>
      </c>
      <c r="Y1015" t="inlineStr"/>
    </row>
    <row r="1016" ht="18" customHeight="1">
      <c r="A1016" s="54" t="inlineStr">
        <is>
          <t>Donacor</t>
        </is>
      </c>
      <c r="B1016" s="54" t="inlineStr">
        <is>
          <t>Gaiola Hamster Tubo 3 Andares Espaco De Bicho Completa com Rodinha</t>
        </is>
      </c>
      <c r="C1016" s="54" t="inlineStr">
        <is>
          <t>AZUL</t>
        </is>
      </c>
      <c r="D1016" s="54" t="inlineStr">
        <is>
          <t>GAIOLA-HAMSTERS-AZUL</t>
        </is>
      </c>
      <c r="E1016" s="54" t="n">
        <v>22493824274</v>
      </c>
      <c r="F1016" s="54" t="n">
        <v>199605004811</v>
      </c>
      <c r="G1016" s="54" t="inlineStr">
        <is>
          <t>NORMAL</t>
        </is>
      </c>
      <c r="H1016" s="86" t="n">
        <v>209.9</v>
      </c>
      <c r="I1016" s="86" t="n">
        <v>139.9</v>
      </c>
      <c r="J1016" s="56" t="inlineStr">
        <is>
          <t>SIM</t>
        </is>
      </c>
      <c r="K1016" s="86" t="n">
        <v>139.9</v>
      </c>
      <c r="L1016" s="87" t="n">
        <v>139.9</v>
      </c>
      <c r="M1016" s="88" t="n">
        <v>1</v>
      </c>
      <c r="N1016" s="89" t="n">
        <v>71.14</v>
      </c>
      <c r="O1016" s="89">
        <f>ROUND(M1016*N1016,2)</f>
        <v/>
      </c>
      <c r="P1016" s="90">
        <f>IF($O1016="","",L1016-O1016-(L1016*IF(L1016&lt;=79.99,20%,14%)+IF(L1016&lt;=79.99,4,IF(L1016&lt;=99.99,16,IF(L1016&lt;=199.99,20,IF(L1016&lt;=499.99,26,28)))))-L1016*1.3%-L1016*6%-(L1016-O1016)*9.25%-L1016*3%-L1016*3%-1)</f>
        <v/>
      </c>
      <c r="Q1016" s="58" t="n">
        <v>0.333</v>
      </c>
      <c r="R1016" s="54" t="n">
        <v>478840979931317</v>
      </c>
      <c r="S1016" s="59" t="n">
        <v>46248</v>
      </c>
      <c r="T1016" s="59" t="n">
        <v>46248.99930555555</v>
      </c>
      <c r="U1016" s="54" t="n">
        <v>101684</v>
      </c>
      <c r="V1016" t="inlineStr">
        <is>
          <t>213625</t>
        </is>
      </c>
      <c r="W1016" t="inlineStr">
        <is>
          <t>venda casada (94 pedidos)</t>
        </is>
      </c>
      <c r="X1016" t="n">
        <v>94</v>
      </c>
      <c r="Y1016" t="inlineStr">
        <is>
          <t>ok</t>
        </is>
      </c>
    </row>
    <row r="1017" ht="18" customHeight="1">
      <c r="A1017" s="60" t="inlineStr">
        <is>
          <t>Donacor</t>
        </is>
      </c>
      <c r="B1017" s="60" t="inlineStr">
        <is>
          <t>Gaiola Hamster Tubo 3 Andares Espaco De Bicho Completa com Rodinha</t>
        </is>
      </c>
      <c r="C1017" s="60" t="inlineStr">
        <is>
          <t>ROXO</t>
        </is>
      </c>
      <c r="D1017" s="60" t="inlineStr">
        <is>
          <t>GAIOLA-HAMSTERS-ROXO</t>
        </is>
      </c>
      <c r="E1017" s="60" t="n">
        <v>22493824274</v>
      </c>
      <c r="F1017" s="60" t="n">
        <v>199605004812</v>
      </c>
      <c r="G1017" s="60" t="inlineStr">
        <is>
          <t>NORMAL</t>
        </is>
      </c>
      <c r="H1017" s="91" t="n">
        <v>209.9</v>
      </c>
      <c r="I1017" s="91" t="n">
        <v>209.9</v>
      </c>
      <c r="J1017" s="62" t="inlineStr">
        <is>
          <t>NÃO</t>
        </is>
      </c>
      <c r="K1017" s="60" t="inlineStr">
        <is>
          <t> </t>
        </is>
      </c>
      <c r="L1017" s="87" t="n">
        <v>209.9</v>
      </c>
      <c r="P1017" s="92">
        <f>IF($O1017="","",L1017-O1017-(L1017*IF(L1017&lt;=79.99,20%,14%)+IF(L1017&lt;=79.99,4,IF(L1017&lt;=99.99,16,IF(L1017&lt;=199.99,20,IF(L1017&lt;=499.99,26,28)))))-L1017*1.3%-L1017*6%-(L1017-O1017)*9.25%-L1017*3%-L1017*3%-1)</f>
        <v/>
      </c>
      <c r="Q1017" s="60" t="inlineStr">
        <is>
          <t> </t>
        </is>
      </c>
      <c r="R1017" s="60" t="inlineStr">
        <is>
          <t> </t>
        </is>
      </c>
      <c r="S1017" s="60" t="inlineStr">
        <is>
          <t> </t>
        </is>
      </c>
      <c r="T1017" s="60" t="inlineStr">
        <is>
          <t> </t>
        </is>
      </c>
      <c r="U1017" s="60" t="n">
        <v>101684</v>
      </c>
      <c r="V1017" t="inlineStr">
        <is>
          <t>GAIOLA-HAMSTERS-ROXO</t>
        </is>
      </c>
      <c r="W1017" t="inlineStr">
        <is>
          <t>SKU idêntico na Olist · CUSTO ZERADO na Olist (conferido hoje)</t>
        </is>
      </c>
      <c r="Y1017" t="inlineStr">
        <is>
          <t>ok</t>
        </is>
      </c>
    </row>
    <row r="1018" ht="18" customHeight="1">
      <c r="A1018" s="54" t="inlineStr">
        <is>
          <t>Donacor</t>
        </is>
      </c>
      <c r="B1018" s="54" t="inlineStr">
        <is>
          <t>Gaiola Hamster Tubo 3 Andares Espaco De Bicho Completa com Rodinha</t>
        </is>
      </c>
      <c r="C1018" s="54" t="inlineStr">
        <is>
          <t>VERMELHO</t>
        </is>
      </c>
      <c r="D1018" s="54" t="inlineStr">
        <is>
          <t>GAIOLA-HAMSTERS-VERMELHA</t>
        </is>
      </c>
      <c r="E1018" s="54" t="n">
        <v>22493824274</v>
      </c>
      <c r="F1018" s="54" t="n">
        <v>199605004810</v>
      </c>
      <c r="G1018" s="54" t="inlineStr">
        <is>
          <t>NORMAL</t>
        </is>
      </c>
      <c r="H1018" s="86" t="n">
        <v>209.9</v>
      </c>
      <c r="I1018" s="86" t="n">
        <v>209.9</v>
      </c>
      <c r="J1018" s="69" t="inlineStr">
        <is>
          <t>NÃO</t>
        </is>
      </c>
      <c r="K1018" s="54" t="n"/>
      <c r="L1018" s="87" t="n">
        <v>209.9</v>
      </c>
      <c r="P1018" s="90">
        <f>IF($O1018="","",L1018-O1018-(L1018*IF(L1018&lt;=79.99,20%,14%)+IF(L1018&lt;=79.99,4,IF(L1018&lt;=99.99,16,IF(L1018&lt;=199.99,20,IF(L1018&lt;=499.99,26,28)))))-L1018*1.3%-L1018*6%-(L1018-O1018)*9.25%-L1018*3%-L1018*3%-1)</f>
        <v/>
      </c>
      <c r="Q1018" s="54">
        <f>IF(AND(K1018&lt;&gt;"",H1018&gt;0),(H1018-K1018)/H1018,"")</f>
        <v/>
      </c>
      <c r="R1018" s="54" t="n"/>
      <c r="S1018" s="54" t="n"/>
      <c r="T1018" s="54" t="n"/>
      <c r="U1018" s="54" t="n">
        <v>101684</v>
      </c>
      <c r="V1018" t="inlineStr">
        <is>
          <t>GAIOLA-HAMSTERS-VERMELHA</t>
        </is>
      </c>
      <c r="W1018" t="inlineStr">
        <is>
          <t>SKU idêntico na Olist · CUSTO ZERADO na Olist (conferido hoje)</t>
        </is>
      </c>
      <c r="Y1018" t="inlineStr">
        <is>
          <t>ok</t>
        </is>
      </c>
    </row>
    <row r="1019" ht="18" customHeight="1">
      <c r="A1019" s="60" t="inlineStr">
        <is>
          <t>Donacor</t>
        </is>
      </c>
      <c r="B1019" s="60" t="inlineStr">
        <is>
          <t>Gaiola Viveiro Forcevet Fauna Pet Luxo Multiuso Jel Plast</t>
        </is>
      </c>
      <c r="C1019" s="60" t="inlineStr">
        <is>
          <t>BLACK/BLACK</t>
        </is>
      </c>
      <c r="D1019" s="60" t="inlineStr">
        <is>
          <t>VIVEIRO-G-BLACK/BLACK</t>
        </is>
      </c>
      <c r="E1019" s="60" t="n">
        <v>23597507080</v>
      </c>
      <c r="F1019" s="60" t="n">
        <v>199595359571</v>
      </c>
      <c r="G1019" s="60" t="inlineStr">
        <is>
          <t>NORMAL</t>
        </is>
      </c>
      <c r="H1019" s="91" t="n">
        <v>1600</v>
      </c>
      <c r="I1019" s="91" t="n">
        <v>1600</v>
      </c>
      <c r="J1019" s="62" t="inlineStr">
        <is>
          <t>NÃO</t>
        </is>
      </c>
      <c r="K1019" s="60" t="inlineStr">
        <is>
          <t> </t>
        </is>
      </c>
      <c r="L1019" s="87" t="n">
        <v>1600</v>
      </c>
      <c r="P1019" s="92">
        <f>IF($O1019="","",L1019-O1019-(L1019*IF(L1019&lt;=79.99,20%,14%)+IF(L1019&lt;=79.99,4,IF(L1019&lt;=99.99,16,IF(L1019&lt;=199.99,20,IF(L1019&lt;=499.99,26,28)))))-L1019*1.3%-L1019*6%-(L1019-O1019)*9.25%-L1019*3%-L1019*3%-1)</f>
        <v/>
      </c>
      <c r="Q1019" s="60" t="inlineStr">
        <is>
          <t> </t>
        </is>
      </c>
      <c r="R1019" s="60" t="inlineStr">
        <is>
          <t> </t>
        </is>
      </c>
      <c r="S1019" s="60" t="inlineStr">
        <is>
          <t> </t>
        </is>
      </c>
      <c r="T1019" s="60" t="inlineStr">
        <is>
          <t> </t>
        </is>
      </c>
      <c r="U1019" s="60" t="n">
        <v>101684</v>
      </c>
      <c r="W1019" t="inlineStr">
        <is>
          <t>sem correspondência</t>
        </is>
      </c>
      <c r="Y1019" t="inlineStr"/>
    </row>
    <row r="1020" ht="18" customHeight="1">
      <c r="A1020" s="54" t="inlineStr">
        <is>
          <t>Donacor</t>
        </is>
      </c>
      <c r="B1020" s="54" t="inlineStr">
        <is>
          <t>Gaiola Viveiro Forcevet Fauna Pet Luxo Multiuso Jel Plast</t>
        </is>
      </c>
      <c r="C1020" s="54" t="inlineStr">
        <is>
          <t>BLACK/LILÁS</t>
        </is>
      </c>
      <c r="D1020" s="54" t="inlineStr">
        <is>
          <t>VIVEIRO-G-BLACK/LILÁS</t>
        </is>
      </c>
      <c r="E1020" s="54" t="n">
        <v>23597507080</v>
      </c>
      <c r="F1020" s="54" t="n">
        <v>199595359570</v>
      </c>
      <c r="G1020" s="54" t="inlineStr">
        <is>
          <t>NORMAL</t>
        </is>
      </c>
      <c r="H1020" s="86" t="n">
        <v>1600</v>
      </c>
      <c r="I1020" s="86" t="n">
        <v>1600</v>
      </c>
      <c r="J1020" s="69" t="inlineStr">
        <is>
          <t>NÃO</t>
        </is>
      </c>
      <c r="K1020" s="54" t="n"/>
      <c r="L1020" s="87" t="n">
        <v>1600</v>
      </c>
      <c r="P1020" s="90">
        <f>IF($O1020="","",L1020-O1020-(L1020*IF(L1020&lt;=79.99,20%,14%)+IF(L1020&lt;=79.99,4,IF(L1020&lt;=99.99,16,IF(L1020&lt;=199.99,20,IF(L1020&lt;=499.99,26,28)))))-L1020*1.3%-L1020*6%-(L1020-O1020)*9.25%-L1020*3%-L1020*3%-1)</f>
        <v/>
      </c>
      <c r="Q1020" s="54">
        <f>IF(AND(K1020&lt;&gt;"",H1020&gt;0),(H1020-K1020)/H1020,"")</f>
        <v/>
      </c>
      <c r="R1020" s="54" t="n"/>
      <c r="S1020" s="54" t="n"/>
      <c r="T1020" s="54" t="n"/>
      <c r="U1020" s="54" t="n">
        <v>101684</v>
      </c>
      <c r="W1020" t="inlineStr">
        <is>
          <t>sem correspondência</t>
        </is>
      </c>
      <c r="Y1020" t="inlineStr"/>
    </row>
    <row r="1021" ht="18" customHeight="1">
      <c r="A1021" s="60" t="inlineStr">
        <is>
          <t>Donacor</t>
        </is>
      </c>
      <c r="B1021" s="60" t="inlineStr">
        <is>
          <t>Gaiola Viveiro Forcevet Fauna Pet Luxo Multiuso Jel Plast</t>
        </is>
      </c>
      <c r="C1021" s="60" t="inlineStr">
        <is>
          <t>BRANCO/BLACK</t>
        </is>
      </c>
      <c r="D1021" s="60" t="inlineStr">
        <is>
          <t>VIVEIRO-G-BRANCO/BLACK</t>
        </is>
      </c>
      <c r="E1021" s="60" t="n">
        <v>23597507080</v>
      </c>
      <c r="F1021" s="60" t="n">
        <v>199595359569</v>
      </c>
      <c r="G1021" s="60" t="inlineStr">
        <is>
          <t>NORMAL</t>
        </is>
      </c>
      <c r="H1021" s="91" t="n">
        <v>1600</v>
      </c>
      <c r="I1021" s="91" t="n">
        <v>1600</v>
      </c>
      <c r="J1021" s="62" t="inlineStr">
        <is>
          <t>NÃO</t>
        </is>
      </c>
      <c r="K1021" s="60" t="inlineStr">
        <is>
          <t> </t>
        </is>
      </c>
      <c r="L1021" s="87" t="n">
        <v>1600</v>
      </c>
      <c r="P1021" s="92">
        <f>IF($O1021="","",L1021-O1021-(L1021*IF(L1021&lt;=79.99,20%,14%)+IF(L1021&lt;=79.99,4,IF(L1021&lt;=99.99,16,IF(L1021&lt;=199.99,20,IF(L1021&lt;=499.99,26,28)))))-L1021*1.3%-L1021*6%-(L1021-O1021)*9.25%-L1021*3%-L1021*3%-1)</f>
        <v/>
      </c>
      <c r="Q1021" s="60" t="inlineStr">
        <is>
          <t> </t>
        </is>
      </c>
      <c r="R1021" s="60" t="inlineStr">
        <is>
          <t> </t>
        </is>
      </c>
      <c r="S1021" s="60" t="inlineStr">
        <is>
          <t> </t>
        </is>
      </c>
      <c r="T1021" s="60" t="inlineStr">
        <is>
          <t> </t>
        </is>
      </c>
      <c r="U1021" s="60" t="n">
        <v>101684</v>
      </c>
      <c r="W1021" t="inlineStr">
        <is>
          <t>sem correspondência</t>
        </is>
      </c>
      <c r="Y1021" t="inlineStr"/>
    </row>
    <row r="1022" ht="18" customHeight="1">
      <c r="A1022" s="54" t="inlineStr">
        <is>
          <t>Donacor</t>
        </is>
      </c>
      <c r="B1022" s="54" t="inlineStr">
        <is>
          <t>Gaiola Viveiro Forcevet Fauna Pet Luxo Multiuso Jel Plast</t>
        </is>
      </c>
      <c r="C1022" s="54" t="inlineStr">
        <is>
          <t>BRANCO/LILÁS</t>
        </is>
      </c>
      <c r="D1022" s="54" t="inlineStr">
        <is>
          <t>VIVEIRO-G-BRANCO/LILÁS</t>
        </is>
      </c>
      <c r="E1022" s="54" t="n">
        <v>23597507080</v>
      </c>
      <c r="F1022" s="54" t="n">
        <v>199595359568</v>
      </c>
      <c r="G1022" s="54" t="inlineStr">
        <is>
          <t>NORMAL</t>
        </is>
      </c>
      <c r="H1022" s="86" t="n">
        <v>1600</v>
      </c>
      <c r="I1022" s="86" t="n">
        <v>1600</v>
      </c>
      <c r="J1022" s="69" t="inlineStr">
        <is>
          <t>NÃO</t>
        </is>
      </c>
      <c r="K1022" s="54" t="n"/>
      <c r="L1022" s="87" t="n">
        <v>1600</v>
      </c>
      <c r="P1022" s="90">
        <f>IF($O1022="","",L1022-O1022-(L1022*IF(L1022&lt;=79.99,20%,14%)+IF(L1022&lt;=79.99,4,IF(L1022&lt;=99.99,16,IF(L1022&lt;=199.99,20,IF(L1022&lt;=499.99,26,28)))))-L1022*1.3%-L1022*6%-(L1022-O1022)*9.25%-L1022*3%-L1022*3%-1)</f>
        <v/>
      </c>
      <c r="Q1022" s="54">
        <f>IF(AND(K1022&lt;&gt;"",H1022&gt;0),(H1022-K1022)/H1022,"")</f>
        <v/>
      </c>
      <c r="R1022" s="54" t="n"/>
      <c r="S1022" s="54" t="n"/>
      <c r="T1022" s="54" t="n"/>
      <c r="U1022" s="54" t="n">
        <v>101684</v>
      </c>
      <c r="W1022" t="inlineStr">
        <is>
          <t>sem correspondência</t>
        </is>
      </c>
      <c r="Y1022" t="inlineStr"/>
    </row>
    <row r="1023" ht="18" customHeight="1">
      <c r="A1023" s="60" t="inlineStr">
        <is>
          <t>Donacor</t>
        </is>
      </c>
      <c r="B1023" s="60" t="inlineStr">
        <is>
          <t>Gaiola Viveiro Médio Forcevet Fauna Pet Luxo Mult Jel Plast</t>
        </is>
      </c>
      <c r="C1023" s="60" t="inlineStr">
        <is>
          <t>BLACK/BLACK</t>
        </is>
      </c>
      <c r="D1023" s="60" t="inlineStr">
        <is>
          <t>VIVEIRO-M-BLACK/BLACK</t>
        </is>
      </c>
      <c r="E1023" s="60" t="n">
        <v>23593010270</v>
      </c>
      <c r="F1023" s="60" t="n">
        <v>209162911092</v>
      </c>
      <c r="G1023" s="60" t="inlineStr">
        <is>
          <t>NORMAL</t>
        </is>
      </c>
      <c r="H1023" s="91" t="n">
        <v>999.9</v>
      </c>
      <c r="I1023" s="91" t="n">
        <v>999.9</v>
      </c>
      <c r="J1023" s="62" t="inlineStr">
        <is>
          <t>NÃO</t>
        </is>
      </c>
      <c r="K1023" s="60" t="inlineStr">
        <is>
          <t> </t>
        </is>
      </c>
      <c r="L1023" s="87" t="n">
        <v>999.9</v>
      </c>
      <c r="P1023" s="92">
        <f>IF($O1023="","",L1023-O1023-(L1023*IF(L1023&lt;=79.99,20%,14%)+IF(L1023&lt;=79.99,4,IF(L1023&lt;=99.99,16,IF(L1023&lt;=199.99,20,IF(L1023&lt;=499.99,26,28)))))-L1023*1.3%-L1023*6%-(L1023-O1023)*9.25%-L1023*3%-L1023*3%-1)</f>
        <v/>
      </c>
      <c r="Q1023" s="60" t="inlineStr">
        <is>
          <t> </t>
        </is>
      </c>
      <c r="R1023" s="60" t="inlineStr">
        <is>
          <t> </t>
        </is>
      </c>
      <c r="S1023" s="60" t="inlineStr">
        <is>
          <t> </t>
        </is>
      </c>
      <c r="T1023" s="60" t="inlineStr">
        <is>
          <t> </t>
        </is>
      </c>
      <c r="U1023" s="60" t="n">
        <v>101684</v>
      </c>
      <c r="W1023" t="inlineStr">
        <is>
          <t>sem correspondência</t>
        </is>
      </c>
      <c r="Y1023" t="inlineStr"/>
    </row>
    <row r="1024" ht="18" customHeight="1">
      <c r="A1024" s="54" t="inlineStr">
        <is>
          <t>Donacor</t>
        </is>
      </c>
      <c r="B1024" s="54" t="inlineStr">
        <is>
          <t>Gaiola Viveiro Médio Forcevet Fauna Pet Luxo Mult Jel Plast</t>
        </is>
      </c>
      <c r="C1024" s="54" t="inlineStr">
        <is>
          <t>BLACK/LILAS</t>
        </is>
      </c>
      <c r="D1024" s="54" t="inlineStr">
        <is>
          <t>VIVEIRO-M-BLACK/LILÁS</t>
        </is>
      </c>
      <c r="E1024" s="54" t="n">
        <v>23593010270</v>
      </c>
      <c r="F1024" s="54" t="n">
        <v>209162911090</v>
      </c>
      <c r="G1024" s="54" t="inlineStr">
        <is>
          <t>NORMAL</t>
        </is>
      </c>
      <c r="H1024" s="86" t="n">
        <v>999.9</v>
      </c>
      <c r="I1024" s="86" t="n">
        <v>999.9</v>
      </c>
      <c r="J1024" s="69" t="inlineStr">
        <is>
          <t>NÃO</t>
        </is>
      </c>
      <c r="K1024" s="54" t="n"/>
      <c r="L1024" s="87" t="n">
        <v>999.9</v>
      </c>
      <c r="P1024" s="90">
        <f>IF($O1024="","",L1024-O1024-(L1024*IF(L1024&lt;=79.99,20%,14%)+IF(L1024&lt;=79.99,4,IF(L1024&lt;=99.99,16,IF(L1024&lt;=199.99,20,IF(L1024&lt;=499.99,26,28)))))-L1024*1.3%-L1024*6%-(L1024-O1024)*9.25%-L1024*3%-L1024*3%-1)</f>
        <v/>
      </c>
      <c r="Q1024" s="54">
        <f>IF(AND(K1024&lt;&gt;"",H1024&gt;0),(H1024-K1024)/H1024,"")</f>
        <v/>
      </c>
      <c r="R1024" s="54" t="n"/>
      <c r="S1024" s="54" t="n"/>
      <c r="T1024" s="54" t="n"/>
      <c r="U1024" s="54" t="n">
        <v>101684</v>
      </c>
      <c r="W1024" t="inlineStr">
        <is>
          <t>sem correspondência</t>
        </is>
      </c>
      <c r="Y1024" t="inlineStr"/>
    </row>
    <row r="1025" ht="18" customHeight="1">
      <c r="A1025" s="60" t="inlineStr">
        <is>
          <t>Donacor</t>
        </is>
      </c>
      <c r="B1025" s="60" t="inlineStr">
        <is>
          <t>Gaiola Viveiro Médio Forcevet Fauna Pet Luxo Mult Jel Plast</t>
        </is>
      </c>
      <c r="C1025" s="60" t="inlineStr">
        <is>
          <t>BRANCO/BLACK</t>
        </is>
      </c>
      <c r="D1025" s="60" t="inlineStr">
        <is>
          <t>VIVEIRO-M-BRANCO/BLACK</t>
        </is>
      </c>
      <c r="E1025" s="60" t="n">
        <v>23593010270</v>
      </c>
      <c r="F1025" s="60" t="n">
        <v>209162911089</v>
      </c>
      <c r="G1025" s="60" t="inlineStr">
        <is>
          <t>NORMAL</t>
        </is>
      </c>
      <c r="H1025" s="91" t="n">
        <v>999.9</v>
      </c>
      <c r="I1025" s="91" t="n">
        <v>999.9</v>
      </c>
      <c r="J1025" s="62" t="inlineStr">
        <is>
          <t>NÃO</t>
        </is>
      </c>
      <c r="K1025" s="60" t="inlineStr">
        <is>
          <t> </t>
        </is>
      </c>
      <c r="L1025" s="87" t="n">
        <v>999.9</v>
      </c>
      <c r="P1025" s="92">
        <f>IF($O1025="","",L1025-O1025-(L1025*IF(L1025&lt;=79.99,20%,14%)+IF(L1025&lt;=79.99,4,IF(L1025&lt;=99.99,16,IF(L1025&lt;=199.99,20,IF(L1025&lt;=499.99,26,28)))))-L1025*1.3%-L1025*6%-(L1025-O1025)*9.25%-L1025*3%-L1025*3%-1)</f>
        <v/>
      </c>
      <c r="Q1025" s="60" t="inlineStr">
        <is>
          <t> </t>
        </is>
      </c>
      <c r="R1025" s="60" t="inlineStr">
        <is>
          <t> </t>
        </is>
      </c>
      <c r="S1025" s="60" t="inlineStr">
        <is>
          <t> </t>
        </is>
      </c>
      <c r="T1025" s="60" t="inlineStr">
        <is>
          <t> </t>
        </is>
      </c>
      <c r="U1025" s="60" t="n">
        <v>101684</v>
      </c>
      <c r="W1025" t="inlineStr">
        <is>
          <t>sem correspondência</t>
        </is>
      </c>
      <c r="Y1025" t="inlineStr"/>
    </row>
    <row r="1026" ht="18" customHeight="1">
      <c r="A1026" s="54" t="inlineStr">
        <is>
          <t>Donacor</t>
        </is>
      </c>
      <c r="B1026" s="54" t="inlineStr">
        <is>
          <t>Gaiola Viveiro Médio Forcevet Fauna Pet Luxo Mult Jel Plast</t>
        </is>
      </c>
      <c r="C1026" s="54" t="inlineStr">
        <is>
          <t>BRANCO/LILAS</t>
        </is>
      </c>
      <c r="D1026" s="54" t="inlineStr">
        <is>
          <t>VIVEIRO-M-BRANCO/LILÁS</t>
        </is>
      </c>
      <c r="E1026" s="54" t="n">
        <v>23593010270</v>
      </c>
      <c r="F1026" s="54" t="n">
        <v>209162911091</v>
      </c>
      <c r="G1026" s="54" t="inlineStr">
        <is>
          <t>NORMAL</t>
        </is>
      </c>
      <c r="H1026" s="86" t="n">
        <v>999.9</v>
      </c>
      <c r="I1026" s="86" t="n">
        <v>999.9</v>
      </c>
      <c r="J1026" s="69" t="inlineStr">
        <is>
          <t>NÃO</t>
        </is>
      </c>
      <c r="K1026" s="54" t="n"/>
      <c r="L1026" s="87" t="n">
        <v>999.9</v>
      </c>
      <c r="P1026" s="90">
        <f>IF($O1026="","",L1026-O1026-(L1026*IF(L1026&lt;=79.99,20%,14%)+IF(L1026&lt;=79.99,4,IF(L1026&lt;=99.99,16,IF(L1026&lt;=199.99,20,IF(L1026&lt;=499.99,26,28)))))-L1026*1.3%-L1026*6%-(L1026-O1026)*9.25%-L1026*3%-L1026*3%-1)</f>
        <v/>
      </c>
      <c r="Q1026" s="54">
        <f>IF(AND(K1026&lt;&gt;"",H1026&gt;0),(H1026-K1026)/H1026,"")</f>
        <v/>
      </c>
      <c r="R1026" s="54" t="n"/>
      <c r="S1026" s="54" t="n"/>
      <c r="T1026" s="54" t="n"/>
      <c r="U1026" s="54" t="n">
        <v>101684</v>
      </c>
      <c r="W1026" t="inlineStr">
        <is>
          <t>sem correspondência</t>
        </is>
      </c>
      <c r="Y1026" t="inlineStr"/>
    </row>
    <row r="1027" ht="18" customHeight="1">
      <c r="A1027" s="60" t="inlineStr">
        <is>
          <t>Donacor</t>
        </is>
      </c>
      <c r="B1027" s="60" t="inlineStr">
        <is>
          <t>Gaiola Viveiro Pequeno Forcevet Fauna Pet Luxo Mult Jel Plast</t>
        </is>
      </c>
      <c r="C1027" s="60" t="inlineStr">
        <is>
          <t>BLACK/BLACK</t>
        </is>
      </c>
      <c r="D1027" s="60" t="inlineStr">
        <is>
          <t>VIVEIRO-P-BLACK/BLACK</t>
        </is>
      </c>
      <c r="E1027" s="60" t="n">
        <v>23597507039</v>
      </c>
      <c r="F1027" s="60" t="n">
        <v>228767309860</v>
      </c>
      <c r="G1027" s="60" t="inlineStr">
        <is>
          <t>NORMAL</t>
        </is>
      </c>
      <c r="H1027" s="91" t="n">
        <v>700.9</v>
      </c>
      <c r="I1027" s="91" t="n">
        <v>700.9</v>
      </c>
      <c r="J1027" s="62" t="inlineStr">
        <is>
          <t>NÃO</t>
        </is>
      </c>
      <c r="K1027" s="60" t="inlineStr">
        <is>
          <t> </t>
        </is>
      </c>
      <c r="L1027" s="87" t="n">
        <v>700.9</v>
      </c>
      <c r="P1027" s="92">
        <f>IF($O1027="","",L1027-O1027-(L1027*IF(L1027&lt;=79.99,20%,14%)+IF(L1027&lt;=79.99,4,IF(L1027&lt;=99.99,16,IF(L1027&lt;=199.99,20,IF(L1027&lt;=499.99,26,28)))))-L1027*1.3%-L1027*6%-(L1027-O1027)*9.25%-L1027*3%-L1027*3%-1)</f>
        <v/>
      </c>
      <c r="Q1027" s="60" t="inlineStr">
        <is>
          <t> </t>
        </is>
      </c>
      <c r="R1027" s="60" t="inlineStr">
        <is>
          <t> </t>
        </is>
      </c>
      <c r="S1027" s="60" t="inlineStr">
        <is>
          <t> </t>
        </is>
      </c>
      <c r="T1027" s="60" t="inlineStr">
        <is>
          <t> </t>
        </is>
      </c>
      <c r="U1027" s="60" t="n">
        <v>101684</v>
      </c>
      <c r="W1027" t="inlineStr">
        <is>
          <t>sem correspondência</t>
        </is>
      </c>
      <c r="Y1027" t="inlineStr"/>
    </row>
    <row r="1028" ht="18" customHeight="1">
      <c r="A1028" s="54" t="inlineStr">
        <is>
          <t>Donacor</t>
        </is>
      </c>
      <c r="B1028" s="54" t="inlineStr">
        <is>
          <t>Gaiola Viveiro Pequeno Forcevet Fauna Pet Luxo Mult Jel Plast</t>
        </is>
      </c>
      <c r="C1028" s="54" t="inlineStr">
        <is>
          <t>BLACK/LILÁS</t>
        </is>
      </c>
      <c r="D1028" s="54" t="inlineStr">
        <is>
          <t>VIVEIRO-P-BLACK/LILÁS</t>
        </is>
      </c>
      <c r="E1028" s="54" t="n">
        <v>23597507039</v>
      </c>
      <c r="F1028" s="54" t="n">
        <v>228767309863</v>
      </c>
      <c r="G1028" s="54" t="inlineStr">
        <is>
          <t>NORMAL</t>
        </is>
      </c>
      <c r="H1028" s="86" t="n">
        <v>700.9</v>
      </c>
      <c r="I1028" s="86" t="n">
        <v>700.9</v>
      </c>
      <c r="J1028" s="69" t="inlineStr">
        <is>
          <t>NÃO</t>
        </is>
      </c>
      <c r="K1028" s="54" t="n"/>
      <c r="L1028" s="87" t="n">
        <v>700.9</v>
      </c>
      <c r="P1028" s="90">
        <f>IF($O1028="","",L1028-O1028-(L1028*IF(L1028&lt;=79.99,20%,14%)+IF(L1028&lt;=79.99,4,IF(L1028&lt;=99.99,16,IF(L1028&lt;=199.99,20,IF(L1028&lt;=499.99,26,28)))))-L1028*1.3%-L1028*6%-(L1028-O1028)*9.25%-L1028*3%-L1028*3%-1)</f>
        <v/>
      </c>
      <c r="Q1028" s="54">
        <f>IF(AND(K1028&lt;&gt;"",H1028&gt;0),(H1028-K1028)/H1028,"")</f>
        <v/>
      </c>
      <c r="R1028" s="54" t="n"/>
      <c r="S1028" s="54" t="n"/>
      <c r="T1028" s="54" t="n"/>
      <c r="U1028" s="54" t="n">
        <v>101684</v>
      </c>
      <c r="W1028" t="inlineStr">
        <is>
          <t>sem correspondência</t>
        </is>
      </c>
      <c r="Y1028" t="inlineStr"/>
    </row>
    <row r="1029" ht="18" customHeight="1">
      <c r="A1029" s="60" t="inlineStr">
        <is>
          <t>Donacor</t>
        </is>
      </c>
      <c r="B1029" s="60" t="inlineStr">
        <is>
          <t>Gaiola Viveiro Pequeno Forcevet Fauna Pet Luxo Mult Jel Plast</t>
        </is>
      </c>
      <c r="C1029" s="60" t="inlineStr">
        <is>
          <t>BRANCO/BLACK</t>
        </is>
      </c>
      <c r="D1029" s="60" t="inlineStr">
        <is>
          <t>VIVEIRO-P-BRANCO/BLACK</t>
        </is>
      </c>
      <c r="E1029" s="60" t="n">
        <v>23597507039</v>
      </c>
      <c r="F1029" s="60" t="n">
        <v>228767309862</v>
      </c>
      <c r="G1029" s="60" t="inlineStr">
        <is>
          <t>NORMAL</t>
        </is>
      </c>
      <c r="H1029" s="91" t="n">
        <v>700.9</v>
      </c>
      <c r="I1029" s="91" t="n">
        <v>700.9</v>
      </c>
      <c r="J1029" s="62" t="inlineStr">
        <is>
          <t>NÃO</t>
        </is>
      </c>
      <c r="K1029" s="60" t="inlineStr">
        <is>
          <t> </t>
        </is>
      </c>
      <c r="L1029" s="87" t="n">
        <v>700.9</v>
      </c>
      <c r="P1029" s="92">
        <f>IF($O1029="","",L1029-O1029-(L1029*IF(L1029&lt;=79.99,20%,14%)+IF(L1029&lt;=79.99,4,IF(L1029&lt;=99.99,16,IF(L1029&lt;=199.99,20,IF(L1029&lt;=499.99,26,28)))))-L1029*1.3%-L1029*6%-(L1029-O1029)*9.25%-L1029*3%-L1029*3%-1)</f>
        <v/>
      </c>
      <c r="Q1029" s="60" t="inlineStr">
        <is>
          <t> </t>
        </is>
      </c>
      <c r="R1029" s="60" t="inlineStr">
        <is>
          <t> </t>
        </is>
      </c>
      <c r="S1029" s="60" t="inlineStr">
        <is>
          <t> </t>
        </is>
      </c>
      <c r="T1029" s="60" t="inlineStr">
        <is>
          <t> </t>
        </is>
      </c>
      <c r="U1029" s="60" t="n">
        <v>101684</v>
      </c>
      <c r="W1029" t="inlineStr">
        <is>
          <t>sem correspondência</t>
        </is>
      </c>
      <c r="Y1029" t="inlineStr"/>
    </row>
    <row r="1030" ht="18" customHeight="1">
      <c r="A1030" s="54" t="inlineStr">
        <is>
          <t>Donacor</t>
        </is>
      </c>
      <c r="B1030" s="54" t="inlineStr">
        <is>
          <t>Gaiola Viveiro Pequeno Forcevet Fauna Pet Luxo Mult Jel Plast</t>
        </is>
      </c>
      <c r="C1030" s="54" t="inlineStr">
        <is>
          <t>BRANCO/LILÁS</t>
        </is>
      </c>
      <c r="D1030" s="54" t="inlineStr">
        <is>
          <t>VIVEIRO-P-BRANCO/LILÁS</t>
        </is>
      </c>
      <c r="E1030" s="54" t="n">
        <v>23597507039</v>
      </c>
      <c r="F1030" s="54" t="n">
        <v>228767309861</v>
      </c>
      <c r="G1030" s="54" t="inlineStr">
        <is>
          <t>NORMAL</t>
        </is>
      </c>
      <c r="H1030" s="86" t="n">
        <v>700.9</v>
      </c>
      <c r="I1030" s="86" t="n">
        <v>700.9</v>
      </c>
      <c r="J1030" s="69" t="inlineStr">
        <is>
          <t>NÃO</t>
        </is>
      </c>
      <c r="K1030" s="54" t="n"/>
      <c r="L1030" s="87" t="n">
        <v>700.9</v>
      </c>
      <c r="P1030" s="90">
        <f>IF($O1030="","",L1030-O1030-(L1030*IF(L1030&lt;=79.99,20%,14%)+IF(L1030&lt;=79.99,4,IF(L1030&lt;=99.99,16,IF(L1030&lt;=199.99,20,IF(L1030&lt;=499.99,26,28)))))-L1030*1.3%-L1030*6%-(L1030-O1030)*9.25%-L1030*3%-L1030*3%-1)</f>
        <v/>
      </c>
      <c r="Q1030" s="54">
        <f>IF(AND(K1030&lt;&gt;"",H1030&gt;0),(H1030-K1030)/H1030,"")</f>
        <v/>
      </c>
      <c r="R1030" s="54" t="n"/>
      <c r="S1030" s="54" t="n"/>
      <c r="T1030" s="54" t="n"/>
      <c r="U1030" s="54" t="n">
        <v>101684</v>
      </c>
      <c r="W1030" t="inlineStr">
        <is>
          <t>sem correspondência</t>
        </is>
      </c>
      <c r="Y1030" t="inlineStr"/>
    </row>
    <row r="1031" ht="18" customHeight="1">
      <c r="A1031" s="60" t="inlineStr">
        <is>
          <t>Donacor</t>
        </is>
      </c>
      <c r="B1031" s="60" t="inlineStr">
        <is>
          <t>Hydra g colonia forever gold lux 120ml</t>
        </is>
      </c>
      <c r="C1031" s="60" t="inlineStr">
        <is>
          <t>Sem variação</t>
        </is>
      </c>
      <c r="D1031" s="60" t="n">
        <v>290</v>
      </c>
      <c r="E1031" s="60" t="n">
        <v>23097507394</v>
      </c>
      <c r="F1031" s="60" t="n">
        <v>0</v>
      </c>
      <c r="G1031" s="60" t="inlineStr">
        <is>
          <t>NORMAL</t>
        </is>
      </c>
      <c r="H1031" s="91" t="n">
        <v>189.8</v>
      </c>
      <c r="I1031" s="91" t="n">
        <v>189.8</v>
      </c>
      <c r="J1031" s="62" t="inlineStr">
        <is>
          <t>NÃO</t>
        </is>
      </c>
      <c r="K1031" s="60" t="inlineStr">
        <is>
          <t> </t>
        </is>
      </c>
      <c r="L1031" s="87" t="n">
        <v>189.8</v>
      </c>
      <c r="P1031" s="92">
        <f>IF($O1031="","",L1031-O1031-(L1031*IF(L1031&lt;=79.99,20%,14%)+IF(L1031&lt;=79.99,4,IF(L1031&lt;=99.99,16,IF(L1031&lt;=199.99,20,IF(L1031&lt;=499.99,26,28)))))-L1031*1.3%-L1031*6%-(L1031-O1031)*9.25%-L1031*3%-L1031*3%-1)</f>
        <v/>
      </c>
      <c r="Q1031" s="60" t="inlineStr">
        <is>
          <t> </t>
        </is>
      </c>
      <c r="R1031" s="60" t="inlineStr">
        <is>
          <t> </t>
        </is>
      </c>
      <c r="S1031" s="60" t="inlineStr">
        <is>
          <t> </t>
        </is>
      </c>
      <c r="T1031" s="60" t="inlineStr">
        <is>
          <t> </t>
        </is>
      </c>
      <c r="U1031" s="60" t="n">
        <v>100929</v>
      </c>
      <c r="V1031" t="inlineStr">
        <is>
          <t>290</t>
        </is>
      </c>
      <c r="W1031" t="inlineStr">
        <is>
          <t>SKU idêntico na Olist · CUSTO ZERADO na Olist (conferido hoje)</t>
        </is>
      </c>
      <c r="Y1031" t="inlineStr">
        <is>
          <t>ok</t>
        </is>
      </c>
    </row>
    <row r="1032" ht="18" customHeight="1">
      <c r="A1032" s="54" t="inlineStr">
        <is>
          <t>Donacor</t>
        </is>
      </c>
      <c r="B1032" s="54" t="inlineStr">
        <is>
          <t>HYDRA GROOMERS MASCARA HID LUXO 24K 900G</t>
        </is>
      </c>
      <c r="C1032" s="54" t="inlineStr">
        <is>
          <t>Sem variação</t>
        </is>
      </c>
      <c r="D1032" s="54" t="n">
        <v>639</v>
      </c>
      <c r="E1032" s="54" t="n">
        <v>23097507464</v>
      </c>
      <c r="F1032" s="54" t="n">
        <v>0</v>
      </c>
      <c r="G1032" s="54" t="inlineStr">
        <is>
          <t>NORMAL</t>
        </is>
      </c>
      <c r="H1032" s="86" t="n">
        <v>449.8</v>
      </c>
      <c r="I1032" s="86" t="n">
        <v>449.8</v>
      </c>
      <c r="J1032" s="69" t="inlineStr">
        <is>
          <t>NÃO</t>
        </is>
      </c>
      <c r="K1032" s="54" t="n"/>
      <c r="L1032" s="87" t="n">
        <v>449.8</v>
      </c>
      <c r="P1032" s="90">
        <f>IF($O1032="","",L1032-O1032-(L1032*IF(L1032&lt;=79.99,20%,14%)+IF(L1032&lt;=79.99,4,IF(L1032&lt;=99.99,16,IF(L1032&lt;=199.99,20,IF(L1032&lt;=499.99,26,28)))))-L1032*1.3%-L1032*6%-(L1032-O1032)*9.25%-L1032*3%-L1032*3%-1)</f>
        <v/>
      </c>
      <c r="Q1032" s="54">
        <f>IF(AND(K1032&lt;&gt;"",H1032&gt;0),(H1032-K1032)/H1032,"")</f>
        <v/>
      </c>
      <c r="R1032" s="54" t="n"/>
      <c r="S1032" s="54" t="n"/>
      <c r="T1032" s="54" t="n"/>
      <c r="U1032" s="54" t="n">
        <v>100929</v>
      </c>
      <c r="W1032" t="inlineStr">
        <is>
          <t>sem correspondência</t>
        </is>
      </c>
      <c r="Y1032" t="inlineStr"/>
    </row>
    <row r="1033" ht="18" customHeight="1">
      <c r="A1033" s="60" t="inlineStr">
        <is>
          <t>Donacor</t>
        </is>
      </c>
      <c r="B1033" s="60" t="inlineStr">
        <is>
          <t>Jogo De Talheres inox Faqueiro Porta Talher Com 25 Peças Preto Branco E Rosa</t>
        </is>
      </c>
      <c r="C1033" s="60" t="inlineStr">
        <is>
          <t>Branco</t>
        </is>
      </c>
      <c r="D1033" s="60" t="inlineStr">
        <is>
          <t>JOGO-TALHER-BRANCO</t>
        </is>
      </c>
      <c r="E1033" s="60" t="n">
        <v>51214047796</v>
      </c>
      <c r="F1033" s="60" t="n">
        <v>149366831891</v>
      </c>
      <c r="G1033" s="60" t="inlineStr">
        <is>
          <t>NORMAL</t>
        </is>
      </c>
      <c r="H1033" s="91" t="n">
        <v>44.9</v>
      </c>
      <c r="I1033" s="91" t="n">
        <v>22.9</v>
      </c>
      <c r="J1033" s="65" t="inlineStr">
        <is>
          <t>SIM</t>
        </is>
      </c>
      <c r="K1033" s="91" t="n">
        <v>22.9</v>
      </c>
      <c r="L1033" s="87" t="n">
        <v>22.9</v>
      </c>
      <c r="P1033" s="92">
        <f>IF($O1033="","",L1033-O1033-(L1033*IF(L1033&lt;=79.99,20%,14%)+IF(L1033&lt;=79.99,4,IF(L1033&lt;=99.99,16,IF(L1033&lt;=199.99,20,IF(L1033&lt;=499.99,26,28)))))-L1033*1.3%-L1033*6%-(L1033-O1033)*9.25%-L1033*3%-L1033*3%-1)</f>
        <v/>
      </c>
      <c r="Q1033" s="67" t="n">
        <v>0.49</v>
      </c>
      <c r="R1033" s="60" t="n">
        <v>492080438919432</v>
      </c>
      <c r="S1033" s="68" t="n">
        <v>46248</v>
      </c>
      <c r="T1033" s="68" t="n">
        <v>46249</v>
      </c>
      <c r="U1033" s="60" t="n">
        <v>101244</v>
      </c>
      <c r="V1033" t="inlineStr">
        <is>
          <t>JOGO-TALHER-BRANCO</t>
        </is>
      </c>
      <c r="W1033" t="inlineStr">
        <is>
          <t>SKU idêntico na Olist · CUSTO ZERADO na Olist (conferido hoje)</t>
        </is>
      </c>
      <c r="Y1033" t="inlineStr">
        <is>
          <t>ok</t>
        </is>
      </c>
    </row>
    <row r="1034" ht="18" customHeight="1">
      <c r="A1034" s="54" t="inlineStr">
        <is>
          <t>Donacor</t>
        </is>
      </c>
      <c r="B1034" s="54" t="inlineStr">
        <is>
          <t>Jogo De Talheres inox Faqueiro Porta Talher Com 25 Peças Preto Branco E Rosa</t>
        </is>
      </c>
      <c r="C1034" s="54" t="inlineStr">
        <is>
          <t>Preto</t>
        </is>
      </c>
      <c r="D1034" s="54" t="inlineStr">
        <is>
          <t>JOGO-TALHER-PRETO</t>
        </is>
      </c>
      <c r="E1034" s="54" t="n">
        <v>51214047796</v>
      </c>
      <c r="F1034" s="54" t="n">
        <v>149366831889</v>
      </c>
      <c r="G1034" s="54" t="inlineStr">
        <is>
          <t>NORMAL</t>
        </is>
      </c>
      <c r="H1034" s="86" t="n">
        <v>44.9</v>
      </c>
      <c r="I1034" s="86" t="n">
        <v>22.9</v>
      </c>
      <c r="J1034" s="56" t="inlineStr">
        <is>
          <t>SIM</t>
        </is>
      </c>
      <c r="K1034" s="86" t="n">
        <v>22.9</v>
      </c>
      <c r="L1034" s="87" t="n">
        <v>22.9</v>
      </c>
      <c r="P1034" s="90">
        <f>IF($O1034="","",L1034-O1034-(L1034*IF(L1034&lt;=79.99,20%,14%)+IF(L1034&lt;=79.99,4,IF(L1034&lt;=99.99,16,IF(L1034&lt;=199.99,20,IF(L1034&lt;=499.99,26,28)))))-L1034*1.3%-L1034*6%-(L1034-O1034)*9.25%-L1034*3%-L1034*3%-1)</f>
        <v/>
      </c>
      <c r="Q1034" s="58" t="n">
        <v>0.49</v>
      </c>
      <c r="R1034" s="54" t="n">
        <v>492080438919432</v>
      </c>
      <c r="S1034" s="59" t="n">
        <v>46248</v>
      </c>
      <c r="T1034" s="59" t="n">
        <v>46249</v>
      </c>
      <c r="U1034" s="54" t="n">
        <v>101244</v>
      </c>
      <c r="V1034" t="inlineStr">
        <is>
          <t>JOGO-TALHER-PRETO</t>
        </is>
      </c>
      <c r="W1034" t="inlineStr">
        <is>
          <t>SKU idêntico na Olist · CUSTO ZERADO na Olist (conferido hoje)</t>
        </is>
      </c>
      <c r="Y1034" t="inlineStr">
        <is>
          <t>ok</t>
        </is>
      </c>
    </row>
    <row r="1035" ht="18" customHeight="1">
      <c r="A1035" s="60" t="inlineStr">
        <is>
          <t>Donacor</t>
        </is>
      </c>
      <c r="B1035" s="60" t="inlineStr">
        <is>
          <t>Jogo De Talheres inox Faqueiro Porta Talher Com 25 Peças Preto Branco E Rosa</t>
        </is>
      </c>
      <c r="C1035" s="60" t="inlineStr">
        <is>
          <t>Rosa</t>
        </is>
      </c>
      <c r="D1035" s="60" t="inlineStr">
        <is>
          <t>JOGO-TALHER-ROSA</t>
        </is>
      </c>
      <c r="E1035" s="60" t="n">
        <v>51214047796</v>
      </c>
      <c r="F1035" s="60" t="n">
        <v>149366831890</v>
      </c>
      <c r="G1035" s="60" t="inlineStr">
        <is>
          <t>NORMAL</t>
        </is>
      </c>
      <c r="H1035" s="91" t="n">
        <v>44.9</v>
      </c>
      <c r="I1035" s="91" t="n">
        <v>27.9</v>
      </c>
      <c r="J1035" s="65" t="inlineStr">
        <is>
          <t>SIM</t>
        </is>
      </c>
      <c r="K1035" s="91" t="n">
        <v>27.9</v>
      </c>
      <c r="L1035" s="87" t="n">
        <v>22.9</v>
      </c>
      <c r="P1035" s="92">
        <f>IF($O1035="","",L1035-O1035-(L1035*IF(L1035&lt;=79.99,20%,14%)+IF(L1035&lt;=79.99,4,IF(L1035&lt;=99.99,16,IF(L1035&lt;=199.99,20,IF(L1035&lt;=499.99,26,28)))))-L1035*1.3%-L1035*6%-(L1035-O1035)*9.25%-L1035*3%-L1035*3%-1)</f>
        <v/>
      </c>
      <c r="Q1035" s="67" t="n">
        <v>0.49</v>
      </c>
      <c r="R1035" s="60" t="n">
        <v>492080438919432</v>
      </c>
      <c r="S1035" s="68" t="n">
        <v>46248</v>
      </c>
      <c r="T1035" s="68" t="n">
        <v>46249</v>
      </c>
      <c r="U1035" s="60" t="n">
        <v>101244</v>
      </c>
      <c r="V1035" t="inlineStr">
        <is>
          <t>JOGO-TALHER-ROSA</t>
        </is>
      </c>
      <c r="W1035" t="inlineStr">
        <is>
          <t>SKU idêntico na Olist · CUSTO ZERADO na Olist (conferido hoje)</t>
        </is>
      </c>
      <c r="Y1035" t="inlineStr">
        <is>
          <t>ok</t>
        </is>
      </c>
    </row>
    <row r="1036" ht="18" customHeight="1">
      <c r="A1036" s="54" t="inlineStr">
        <is>
          <t>Donacor</t>
        </is>
      </c>
      <c r="B1036" s="54" t="inlineStr">
        <is>
          <t>Jogo De Talheres inox Faqueiro Porta Talher Com 25 Peças Preto Branco E Rosa</t>
        </is>
      </c>
      <c r="C1036" s="54" t="inlineStr">
        <is>
          <t>Sortido</t>
        </is>
      </c>
      <c r="D1036" s="54" t="inlineStr">
        <is>
          <t>JOGO-TALHER-SORTIDO</t>
        </is>
      </c>
      <c r="E1036" s="54" t="n">
        <v>51214047796</v>
      </c>
      <c r="F1036" s="54" t="n">
        <v>149366831893</v>
      </c>
      <c r="G1036" s="54" t="inlineStr">
        <is>
          <t>NORMAL</t>
        </is>
      </c>
      <c r="H1036" s="86" t="n">
        <v>44.9</v>
      </c>
      <c r="I1036" s="86" t="n">
        <v>19.9</v>
      </c>
      <c r="J1036" s="56" t="inlineStr">
        <is>
          <t>SIM</t>
        </is>
      </c>
      <c r="K1036" s="86" t="n">
        <v>19.9</v>
      </c>
      <c r="L1036" s="87" t="n">
        <v>19.9</v>
      </c>
      <c r="P1036" s="90">
        <f>IF($O1036="","",L1036-O1036-(L1036*IF(L1036&lt;=79.99,20%,14%)+IF(L1036&lt;=79.99,4,IF(L1036&lt;=99.99,16,IF(L1036&lt;=199.99,20,IF(L1036&lt;=499.99,26,28)))))-L1036*1.3%-L1036*6%-(L1036-O1036)*9.25%-L1036*3%-L1036*3%-1)</f>
        <v/>
      </c>
      <c r="Q1036" s="58" t="n">
        <v>0.5570000000000001</v>
      </c>
      <c r="R1036" s="54" t="n">
        <v>492080438919432</v>
      </c>
      <c r="S1036" s="59" t="n">
        <v>46248</v>
      </c>
      <c r="T1036" s="59" t="n">
        <v>46249</v>
      </c>
      <c r="U1036" s="54" t="n">
        <v>101244</v>
      </c>
      <c r="V1036" t="inlineStr">
        <is>
          <t>JOGO-TALHER-SORTIDO</t>
        </is>
      </c>
      <c r="W1036" t="inlineStr">
        <is>
          <t>SKU idêntico na Olist · CUSTO ZERADO na Olist (conferido hoje)</t>
        </is>
      </c>
      <c r="Y1036" t="inlineStr">
        <is>
          <t>ok</t>
        </is>
      </c>
    </row>
    <row r="1037" ht="18" customHeight="1">
      <c r="A1037" s="60" t="inlineStr">
        <is>
          <t>Donacor</t>
        </is>
      </c>
      <c r="B1037" s="60" t="inlineStr">
        <is>
          <t>Jogo De Talheres inox Faqueiro Porta Talher Com 25 Peças Preto Branco E Rosa</t>
        </is>
      </c>
      <c r="C1037" s="60" t="inlineStr">
        <is>
          <t>Vermelho</t>
        </is>
      </c>
      <c r="D1037" s="60" t="inlineStr">
        <is>
          <t>JOGO-TALHER-VERMELHO</t>
        </is>
      </c>
      <c r="E1037" s="60" t="n">
        <v>51214047796</v>
      </c>
      <c r="F1037" s="60" t="n">
        <v>149366831892</v>
      </c>
      <c r="G1037" s="60" t="inlineStr">
        <is>
          <t>NORMAL</t>
        </is>
      </c>
      <c r="H1037" s="91" t="n">
        <v>44.9</v>
      </c>
      <c r="I1037" s="91" t="n">
        <v>27.9</v>
      </c>
      <c r="J1037" s="65" t="inlineStr">
        <is>
          <t>SIM</t>
        </is>
      </c>
      <c r="K1037" s="91" t="n">
        <v>27.9</v>
      </c>
      <c r="L1037" s="87" t="n">
        <v>22.9</v>
      </c>
      <c r="P1037" s="92">
        <f>IF($O1037="","",L1037-O1037-(L1037*IF(L1037&lt;=79.99,20%,14%)+IF(L1037&lt;=79.99,4,IF(L1037&lt;=99.99,16,IF(L1037&lt;=199.99,20,IF(L1037&lt;=499.99,26,28)))))-L1037*1.3%-L1037*6%-(L1037-O1037)*9.25%-L1037*3%-L1037*3%-1)</f>
        <v/>
      </c>
      <c r="Q1037" s="67" t="n">
        <v>0.49</v>
      </c>
      <c r="R1037" s="60" t="n">
        <v>492080438919432</v>
      </c>
      <c r="S1037" s="68" t="n">
        <v>46248</v>
      </c>
      <c r="T1037" s="68" t="n">
        <v>46249</v>
      </c>
      <c r="U1037" s="60" t="n">
        <v>101244</v>
      </c>
      <c r="V1037" t="inlineStr">
        <is>
          <t>JOGO-TALHER-VERMELHO</t>
        </is>
      </c>
      <c r="W1037" t="inlineStr">
        <is>
          <t>SKU idêntico na Olist · CUSTO ZERADO na Olist (conferido hoje)</t>
        </is>
      </c>
      <c r="Y1037" t="inlineStr">
        <is>
          <t>ok</t>
        </is>
      </c>
    </row>
    <row r="1038" ht="18" customHeight="1">
      <c r="A1038" s="54" t="inlineStr">
        <is>
          <t>Donacor</t>
        </is>
      </c>
      <c r="B1038" s="54" t="inlineStr">
        <is>
          <t>kit 1 - Cordão 100 Led interno 4 fixo 1 - 10 metro fio verde pisca pisca decoração natal plugue macho</t>
        </is>
      </c>
      <c r="C1038" s="54" t="inlineStr">
        <is>
          <t>Branco Frio 8 Funções 220V,110V</t>
        </is>
      </c>
      <c r="D1038" s="54" t="inlineStr">
        <is>
          <t>PISCA-110V-1UN-BRANCO FRIO</t>
        </is>
      </c>
      <c r="E1038" s="54" t="n">
        <v>54751189857</v>
      </c>
      <c r="F1038" s="54" t="n">
        <v>345107953127</v>
      </c>
      <c r="G1038" s="54" t="inlineStr">
        <is>
          <t>NORMAL</t>
        </is>
      </c>
      <c r="H1038" s="86" t="n">
        <v>69.90000000000001</v>
      </c>
      <c r="I1038" s="86" t="n">
        <v>17.9</v>
      </c>
      <c r="J1038" s="56" t="inlineStr">
        <is>
          <t>SIM</t>
        </is>
      </c>
      <c r="K1038" s="86" t="n">
        <v>17.9</v>
      </c>
      <c r="L1038" s="87" t="n">
        <v>17.9</v>
      </c>
      <c r="M1038" s="88" t="n">
        <v>1</v>
      </c>
      <c r="N1038" s="89" t="n">
        <v>5.78</v>
      </c>
      <c r="O1038" s="89">
        <f>ROUND(M1038*N1038,2)</f>
        <v/>
      </c>
      <c r="P1038" s="90">
        <f>IF($O1038="","",L1038-O1038-(L1038*IF(L1038&lt;=79.99,20%,14%)+IF(L1038&lt;=79.99,4,IF(L1038&lt;=99.99,16,IF(L1038&lt;=199.99,20,IF(L1038&lt;=499.99,26,28)))))-L1038*1.3%-L1038*6%-(L1038-O1038)*9.25%-L1038*3%-L1038*3%-1)</f>
        <v/>
      </c>
      <c r="Q1038" s="58" t="n">
        <v>0.744</v>
      </c>
      <c r="R1038" s="54" t="n">
        <v>478840979931317</v>
      </c>
      <c r="S1038" s="59" t="n">
        <v>46248</v>
      </c>
      <c r="T1038" s="59" t="n">
        <v>46248.99930555555</v>
      </c>
      <c r="U1038" s="54" t="n">
        <v>100719</v>
      </c>
      <c r="V1038" t="inlineStr">
        <is>
          <t>214196</t>
        </is>
      </c>
      <c r="W1038" t="inlineStr">
        <is>
          <t>venda casada (2 pedidos) · custo do KIT 214211 (1× 214196)</t>
        </is>
      </c>
      <c r="X1038" t="n">
        <v>2</v>
      </c>
      <c r="Y1038" t="inlineStr">
        <is>
          <t>ok</t>
        </is>
      </c>
    </row>
    <row r="1039" ht="18" customHeight="1">
      <c r="A1039" s="60" t="inlineStr">
        <is>
          <t>Donacor</t>
        </is>
      </c>
      <c r="B1039" s="60" t="inlineStr">
        <is>
          <t>kit 1 - Cordão 100 Led interno 4 fixo 1 - 10 metro fio verde pisca pisca decoração natal plugue macho</t>
        </is>
      </c>
      <c r="C1039" s="60" t="inlineStr">
        <is>
          <t>Branco Frio 8 Funções 220V,220V</t>
        </is>
      </c>
      <c r="D1039" s="60" t="inlineStr">
        <is>
          <t>PISCA-220V-1UN-BRANCO FRIO</t>
        </is>
      </c>
      <c r="E1039" s="60" t="n">
        <v>54751189857</v>
      </c>
      <c r="F1039" s="60" t="n">
        <v>345107953128</v>
      </c>
      <c r="G1039" s="60" t="inlineStr">
        <is>
          <t>NORMAL</t>
        </is>
      </c>
      <c r="H1039" s="91" t="n">
        <v>109.9</v>
      </c>
      <c r="I1039" s="91" t="n">
        <v>109.9</v>
      </c>
      <c r="J1039" s="62" t="inlineStr">
        <is>
          <t>NÃO</t>
        </is>
      </c>
      <c r="K1039" s="60" t="inlineStr">
        <is>
          <t> </t>
        </is>
      </c>
      <c r="L1039" s="87" t="n">
        <v>109.9</v>
      </c>
      <c r="P1039" s="92">
        <f>IF($O1039="","",L1039-O1039-(L1039*IF(L1039&lt;=79.99,20%,14%)+IF(L1039&lt;=79.99,4,IF(L1039&lt;=99.99,16,IF(L1039&lt;=199.99,20,IF(L1039&lt;=499.99,26,28)))))-L1039*1.3%-L1039*6%-(L1039-O1039)*9.25%-L1039*3%-L1039*3%-1)</f>
        <v/>
      </c>
      <c r="Q1039" s="60" t="inlineStr">
        <is>
          <t> </t>
        </is>
      </c>
      <c r="R1039" s="60" t="inlineStr">
        <is>
          <t> </t>
        </is>
      </c>
      <c r="S1039" s="60" t="inlineStr">
        <is>
          <t> </t>
        </is>
      </c>
      <c r="T1039" s="60" t="inlineStr">
        <is>
          <t> </t>
        </is>
      </c>
      <c r="U1039" s="60" t="n">
        <v>100719</v>
      </c>
      <c r="V1039" t="inlineStr">
        <is>
          <t>PISCA-220V-1UN-BRANCO FRIO</t>
        </is>
      </c>
      <c r="W1039" t="inlineStr">
        <is>
          <t>SKU idêntico na Olist · CUSTO ZERADO na Olist (conferido hoje)</t>
        </is>
      </c>
      <c r="Y1039" t="inlineStr">
        <is>
          <t>ok</t>
        </is>
      </c>
    </row>
    <row r="1040" ht="18" customHeight="1">
      <c r="A1040" s="54" t="inlineStr">
        <is>
          <t>Donacor</t>
        </is>
      </c>
      <c r="B1040" s="54" t="inlineStr">
        <is>
          <t>kit 1 - Cordão 100 Led interno 4 fixo 1 - 10 metro fio verde pisca pisca decoração natal plugue macho</t>
        </is>
      </c>
      <c r="C1040" s="54" t="inlineStr">
        <is>
          <t>Branco Quente 8 Funções 110V,110V</t>
        </is>
      </c>
      <c r="D1040" s="54" t="inlineStr">
        <is>
          <t>PISCA-110V-1UN-BRANCO QUENTE</t>
        </is>
      </c>
      <c r="E1040" s="54" t="n">
        <v>54751189857</v>
      </c>
      <c r="F1040" s="54" t="n">
        <v>345107953123</v>
      </c>
      <c r="G1040" s="54" t="inlineStr">
        <is>
          <t>NORMAL</t>
        </is>
      </c>
      <c r="H1040" s="86" t="n">
        <v>69.90000000000001</v>
      </c>
      <c r="I1040" s="86" t="n">
        <v>17.9</v>
      </c>
      <c r="J1040" s="56" t="inlineStr">
        <is>
          <t>SIM</t>
        </is>
      </c>
      <c r="K1040" s="86" t="n">
        <v>17.9</v>
      </c>
      <c r="L1040" s="87" t="n">
        <v>17.9</v>
      </c>
      <c r="M1040" s="88" t="n">
        <v>1</v>
      </c>
      <c r="N1040" s="89" t="n">
        <v>5.78</v>
      </c>
      <c r="O1040" s="89">
        <f>ROUND(M1040*N1040,2)</f>
        <v/>
      </c>
      <c r="P1040" s="90">
        <f>IF($O1040="","",L1040-O1040-(L1040*IF(L1040&lt;=79.99,20%,14%)+IF(L1040&lt;=79.99,4,IF(L1040&lt;=99.99,16,IF(L1040&lt;=199.99,20,IF(L1040&lt;=499.99,26,28)))))-L1040*1.3%-L1040*6%-(L1040-O1040)*9.25%-L1040*3%-L1040*3%-1)</f>
        <v/>
      </c>
      <c r="Q1040" s="58" t="n">
        <v>0.744</v>
      </c>
      <c r="R1040" s="54" t="n">
        <v>478840979931317</v>
      </c>
      <c r="S1040" s="59" t="n">
        <v>46248</v>
      </c>
      <c r="T1040" s="59" t="n">
        <v>46248.99930555555</v>
      </c>
      <c r="U1040" s="54" t="n">
        <v>100719</v>
      </c>
      <c r="V1040" t="inlineStr">
        <is>
          <t>214195</t>
        </is>
      </c>
      <c r="W1040" t="inlineStr">
        <is>
          <t>venda casada (15 pedidos) · custo do KIT 214209 (1× 214195)</t>
        </is>
      </c>
      <c r="X1040" t="n">
        <v>15</v>
      </c>
      <c r="Y1040" t="inlineStr">
        <is>
          <t>ok</t>
        </is>
      </c>
    </row>
    <row r="1041" ht="18" customHeight="1">
      <c r="A1041" s="60" t="inlineStr">
        <is>
          <t>Donacor</t>
        </is>
      </c>
      <c r="B1041" s="60" t="inlineStr">
        <is>
          <t>kit 1 - Cordão 100 Led interno 4 fixo 1 - 10 metro fio verde pisca pisca decoração natal plugue macho</t>
        </is>
      </c>
      <c r="C1041" s="60" t="inlineStr">
        <is>
          <t>Branco Quente 8 Funções 110V,220V</t>
        </is>
      </c>
      <c r="D1041" s="60" t="inlineStr">
        <is>
          <t>PISCA-220V-1UN-BRANCO QUENTE</t>
        </is>
      </c>
      <c r="E1041" s="60" t="n">
        <v>54751189857</v>
      </c>
      <c r="F1041" s="60" t="n">
        <v>345107953124</v>
      </c>
      <c r="G1041" s="60" t="inlineStr">
        <is>
          <t>NORMAL</t>
        </is>
      </c>
      <c r="H1041" s="91" t="n">
        <v>109.9</v>
      </c>
      <c r="I1041" s="91" t="n">
        <v>17.9</v>
      </c>
      <c r="J1041" s="65" t="inlineStr">
        <is>
          <t>SIM</t>
        </is>
      </c>
      <c r="K1041" s="91" t="n">
        <v>17.9</v>
      </c>
      <c r="L1041" s="87" t="n">
        <v>17.9</v>
      </c>
      <c r="M1041" s="88" t="n">
        <v>1</v>
      </c>
      <c r="N1041" s="89" t="n">
        <v>5.78</v>
      </c>
      <c r="O1041" s="89">
        <f>ROUND(M1041*N1041,2)</f>
        <v/>
      </c>
      <c r="P1041" s="92">
        <f>IF($O1041="","",L1041-O1041-(L1041*IF(L1041&lt;=79.99,20%,14%)+IF(L1041&lt;=79.99,4,IF(L1041&lt;=99.99,16,IF(L1041&lt;=199.99,20,IF(L1041&lt;=499.99,26,28)))))-L1041*1.3%-L1041*6%-(L1041-O1041)*9.25%-L1041*3%-L1041*3%-1)</f>
        <v/>
      </c>
      <c r="Q1041" s="67" t="n">
        <v>0.837</v>
      </c>
      <c r="R1041" s="60" t="n">
        <v>478840979931317</v>
      </c>
      <c r="S1041" s="68" t="n">
        <v>46248</v>
      </c>
      <c r="T1041" s="68" t="n">
        <v>46248.99930555555</v>
      </c>
      <c r="U1041" s="60" t="n">
        <v>100719</v>
      </c>
      <c r="V1041" t="inlineStr">
        <is>
          <t>214197</t>
        </is>
      </c>
      <c r="W1041" t="inlineStr">
        <is>
          <t>venda casada (8 pedidos) · custo do KIT 214210 (1× 214197)</t>
        </is>
      </c>
      <c r="X1041" t="n">
        <v>8</v>
      </c>
      <c r="Y1041" t="inlineStr">
        <is>
          <t>ok</t>
        </is>
      </c>
    </row>
    <row r="1042" ht="18" customHeight="1">
      <c r="A1042" s="54" t="inlineStr">
        <is>
          <t>Donacor</t>
        </is>
      </c>
      <c r="B1042" s="54" t="inlineStr">
        <is>
          <t>Kit 10 Cabide Multifuncional para Calças de Inox com 5 Divisórias Branco/Preto</t>
        </is>
      </c>
      <c r="C1042" s="54" t="inlineStr">
        <is>
          <t>Kit com 10 Cabides,Branco</t>
        </is>
      </c>
      <c r="D1042" s="54" t="inlineStr">
        <is>
          <t>CABIDE-10-BRANCO</t>
        </is>
      </c>
      <c r="E1042" s="54" t="n">
        <v>23493705574</v>
      </c>
      <c r="F1042" s="54" t="n">
        <v>159544201812</v>
      </c>
      <c r="G1042" s="54" t="inlineStr">
        <is>
          <t>NORMAL</t>
        </is>
      </c>
      <c r="H1042" s="86" t="n">
        <v>139.9</v>
      </c>
      <c r="I1042" s="86" t="n">
        <v>134.89</v>
      </c>
      <c r="J1042" s="56" t="inlineStr">
        <is>
          <t>SIM</t>
        </is>
      </c>
      <c r="K1042" s="86" t="n">
        <v>134.89</v>
      </c>
      <c r="L1042" s="87" t="n">
        <v>134.89</v>
      </c>
      <c r="M1042" s="88" t="n">
        <v>10</v>
      </c>
      <c r="N1042" s="89" t="n">
        <v>4.51</v>
      </c>
      <c r="O1042" s="89">
        <f>ROUND(M1042*N1042,2)</f>
        <v/>
      </c>
      <c r="P1042" s="90">
        <f>IF($O1042="","",L1042-O1042-(L1042*IF(L1042&lt;=79.99,20%,14%)+IF(L1042&lt;=79.99,4,IF(L1042&lt;=99.99,16,IF(L1042&lt;=199.99,20,IF(L1042&lt;=499.99,26,28)))))-L1042*1.3%-L1042*6%-(L1042-O1042)*9.25%-L1042*3%-L1042*3%-1)</f>
        <v/>
      </c>
      <c r="Q1042" s="58" t="n">
        <v>0.036</v>
      </c>
      <c r="R1042" s="54" t="n">
        <v>484945860710786</v>
      </c>
      <c r="S1042" s="59" t="n">
        <v>46227.73958333334</v>
      </c>
      <c r="T1042" s="59" t="n">
        <v>46405.45833333334</v>
      </c>
      <c r="U1042" s="54" t="n">
        <v>101253</v>
      </c>
      <c r="V1042" t="inlineStr">
        <is>
          <t>214149</t>
        </is>
      </c>
      <c r="W1042" t="inlineStr">
        <is>
          <t>venda casada (20 pedidos) · custo do KIT 214486 (10× 214149)</t>
        </is>
      </c>
      <c r="X1042" t="n">
        <v>20</v>
      </c>
      <c r="Y1042" t="inlineStr">
        <is>
          <t>ok</t>
        </is>
      </c>
    </row>
    <row r="1043" ht="18" customHeight="1">
      <c r="A1043" s="60" t="inlineStr">
        <is>
          <t>Donacor</t>
        </is>
      </c>
      <c r="B1043" s="60" t="inlineStr">
        <is>
          <t>Kit 10 Cabide Multifuncional para Calças de Inox com 5 Divisórias Branco/Preto</t>
        </is>
      </c>
      <c r="C1043" s="60" t="inlineStr">
        <is>
          <t>Kit com 10 Cabides,Preto</t>
        </is>
      </c>
      <c r="D1043" s="60" t="inlineStr">
        <is>
          <t>CABIDE-10-PRETO</t>
        </is>
      </c>
      <c r="E1043" s="60" t="n">
        <v>23493705574</v>
      </c>
      <c r="F1043" s="60" t="n">
        <v>159544201813</v>
      </c>
      <c r="G1043" s="60" t="inlineStr">
        <is>
          <t>NORMAL</t>
        </is>
      </c>
      <c r="H1043" s="91" t="n">
        <v>139.9</v>
      </c>
      <c r="I1043" s="91" t="n">
        <v>139.9</v>
      </c>
      <c r="J1043" s="62" t="inlineStr">
        <is>
          <t>NÃO</t>
        </is>
      </c>
      <c r="K1043" s="60" t="inlineStr">
        <is>
          <t> </t>
        </is>
      </c>
      <c r="L1043" s="87" t="n">
        <v>139.9</v>
      </c>
      <c r="M1043" s="88" t="n">
        <v>10</v>
      </c>
      <c r="N1043" s="89" t="n">
        <v>4.51</v>
      </c>
      <c r="O1043" s="89">
        <f>ROUND(M1043*N1043,2)</f>
        <v/>
      </c>
      <c r="P1043" s="92">
        <f>IF($O1043="","",L1043-O1043-(L1043*IF(L1043&lt;=79.99,20%,14%)+IF(L1043&lt;=79.99,4,IF(L1043&lt;=99.99,16,IF(L1043&lt;=199.99,20,IF(L1043&lt;=499.99,26,28)))))-L1043*1.3%-L1043*6%-(L1043-O1043)*9.25%-L1043*3%-L1043*3%-1)</f>
        <v/>
      </c>
      <c r="Q1043" s="60" t="inlineStr">
        <is>
          <t> </t>
        </is>
      </c>
      <c r="R1043" s="60" t="inlineStr">
        <is>
          <t> </t>
        </is>
      </c>
      <c r="S1043" s="60" t="inlineStr">
        <is>
          <t> </t>
        </is>
      </c>
      <c r="T1043" s="60" t="inlineStr">
        <is>
          <t> </t>
        </is>
      </c>
      <c r="U1043" s="60" t="n">
        <v>101253</v>
      </c>
      <c r="V1043" t="inlineStr">
        <is>
          <t>214150</t>
        </is>
      </c>
      <c r="W1043" t="inlineStr">
        <is>
          <t>venda casada (11 pedidos) · custo do KIT 214487 (10× 214150)</t>
        </is>
      </c>
      <c r="X1043" t="n">
        <v>11</v>
      </c>
      <c r="Y1043" t="inlineStr">
        <is>
          <t>ok</t>
        </is>
      </c>
    </row>
    <row r="1044" ht="18" customHeight="1">
      <c r="A1044" s="54" t="inlineStr">
        <is>
          <t>Donacor</t>
        </is>
      </c>
      <c r="B1044" s="54" t="inlineStr">
        <is>
          <t>Kit 10 Cabide Multifuncional para Calças de Inox com 5 Divisórias Branco/Preto</t>
        </is>
      </c>
      <c r="C1044" s="54" t="inlineStr">
        <is>
          <t>Kit com 5 Cabides,Branco</t>
        </is>
      </c>
      <c r="D1044" s="54" t="inlineStr">
        <is>
          <t>CABIDE-5-BRANCO</t>
        </is>
      </c>
      <c r="E1044" s="54" t="n">
        <v>23493705574</v>
      </c>
      <c r="F1044" s="54" t="n">
        <v>159782232505</v>
      </c>
      <c r="G1044" s="54" t="inlineStr">
        <is>
          <t>NORMAL</t>
        </is>
      </c>
      <c r="H1044" s="86" t="n">
        <v>89.90000000000001</v>
      </c>
      <c r="I1044" s="86" t="n">
        <v>74.90000000000001</v>
      </c>
      <c r="J1044" s="56" t="inlineStr">
        <is>
          <t>SIM</t>
        </is>
      </c>
      <c r="K1044" s="86" t="n">
        <v>74.90000000000001</v>
      </c>
      <c r="L1044" s="87" t="n">
        <v>74.90000000000001</v>
      </c>
      <c r="M1044" s="88" t="n">
        <v>5</v>
      </c>
      <c r="N1044" s="89" t="n">
        <v>4.51</v>
      </c>
      <c r="O1044" s="89">
        <f>ROUND(M1044*N1044,2)</f>
        <v/>
      </c>
      <c r="P1044" s="90">
        <f>IF($O1044="","",L1044-O1044-(L1044*IF(L1044&lt;=79.99,20%,14%)+IF(L1044&lt;=79.99,4,IF(L1044&lt;=99.99,16,IF(L1044&lt;=199.99,20,IF(L1044&lt;=499.99,26,28)))))-L1044*1.3%-L1044*6%-(L1044-O1044)*9.25%-L1044*3%-L1044*3%-1)</f>
        <v/>
      </c>
      <c r="Q1044" s="58" t="n">
        <v>0.167</v>
      </c>
      <c r="R1044" s="54" t="inlineStr">
        <is>
          <t>478840979931317, 484945860710786</t>
        </is>
      </c>
      <c r="S1044" s="59" t="n">
        <v>46227.73958333334</v>
      </c>
      <c r="T1044" s="59" t="n">
        <v>46248.99930555555</v>
      </c>
      <c r="U1044" s="54" t="n">
        <v>101253</v>
      </c>
      <c r="V1044" t="inlineStr">
        <is>
          <t>214149</t>
        </is>
      </c>
      <c r="W1044" t="inlineStr">
        <is>
          <t>venda casada (24 pedidos) · custo do KIT 214157 (5× 214149)</t>
        </is>
      </c>
      <c r="X1044" t="n">
        <v>24</v>
      </c>
      <c r="Y1044" t="inlineStr">
        <is>
          <t>ok</t>
        </is>
      </c>
    </row>
    <row r="1045" ht="18" customHeight="1">
      <c r="A1045" s="60" t="inlineStr">
        <is>
          <t>Donacor</t>
        </is>
      </c>
      <c r="B1045" s="60" t="inlineStr">
        <is>
          <t>Kit 10 Cabide Multifuncional para Calças de Inox com 5 Divisórias Branco/Preto</t>
        </is>
      </c>
      <c r="C1045" s="60" t="inlineStr">
        <is>
          <t>Kit com 5 Cabides,Preto</t>
        </is>
      </c>
      <c r="D1045" s="60" t="inlineStr">
        <is>
          <t>CABIDE-5-PRETO</t>
        </is>
      </c>
      <c r="E1045" s="60" t="n">
        <v>23493705574</v>
      </c>
      <c r="F1045" s="60" t="n">
        <v>159544201811</v>
      </c>
      <c r="G1045" s="60" t="inlineStr">
        <is>
          <t>NORMAL</t>
        </is>
      </c>
      <c r="H1045" s="91" t="n">
        <v>89.90000000000001</v>
      </c>
      <c r="I1045" s="91" t="n">
        <v>89.90000000000001</v>
      </c>
      <c r="J1045" s="62" t="inlineStr">
        <is>
          <t>NÃO</t>
        </is>
      </c>
      <c r="K1045" s="60" t="inlineStr">
        <is>
          <t> </t>
        </is>
      </c>
      <c r="L1045" s="87" t="n">
        <v>89.90000000000001</v>
      </c>
      <c r="M1045" s="88" t="n">
        <v>5</v>
      </c>
      <c r="N1045" s="89" t="n">
        <v>4.51</v>
      </c>
      <c r="O1045" s="89">
        <f>ROUND(M1045*N1045,2)</f>
        <v/>
      </c>
      <c r="P1045" s="92">
        <f>IF($O1045="","",L1045-O1045-(L1045*IF(L1045&lt;=79.99,20%,14%)+IF(L1045&lt;=79.99,4,IF(L1045&lt;=99.99,16,IF(L1045&lt;=199.99,20,IF(L1045&lt;=499.99,26,28)))))-L1045*1.3%-L1045*6%-(L1045-O1045)*9.25%-L1045*3%-L1045*3%-1)</f>
        <v/>
      </c>
      <c r="Q1045" s="60" t="inlineStr">
        <is>
          <t> </t>
        </is>
      </c>
      <c r="R1045" s="60" t="inlineStr">
        <is>
          <t> </t>
        </is>
      </c>
      <c r="S1045" s="60" t="inlineStr">
        <is>
          <t> </t>
        </is>
      </c>
      <c r="T1045" s="60" t="inlineStr">
        <is>
          <t> </t>
        </is>
      </c>
      <c r="U1045" s="60" t="n">
        <v>101253</v>
      </c>
      <c r="V1045" t="inlineStr">
        <is>
          <t>214150</t>
        </is>
      </c>
      <c r="W1045" t="inlineStr">
        <is>
          <t>venda casada (20 pedidos) · custo do KIT 214158 (5× 214150)</t>
        </is>
      </c>
      <c r="X1045" t="n">
        <v>20</v>
      </c>
      <c r="Y1045" t="inlineStr">
        <is>
          <t>ok</t>
        </is>
      </c>
    </row>
    <row r="1046" ht="18" customHeight="1">
      <c r="A1046" s="54" t="inlineStr">
        <is>
          <t>Donacor</t>
        </is>
      </c>
      <c r="B1046" s="54" t="inlineStr">
        <is>
          <t>Kit 10 Cuecas Lupo Original Boxer Algodão Respirável Masculino Box Cotton Cueca Adulto Confortável Básica</t>
        </is>
      </c>
      <c r="C1046" s="54" t="inlineStr">
        <is>
          <t>Preto,G</t>
        </is>
      </c>
      <c r="D1046" s="54" t="n"/>
      <c r="E1046" s="54" t="n">
        <v>51058966529</v>
      </c>
      <c r="F1046" s="54" t="n">
        <v>272543633686</v>
      </c>
      <c r="G1046" s="54" t="inlineStr">
        <is>
          <t>NORMAL</t>
        </is>
      </c>
      <c r="H1046" s="86" t="n">
        <v>289.9</v>
      </c>
      <c r="I1046" s="86" t="n">
        <v>289.9</v>
      </c>
      <c r="J1046" s="69" t="inlineStr">
        <is>
          <t>NÃO</t>
        </is>
      </c>
      <c r="K1046" s="54" t="n"/>
      <c r="L1046" s="87" t="n">
        <v>289.9</v>
      </c>
      <c r="P1046" s="90">
        <f>IF($O1046="","",L1046-O1046-(L1046*IF(L1046&lt;=79.99,20%,14%)+IF(L1046&lt;=79.99,4,IF(L1046&lt;=99.99,16,IF(L1046&lt;=199.99,20,IF(L1046&lt;=499.99,26,28)))))-L1046*1.3%-L1046*6%-(L1046-O1046)*9.25%-L1046*3%-L1046*3%-1)</f>
        <v/>
      </c>
      <c r="Q1046" s="54">
        <f>IF(AND(K1046&lt;&gt;"",H1046&gt;0),(H1046-K1046)/H1046,"")</f>
        <v/>
      </c>
      <c r="R1046" s="54" t="n"/>
      <c r="S1046" s="54" t="n"/>
      <c r="T1046" s="54" t="n"/>
      <c r="U1046" s="54" t="n">
        <v>100247</v>
      </c>
      <c r="W1046" t="inlineStr">
        <is>
          <t>sem correspondência</t>
        </is>
      </c>
      <c r="Y1046" t="inlineStr"/>
    </row>
    <row r="1047" ht="18" customHeight="1">
      <c r="A1047" s="60" t="inlineStr">
        <is>
          <t>Donacor</t>
        </is>
      </c>
      <c r="B1047" s="60" t="inlineStr">
        <is>
          <t>Kit 10 Cuecas Lupo Original Boxer Algodão Respirável Masculino Box Cotton Cueca Adulto Confortável Básica</t>
        </is>
      </c>
      <c r="C1047" s="60" t="inlineStr">
        <is>
          <t>Preto,GG</t>
        </is>
      </c>
      <c r="D1047" s="60" t="inlineStr">
        <is>
          <t>KIT10-CUECAS-PRETA-GG</t>
        </is>
      </c>
      <c r="E1047" s="60" t="n">
        <v>51058966529</v>
      </c>
      <c r="F1047" s="60" t="n">
        <v>272543633687</v>
      </c>
      <c r="G1047" s="60" t="inlineStr">
        <is>
          <t>NORMAL</t>
        </is>
      </c>
      <c r="H1047" s="91" t="n">
        <v>289.9</v>
      </c>
      <c r="I1047" s="91" t="n">
        <v>289.9</v>
      </c>
      <c r="J1047" s="62" t="inlineStr">
        <is>
          <t>NÃO</t>
        </is>
      </c>
      <c r="K1047" s="60" t="inlineStr">
        <is>
          <t> </t>
        </is>
      </c>
      <c r="L1047" s="87" t="n">
        <v>289.9</v>
      </c>
      <c r="P1047" s="92">
        <f>IF($O1047="","",L1047-O1047-(L1047*IF(L1047&lt;=79.99,20%,14%)+IF(L1047&lt;=79.99,4,IF(L1047&lt;=99.99,16,IF(L1047&lt;=199.99,20,IF(L1047&lt;=499.99,26,28)))))-L1047*1.3%-L1047*6%-(L1047-O1047)*9.25%-L1047*3%-L1047*3%-1)</f>
        <v/>
      </c>
      <c r="Q1047" s="60" t="inlineStr">
        <is>
          <t> </t>
        </is>
      </c>
      <c r="R1047" s="60" t="inlineStr">
        <is>
          <t> </t>
        </is>
      </c>
      <c r="S1047" s="60" t="inlineStr">
        <is>
          <t> </t>
        </is>
      </c>
      <c r="T1047" s="60" t="inlineStr">
        <is>
          <t> </t>
        </is>
      </c>
      <c r="U1047" s="60" t="n">
        <v>100247</v>
      </c>
      <c r="W1047" t="inlineStr">
        <is>
          <t>sem correspondência</t>
        </is>
      </c>
      <c r="Y1047" t="inlineStr"/>
    </row>
    <row r="1048" ht="18" customHeight="1">
      <c r="A1048" s="54" t="inlineStr">
        <is>
          <t>Donacor</t>
        </is>
      </c>
      <c r="B1048" s="54" t="inlineStr">
        <is>
          <t>Kit 10 Cuecas Lupo Original Boxer Algodão Respirável Masculino Box Cotton Cueca Adulto Confortável Básica</t>
        </is>
      </c>
      <c r="C1048" s="54" t="inlineStr">
        <is>
          <t>Preto,M</t>
        </is>
      </c>
      <c r="D1048" s="54" t="n"/>
      <c r="E1048" s="54" t="n">
        <v>51058966529</v>
      </c>
      <c r="F1048" s="54" t="n">
        <v>272543633685</v>
      </c>
      <c r="G1048" s="54" t="inlineStr">
        <is>
          <t>NORMAL</t>
        </is>
      </c>
      <c r="H1048" s="86" t="n">
        <v>289.9</v>
      </c>
      <c r="I1048" s="86" t="n">
        <v>289.9</v>
      </c>
      <c r="J1048" s="69" t="inlineStr">
        <is>
          <t>NÃO</t>
        </is>
      </c>
      <c r="K1048" s="54" t="n"/>
      <c r="L1048" s="87" t="n">
        <v>289.9</v>
      </c>
      <c r="P1048" s="90">
        <f>IF($O1048="","",L1048-O1048-(L1048*IF(L1048&lt;=79.99,20%,14%)+IF(L1048&lt;=79.99,4,IF(L1048&lt;=99.99,16,IF(L1048&lt;=199.99,20,IF(L1048&lt;=499.99,26,28)))))-L1048*1.3%-L1048*6%-(L1048-O1048)*9.25%-L1048*3%-L1048*3%-1)</f>
        <v/>
      </c>
      <c r="Q1048" s="54">
        <f>IF(AND(K1048&lt;&gt;"",H1048&gt;0),(H1048-K1048)/H1048,"")</f>
        <v/>
      </c>
      <c r="R1048" s="54" t="n"/>
      <c r="S1048" s="54" t="n"/>
      <c r="T1048" s="54" t="n"/>
      <c r="U1048" s="54" t="n">
        <v>100247</v>
      </c>
      <c r="W1048" t="inlineStr">
        <is>
          <t>sem correspondência</t>
        </is>
      </c>
      <c r="Y1048" t="inlineStr"/>
    </row>
    <row r="1049" ht="18" customHeight="1">
      <c r="A1049" s="60" t="inlineStr">
        <is>
          <t>Donacor</t>
        </is>
      </c>
      <c r="B1049" s="60" t="inlineStr">
        <is>
          <t>Kit 10 Cuecas Lupo Original Boxer Algodão Respirável Masculino Box Cotton Cueca Adulto Confortável Básica</t>
        </is>
      </c>
      <c r="C1049" s="60" t="inlineStr">
        <is>
          <t>Preto,P</t>
        </is>
      </c>
      <c r="D1049" s="60" t="inlineStr">
        <is>
          <t> </t>
        </is>
      </c>
      <c r="E1049" s="60" t="n">
        <v>51058966529</v>
      </c>
      <c r="F1049" s="60" t="n">
        <v>272543633684</v>
      </c>
      <c r="G1049" s="60" t="inlineStr">
        <is>
          <t>NORMAL</t>
        </is>
      </c>
      <c r="H1049" s="91" t="n">
        <v>289.9</v>
      </c>
      <c r="I1049" s="91" t="n">
        <v>289.9</v>
      </c>
      <c r="J1049" s="62" t="inlineStr">
        <is>
          <t>NÃO</t>
        </is>
      </c>
      <c r="K1049" s="60" t="inlineStr">
        <is>
          <t> </t>
        </is>
      </c>
      <c r="L1049" s="87" t="n">
        <v>289.9</v>
      </c>
      <c r="P1049" s="92">
        <f>IF($O1049="","",L1049-O1049-(L1049*IF(L1049&lt;=79.99,20%,14%)+IF(L1049&lt;=79.99,4,IF(L1049&lt;=99.99,16,IF(L1049&lt;=199.99,20,IF(L1049&lt;=499.99,26,28)))))-L1049*1.3%-L1049*6%-(L1049-O1049)*9.25%-L1049*3%-L1049*3%-1)</f>
        <v/>
      </c>
      <c r="Q1049" s="60" t="inlineStr">
        <is>
          <t> </t>
        </is>
      </c>
      <c r="R1049" s="60" t="inlineStr">
        <is>
          <t> </t>
        </is>
      </c>
      <c r="S1049" s="60" t="inlineStr">
        <is>
          <t> </t>
        </is>
      </c>
      <c r="T1049" s="60" t="inlineStr">
        <is>
          <t> </t>
        </is>
      </c>
      <c r="U1049" s="60" t="n">
        <v>100247</v>
      </c>
      <c r="W1049" t="inlineStr">
        <is>
          <t>sem correspondência</t>
        </is>
      </c>
      <c r="Y1049" t="inlineStr"/>
    </row>
    <row r="1050" ht="18" customHeight="1">
      <c r="A1050" s="54" t="inlineStr">
        <is>
          <t>Donacor</t>
        </is>
      </c>
      <c r="B1050" s="54" t="inlineStr">
        <is>
          <t>Kit 10 Cuecas Lupo Original Boxer Algodão Respirável Masculino Box Cotton Cueca Adulto Confortável Básica</t>
        </is>
      </c>
      <c r="C1050" s="54" t="inlineStr">
        <is>
          <t>Sortido,G</t>
        </is>
      </c>
      <c r="D1050" s="54" t="inlineStr">
        <is>
          <t>KIT10-CUECAS-SORTIDA-G</t>
        </is>
      </c>
      <c r="E1050" s="54" t="n">
        <v>51058966529</v>
      </c>
      <c r="F1050" s="54" t="n">
        <v>272543633690</v>
      </c>
      <c r="G1050" s="54" t="inlineStr">
        <is>
          <t>NORMAL</t>
        </is>
      </c>
      <c r="H1050" s="86" t="n">
        <v>269.9</v>
      </c>
      <c r="I1050" s="86" t="n">
        <v>269.9</v>
      </c>
      <c r="J1050" s="69" t="inlineStr">
        <is>
          <t>NÃO</t>
        </is>
      </c>
      <c r="K1050" s="54" t="n"/>
      <c r="L1050" s="87" t="n">
        <v>269.9</v>
      </c>
      <c r="P1050" s="90">
        <f>IF($O1050="","",L1050-O1050-(L1050*IF(L1050&lt;=79.99,20%,14%)+IF(L1050&lt;=79.99,4,IF(L1050&lt;=99.99,16,IF(L1050&lt;=199.99,20,IF(L1050&lt;=499.99,26,28)))))-L1050*1.3%-L1050*6%-(L1050-O1050)*9.25%-L1050*3%-L1050*3%-1)</f>
        <v/>
      </c>
      <c r="Q1050" s="54">
        <f>IF(AND(K1050&lt;&gt;"",H1050&gt;0),(H1050-K1050)/H1050,"")</f>
        <v/>
      </c>
      <c r="R1050" s="54" t="n"/>
      <c r="S1050" s="54" t="n"/>
      <c r="T1050" s="54" t="n"/>
      <c r="U1050" s="54" t="n">
        <v>100247</v>
      </c>
      <c r="W1050" t="inlineStr">
        <is>
          <t>sem correspondência</t>
        </is>
      </c>
      <c r="Y1050" t="inlineStr"/>
    </row>
    <row r="1051" ht="18" customHeight="1">
      <c r="A1051" s="60" t="inlineStr">
        <is>
          <t>Donacor</t>
        </is>
      </c>
      <c r="B1051" s="60" t="inlineStr">
        <is>
          <t>Kit 10 Cuecas Lupo Original Boxer Algodão Respirável Masculino Box Cotton Cueca Adulto Confortável Básica</t>
        </is>
      </c>
      <c r="C1051" s="60" t="inlineStr">
        <is>
          <t>Sortido,GG</t>
        </is>
      </c>
      <c r="D1051" s="60" t="inlineStr">
        <is>
          <t>KIT10-CUECAS-SORTIDA-GG</t>
        </is>
      </c>
      <c r="E1051" s="60" t="n">
        <v>51058966529</v>
      </c>
      <c r="F1051" s="60" t="n">
        <v>272543633691</v>
      </c>
      <c r="G1051" s="60" t="inlineStr">
        <is>
          <t>NORMAL</t>
        </is>
      </c>
      <c r="H1051" s="91" t="n">
        <v>269.9</v>
      </c>
      <c r="I1051" s="91" t="n">
        <v>269.9</v>
      </c>
      <c r="J1051" s="62" t="inlineStr">
        <is>
          <t>NÃO</t>
        </is>
      </c>
      <c r="K1051" s="60" t="inlineStr">
        <is>
          <t> </t>
        </is>
      </c>
      <c r="L1051" s="87" t="n">
        <v>269.9</v>
      </c>
      <c r="P1051" s="92">
        <f>IF($O1051="","",L1051-O1051-(L1051*IF(L1051&lt;=79.99,20%,14%)+IF(L1051&lt;=79.99,4,IF(L1051&lt;=99.99,16,IF(L1051&lt;=199.99,20,IF(L1051&lt;=499.99,26,28)))))-L1051*1.3%-L1051*6%-(L1051-O1051)*9.25%-L1051*3%-L1051*3%-1)</f>
        <v/>
      </c>
      <c r="Q1051" s="60" t="inlineStr">
        <is>
          <t> </t>
        </is>
      </c>
      <c r="R1051" s="60" t="inlineStr">
        <is>
          <t> </t>
        </is>
      </c>
      <c r="S1051" s="60" t="inlineStr">
        <is>
          <t> </t>
        </is>
      </c>
      <c r="T1051" s="60" t="inlineStr">
        <is>
          <t> </t>
        </is>
      </c>
      <c r="U1051" s="60" t="n">
        <v>100247</v>
      </c>
      <c r="W1051" t="inlineStr">
        <is>
          <t>sem correspondência</t>
        </is>
      </c>
      <c r="Y1051" t="inlineStr"/>
    </row>
    <row r="1052" ht="18" customHeight="1">
      <c r="A1052" s="54" t="inlineStr">
        <is>
          <t>Donacor</t>
        </is>
      </c>
      <c r="B1052" s="54" t="inlineStr">
        <is>
          <t>Kit 10 Cuecas Lupo Original Boxer Algodão Respirável Masculino Box Cotton Cueca Adulto Confortável Básica</t>
        </is>
      </c>
      <c r="C1052" s="54" t="inlineStr">
        <is>
          <t>Sortido,M</t>
        </is>
      </c>
      <c r="D1052" s="54" t="n"/>
      <c r="E1052" s="54" t="n">
        <v>51058966529</v>
      </c>
      <c r="F1052" s="54" t="n">
        <v>272543633689</v>
      </c>
      <c r="G1052" s="54" t="inlineStr">
        <is>
          <t>NORMAL</t>
        </is>
      </c>
      <c r="H1052" s="86" t="n">
        <v>269.9</v>
      </c>
      <c r="I1052" s="86" t="n">
        <v>269.9</v>
      </c>
      <c r="J1052" s="69" t="inlineStr">
        <is>
          <t>NÃO</t>
        </is>
      </c>
      <c r="K1052" s="54" t="n"/>
      <c r="L1052" s="87" t="n">
        <v>269.9</v>
      </c>
      <c r="P1052" s="90">
        <f>IF($O1052="","",L1052-O1052-(L1052*IF(L1052&lt;=79.99,20%,14%)+IF(L1052&lt;=79.99,4,IF(L1052&lt;=99.99,16,IF(L1052&lt;=199.99,20,IF(L1052&lt;=499.99,26,28)))))-L1052*1.3%-L1052*6%-(L1052-O1052)*9.25%-L1052*3%-L1052*3%-1)</f>
        <v/>
      </c>
      <c r="Q1052" s="54">
        <f>IF(AND(K1052&lt;&gt;"",H1052&gt;0),(H1052-K1052)/H1052,"")</f>
        <v/>
      </c>
      <c r="R1052" s="54" t="n"/>
      <c r="S1052" s="54" t="n"/>
      <c r="T1052" s="54" t="n"/>
      <c r="U1052" s="54" t="n">
        <v>100247</v>
      </c>
      <c r="W1052" t="inlineStr">
        <is>
          <t>sem correspondência</t>
        </is>
      </c>
      <c r="Y1052" t="inlineStr"/>
    </row>
    <row r="1053" ht="18" customHeight="1">
      <c r="A1053" s="60" t="inlineStr">
        <is>
          <t>Donacor</t>
        </is>
      </c>
      <c r="B1053" s="60" t="inlineStr">
        <is>
          <t>Kit 10 Cuecas Lupo Original Boxer Algodão Respirável Masculino Box Cotton Cueca Adulto Confortável Básica</t>
        </is>
      </c>
      <c r="C1053" s="60" t="inlineStr">
        <is>
          <t>Sortido,P</t>
        </is>
      </c>
      <c r="D1053" s="60" t="inlineStr">
        <is>
          <t> </t>
        </is>
      </c>
      <c r="E1053" s="60" t="n">
        <v>51058966529</v>
      </c>
      <c r="F1053" s="60" t="n">
        <v>272543633688</v>
      </c>
      <c r="G1053" s="60" t="inlineStr">
        <is>
          <t>NORMAL</t>
        </is>
      </c>
      <c r="H1053" s="91" t="n">
        <v>269.9</v>
      </c>
      <c r="I1053" s="91" t="n">
        <v>269.9</v>
      </c>
      <c r="J1053" s="62" t="inlineStr">
        <is>
          <t>NÃO</t>
        </is>
      </c>
      <c r="K1053" s="60" t="inlineStr">
        <is>
          <t> </t>
        </is>
      </c>
      <c r="L1053" s="87" t="n">
        <v>269.9</v>
      </c>
      <c r="P1053" s="92">
        <f>IF($O1053="","",L1053-O1053-(L1053*IF(L1053&lt;=79.99,20%,14%)+IF(L1053&lt;=79.99,4,IF(L1053&lt;=99.99,16,IF(L1053&lt;=199.99,20,IF(L1053&lt;=499.99,26,28)))))-L1053*1.3%-L1053*6%-(L1053-O1053)*9.25%-L1053*3%-L1053*3%-1)</f>
        <v/>
      </c>
      <c r="Q1053" s="60" t="inlineStr">
        <is>
          <t> </t>
        </is>
      </c>
      <c r="R1053" s="60" t="inlineStr">
        <is>
          <t> </t>
        </is>
      </c>
      <c r="S1053" s="60" t="inlineStr">
        <is>
          <t> </t>
        </is>
      </c>
      <c r="T1053" s="60" t="inlineStr">
        <is>
          <t> </t>
        </is>
      </c>
      <c r="U1053" s="60" t="n">
        <v>100247</v>
      </c>
      <c r="W1053" t="inlineStr">
        <is>
          <t>sem correspondência</t>
        </is>
      </c>
      <c r="Y1053" t="inlineStr"/>
    </row>
    <row r="1054" ht="18" customHeight="1">
      <c r="A1054" s="54" t="inlineStr">
        <is>
          <t>Donacor</t>
        </is>
      </c>
      <c r="B1054" s="54" t="inlineStr">
        <is>
          <t>kit 10 ou 5 ou 3  Potes de Vidro 370ml Hermético Marmita Fit com Tampa 4 Travas OliverHome</t>
        </is>
      </c>
      <c r="C1054" s="54" t="inlineStr">
        <is>
          <t>10 Potes,Azul</t>
        </is>
      </c>
      <c r="D1054" s="54" t="inlineStr">
        <is>
          <t>Kit pote 10 un 370ml azul</t>
        </is>
      </c>
      <c r="E1054" s="54" t="n">
        <v>23093250006</v>
      </c>
      <c r="F1054" s="54" t="n">
        <v>159780318777</v>
      </c>
      <c r="G1054" s="54" t="inlineStr">
        <is>
          <t>NORMAL</t>
        </is>
      </c>
      <c r="H1054" s="86" t="n">
        <v>159.9</v>
      </c>
      <c r="I1054" s="86" t="n">
        <v>79.90000000000001</v>
      </c>
      <c r="J1054" s="56" t="inlineStr">
        <is>
          <t>SIM</t>
        </is>
      </c>
      <c r="K1054" s="86" t="n">
        <v>79.90000000000001</v>
      </c>
      <c r="L1054" s="87" t="n">
        <v>79.90000000000001</v>
      </c>
      <c r="M1054" s="88" t="n">
        <v>10</v>
      </c>
      <c r="N1054" s="89" t="n">
        <v>3.93</v>
      </c>
      <c r="O1054" s="89">
        <f>ROUND(M1054*N1054,2)</f>
        <v/>
      </c>
      <c r="P1054" s="90">
        <f>IF($O1054="","",L1054-O1054-(L1054*IF(L1054&lt;=79.99,20%,14%)+IF(L1054&lt;=79.99,4,IF(L1054&lt;=99.99,16,IF(L1054&lt;=199.99,20,IF(L1054&lt;=499.99,26,28)))))-L1054*1.3%-L1054*6%-(L1054-O1054)*9.25%-L1054*3%-L1054*3%-1)</f>
        <v/>
      </c>
      <c r="Q1054" s="58" t="n">
        <v>0.5</v>
      </c>
      <c r="R1054" s="54" t="inlineStr">
        <is>
          <t>478840979931317, 492080438919432</t>
        </is>
      </c>
      <c r="S1054" s="59" t="n">
        <v>46248</v>
      </c>
      <c r="T1054" s="59" t="n">
        <v>46248.99930555555</v>
      </c>
      <c r="U1054" s="54" t="n">
        <v>101220</v>
      </c>
      <c r="V1054" t="inlineStr">
        <is>
          <t>213876</t>
        </is>
      </c>
      <c r="W1054" t="inlineStr">
        <is>
          <t>venda casada (87 pedidos) · custo do KIT 215945 (10× 213876)</t>
        </is>
      </c>
      <c r="X1054" t="n">
        <v>87</v>
      </c>
      <c r="Y1054" t="inlineStr">
        <is>
          <t>ok</t>
        </is>
      </c>
    </row>
    <row r="1055" ht="18" customHeight="1">
      <c r="A1055" s="60" t="inlineStr">
        <is>
          <t>Donacor</t>
        </is>
      </c>
      <c r="B1055" s="60" t="inlineStr">
        <is>
          <t>kit 10 ou 5 ou 3  Potes de Vidro 370ml Hermético Marmita Fit com Tampa 4 Travas OliverHome</t>
        </is>
      </c>
      <c r="C1055" s="60" t="inlineStr">
        <is>
          <t>10 Potes,Branco</t>
        </is>
      </c>
      <c r="D1055" s="60" t="inlineStr">
        <is>
          <t>Kit pote 10 un 370ml branco</t>
        </is>
      </c>
      <c r="E1055" s="60" t="n">
        <v>23093250006</v>
      </c>
      <c r="F1055" s="60" t="n">
        <v>159542288220</v>
      </c>
      <c r="G1055" s="60" t="inlineStr">
        <is>
          <t>NORMAL</t>
        </is>
      </c>
      <c r="H1055" s="91" t="n">
        <v>159.9</v>
      </c>
      <c r="I1055" s="91" t="n">
        <v>79.90000000000001</v>
      </c>
      <c r="J1055" s="65" t="inlineStr">
        <is>
          <t>SIM</t>
        </is>
      </c>
      <c r="K1055" s="91" t="n">
        <v>79.90000000000001</v>
      </c>
      <c r="L1055" s="87" t="n">
        <v>79.90000000000001</v>
      </c>
      <c r="M1055" s="88" t="n">
        <v>10</v>
      </c>
      <c r="N1055" s="89" t="n">
        <v>3.93</v>
      </c>
      <c r="O1055" s="89">
        <f>ROUND(M1055*N1055,2)</f>
        <v/>
      </c>
      <c r="P1055" s="92">
        <f>IF($O1055="","",L1055-O1055-(L1055*IF(L1055&lt;=79.99,20%,14%)+IF(L1055&lt;=79.99,4,IF(L1055&lt;=99.99,16,IF(L1055&lt;=199.99,20,IF(L1055&lt;=499.99,26,28)))))-L1055*1.3%-L1055*6%-(L1055-O1055)*9.25%-L1055*3%-L1055*3%-1)</f>
        <v/>
      </c>
      <c r="Q1055" s="67" t="n">
        <v>0.5</v>
      </c>
      <c r="R1055" s="60" t="inlineStr">
        <is>
          <t>492080438919432, 478840979931317</t>
        </is>
      </c>
      <c r="S1055" s="68" t="n">
        <v>46248</v>
      </c>
      <c r="T1055" s="68" t="n">
        <v>46248.99930555555</v>
      </c>
      <c r="U1055" s="60" t="n">
        <v>101220</v>
      </c>
      <c r="V1055" t="inlineStr">
        <is>
          <t>213875</t>
        </is>
      </c>
      <c r="W1055" t="inlineStr">
        <is>
          <t>venda casada (185 pedidos) · custo do KIT 215961 (10× 213875)</t>
        </is>
      </c>
      <c r="X1055" t="n">
        <v>185</v>
      </c>
      <c r="Y1055" t="inlineStr">
        <is>
          <t>ok</t>
        </is>
      </c>
    </row>
    <row r="1056" ht="18" customHeight="1">
      <c r="A1056" s="54" t="inlineStr">
        <is>
          <t>Donacor</t>
        </is>
      </c>
      <c r="B1056" s="54" t="inlineStr">
        <is>
          <t>kit 10 ou 5 ou 3  Potes de Vidro 370ml Hermético Marmita Fit com Tampa 4 Travas OliverHome</t>
        </is>
      </c>
      <c r="C1056" s="54" t="inlineStr">
        <is>
          <t>10 Potes,Sortido</t>
        </is>
      </c>
      <c r="D1056" s="54" t="inlineStr">
        <is>
          <t>Kit pote 10 un 370ml sortido</t>
        </is>
      </c>
      <c r="E1056" s="54" t="n">
        <v>23093250006</v>
      </c>
      <c r="F1056" s="54" t="n">
        <v>159780318776</v>
      </c>
      <c r="G1056" s="54" t="inlineStr">
        <is>
          <t>NORMAL</t>
        </is>
      </c>
      <c r="H1056" s="86" t="n">
        <v>159.9</v>
      </c>
      <c r="I1056" s="86" t="n">
        <v>79.90000000000001</v>
      </c>
      <c r="J1056" s="56" t="inlineStr">
        <is>
          <t>SIM</t>
        </is>
      </c>
      <c r="K1056" s="86" t="n">
        <v>79.90000000000001</v>
      </c>
      <c r="L1056" s="87" t="n">
        <v>79.90000000000001</v>
      </c>
      <c r="M1056" s="88" t="n">
        <v>10</v>
      </c>
      <c r="N1056" s="89" t="n">
        <v>3.93</v>
      </c>
      <c r="O1056" s="89">
        <f>ROUND(M1056*N1056,2)</f>
        <v/>
      </c>
      <c r="P1056" s="90">
        <f>IF($O1056="","",L1056-O1056-(L1056*IF(L1056&lt;=79.99,20%,14%)+IF(L1056&lt;=79.99,4,IF(L1056&lt;=99.99,16,IF(L1056&lt;=199.99,20,IF(L1056&lt;=499.99,26,28)))))-L1056*1.3%-L1056*6%-(L1056-O1056)*9.25%-L1056*3%-L1056*3%-1)</f>
        <v/>
      </c>
      <c r="Q1056" s="58" t="n">
        <v>0.5</v>
      </c>
      <c r="R1056" s="54" t="inlineStr">
        <is>
          <t>478840979931317, 492080438919432</t>
        </is>
      </c>
      <c r="S1056" s="59" t="n">
        <v>46248</v>
      </c>
      <c r="T1056" s="59" t="n">
        <v>46248.99930555555</v>
      </c>
      <c r="U1056" s="54" t="n">
        <v>101220</v>
      </c>
      <c r="V1056" t="inlineStr">
        <is>
          <t>213875</t>
        </is>
      </c>
      <c r="W1056" t="inlineStr">
        <is>
          <t>venda casada (91 pedidos) · custo do KIT 215961 (10× 213875)</t>
        </is>
      </c>
      <c r="X1056" t="n">
        <v>91</v>
      </c>
      <c r="Y1056" t="inlineStr">
        <is>
          <t>ok</t>
        </is>
      </c>
    </row>
    <row r="1057" ht="18" customHeight="1">
      <c r="A1057" s="60" t="inlineStr">
        <is>
          <t>Donacor</t>
        </is>
      </c>
      <c r="B1057" s="60" t="inlineStr">
        <is>
          <t>kit 10 ou 5 ou 3  Potes de Vidro 370ml Hermético Marmita Fit com Tampa 4 Travas OliverHome</t>
        </is>
      </c>
      <c r="C1057" s="60" t="inlineStr">
        <is>
          <t>3 Potes,Azul</t>
        </is>
      </c>
      <c r="D1057" s="60" t="inlineStr">
        <is>
          <t>Kit pote 3 un 370ml azul</t>
        </is>
      </c>
      <c r="E1057" s="60" t="n">
        <v>23093250006</v>
      </c>
      <c r="F1057" s="60" t="n">
        <v>228772628475</v>
      </c>
      <c r="G1057" s="60" t="inlineStr">
        <is>
          <t>NORMAL</t>
        </is>
      </c>
      <c r="H1057" s="91" t="n">
        <v>59.9</v>
      </c>
      <c r="I1057" s="91" t="n">
        <v>29.9</v>
      </c>
      <c r="J1057" s="65" t="inlineStr">
        <is>
          <t>SIM</t>
        </is>
      </c>
      <c r="K1057" s="91" t="n">
        <v>29.9</v>
      </c>
      <c r="L1057" s="87" t="n">
        <v>29.9</v>
      </c>
      <c r="M1057" s="88" t="n">
        <v>3</v>
      </c>
      <c r="N1057" s="89" t="n">
        <v>3.93</v>
      </c>
      <c r="O1057" s="89">
        <f>ROUND(M1057*N1057,2)</f>
        <v/>
      </c>
      <c r="P1057" s="92">
        <f>IF($O1057="","",L1057-O1057-(L1057*IF(L1057&lt;=79.99,20%,14%)+IF(L1057&lt;=79.99,4,IF(L1057&lt;=99.99,16,IF(L1057&lt;=199.99,20,IF(L1057&lt;=499.99,26,28)))))-L1057*1.3%-L1057*6%-(L1057-O1057)*9.25%-L1057*3%-L1057*3%-1)</f>
        <v/>
      </c>
      <c r="Q1057" s="67" t="n">
        <v>0.501</v>
      </c>
      <c r="R1057" s="60" t="inlineStr">
        <is>
          <t>478840979931317, 492080438919432</t>
        </is>
      </c>
      <c r="S1057" s="68" t="n">
        <v>46248</v>
      </c>
      <c r="T1057" s="68" t="n">
        <v>46248.99930555555</v>
      </c>
      <c r="U1057" s="60" t="n">
        <v>101220</v>
      </c>
      <c r="V1057" t="inlineStr">
        <is>
          <t>213876</t>
        </is>
      </c>
      <c r="W1057" t="inlineStr">
        <is>
          <t>venda casada (153 pedidos) · custo do KIT 215941 (3× 213876)</t>
        </is>
      </c>
      <c r="X1057" t="n">
        <v>153</v>
      </c>
      <c r="Y1057" t="inlineStr">
        <is>
          <t>ok</t>
        </is>
      </c>
    </row>
    <row r="1058" ht="18" customHeight="1">
      <c r="A1058" s="54" t="inlineStr">
        <is>
          <t>Donacor</t>
        </is>
      </c>
      <c r="B1058" s="54" t="inlineStr">
        <is>
          <t>kit 10 ou 5 ou 3  Potes de Vidro 370ml Hermético Marmita Fit com Tampa 4 Travas OliverHome</t>
        </is>
      </c>
      <c r="C1058" s="54" t="inlineStr">
        <is>
          <t>3 Potes,Branco</t>
        </is>
      </c>
      <c r="D1058" s="54" t="inlineStr">
        <is>
          <t>Kit pote 3 un 370ml branco</t>
        </is>
      </c>
      <c r="E1058" s="54" t="n">
        <v>23093250006</v>
      </c>
      <c r="F1058" s="54" t="n">
        <v>228772628474</v>
      </c>
      <c r="G1058" s="54" t="inlineStr">
        <is>
          <t>NORMAL</t>
        </is>
      </c>
      <c r="H1058" s="86" t="n">
        <v>59.9</v>
      </c>
      <c r="I1058" s="86" t="n">
        <v>29.9</v>
      </c>
      <c r="J1058" s="56" t="inlineStr">
        <is>
          <t>SIM</t>
        </is>
      </c>
      <c r="K1058" s="86" t="n">
        <v>29.9</v>
      </c>
      <c r="L1058" s="87" t="n">
        <v>29.9</v>
      </c>
      <c r="M1058" s="88" t="n">
        <v>3</v>
      </c>
      <c r="N1058" s="89" t="n">
        <v>3.93</v>
      </c>
      <c r="O1058" s="89">
        <f>ROUND(M1058*N1058,2)</f>
        <v/>
      </c>
      <c r="P1058" s="90">
        <f>IF($O1058="","",L1058-O1058-(L1058*IF(L1058&lt;=79.99,20%,14%)+IF(L1058&lt;=79.99,4,IF(L1058&lt;=99.99,16,IF(L1058&lt;=199.99,20,IF(L1058&lt;=499.99,26,28)))))-L1058*1.3%-L1058*6%-(L1058-O1058)*9.25%-L1058*3%-L1058*3%-1)</f>
        <v/>
      </c>
      <c r="Q1058" s="58" t="n">
        <v>0.501</v>
      </c>
      <c r="R1058" s="54" t="inlineStr">
        <is>
          <t>492080438919432, 478840979931317</t>
        </is>
      </c>
      <c r="S1058" s="59" t="n">
        <v>46248</v>
      </c>
      <c r="T1058" s="59" t="n">
        <v>46248.99930555555</v>
      </c>
      <c r="U1058" s="54" t="n">
        <v>101220</v>
      </c>
      <c r="V1058" t="inlineStr">
        <is>
          <t>213875</t>
        </is>
      </c>
      <c r="W1058" t="inlineStr">
        <is>
          <t>venda casada (338 pedidos) · custo do KIT 215957 (3× 213875)</t>
        </is>
      </c>
      <c r="X1058" t="n">
        <v>338</v>
      </c>
      <c r="Y1058" t="inlineStr">
        <is>
          <t>ok</t>
        </is>
      </c>
    </row>
    <row r="1059" ht="18" customHeight="1">
      <c r="A1059" s="60" t="inlineStr">
        <is>
          <t>Donacor</t>
        </is>
      </c>
      <c r="B1059" s="60" t="inlineStr">
        <is>
          <t>kit 10 ou 5 ou 3  Potes de Vidro 370ml Hermético Marmita Fit com Tampa 4 Travas OliverHome</t>
        </is>
      </c>
      <c r="C1059" s="60" t="inlineStr">
        <is>
          <t>3 Potes,Sortido</t>
        </is>
      </c>
      <c r="D1059" s="60" t="inlineStr">
        <is>
          <t>Kit pote 3 un 370ml sortido</t>
        </is>
      </c>
      <c r="E1059" s="60" t="n">
        <v>23093250006</v>
      </c>
      <c r="F1059" s="60" t="n">
        <v>228772628476</v>
      </c>
      <c r="G1059" s="60" t="inlineStr">
        <is>
          <t>NORMAL</t>
        </is>
      </c>
      <c r="H1059" s="91" t="n">
        <v>59.9</v>
      </c>
      <c r="I1059" s="91" t="n">
        <v>29.9</v>
      </c>
      <c r="J1059" s="65" t="inlineStr">
        <is>
          <t>SIM</t>
        </is>
      </c>
      <c r="K1059" s="91" t="n">
        <v>29.9</v>
      </c>
      <c r="L1059" s="87" t="n">
        <v>29.9</v>
      </c>
      <c r="M1059" s="88" t="n">
        <v>3</v>
      </c>
      <c r="N1059" s="89" t="n">
        <v>3.93</v>
      </c>
      <c r="O1059" s="89">
        <f>ROUND(M1059*N1059,2)</f>
        <v/>
      </c>
      <c r="P1059" s="92">
        <f>IF($O1059="","",L1059-O1059-(L1059*IF(L1059&lt;=79.99,20%,14%)+IF(L1059&lt;=79.99,4,IF(L1059&lt;=99.99,16,IF(L1059&lt;=199.99,20,IF(L1059&lt;=499.99,26,28)))))-L1059*1.3%-L1059*6%-(L1059-O1059)*9.25%-L1059*3%-L1059*3%-1)</f>
        <v/>
      </c>
      <c r="Q1059" s="67" t="n">
        <v>0.501</v>
      </c>
      <c r="R1059" s="60" t="inlineStr">
        <is>
          <t>478840979931317, 492080438919432</t>
        </is>
      </c>
      <c r="S1059" s="68" t="n">
        <v>46248</v>
      </c>
      <c r="T1059" s="68" t="n">
        <v>46248.99930555555</v>
      </c>
      <c r="U1059" s="60" t="n">
        <v>101220</v>
      </c>
      <c r="V1059" t="inlineStr">
        <is>
          <t>213875</t>
        </is>
      </c>
      <c r="W1059" t="inlineStr">
        <is>
          <t>venda casada (96 pedidos) · custo do KIT 215957 (3× 213875)</t>
        </is>
      </c>
      <c r="X1059" t="n">
        <v>96</v>
      </c>
      <c r="Y1059" t="inlineStr">
        <is>
          <t>ok</t>
        </is>
      </c>
    </row>
    <row r="1060" ht="18" customHeight="1">
      <c r="A1060" s="54" t="inlineStr">
        <is>
          <t>Donacor</t>
        </is>
      </c>
      <c r="B1060" s="54" t="inlineStr">
        <is>
          <t>kit 10 ou 5 ou 3  Potes de Vidro 370ml Hermético Marmita Fit com Tampa 4 Travas OliverHome</t>
        </is>
      </c>
      <c r="C1060" s="54" t="inlineStr">
        <is>
          <t>5 Potes,Azul</t>
        </is>
      </c>
      <c r="D1060" s="54" t="inlineStr">
        <is>
          <t>Kit pote 5 un 370ml azul</t>
        </is>
      </c>
      <c r="E1060" s="54" t="n">
        <v>23093250006</v>
      </c>
      <c r="F1060" s="54" t="n">
        <v>228772628478</v>
      </c>
      <c r="G1060" s="54" t="inlineStr">
        <is>
          <t>NORMAL</t>
        </is>
      </c>
      <c r="H1060" s="86" t="n">
        <v>99.90000000000001</v>
      </c>
      <c r="I1060" s="86" t="n">
        <v>44.9</v>
      </c>
      <c r="J1060" s="56" t="inlineStr">
        <is>
          <t>SIM</t>
        </is>
      </c>
      <c r="K1060" s="86" t="n">
        <v>44.9</v>
      </c>
      <c r="L1060" s="87" t="n">
        <v>44.9</v>
      </c>
      <c r="M1060" s="88" t="n">
        <v>5</v>
      </c>
      <c r="N1060" s="89" t="n">
        <v>3.93</v>
      </c>
      <c r="O1060" s="89">
        <f>ROUND(M1060*N1060,2)</f>
        <v/>
      </c>
      <c r="P1060" s="90">
        <f>IF($O1060="","",L1060-O1060-(L1060*IF(L1060&lt;=79.99,20%,14%)+IF(L1060&lt;=79.99,4,IF(L1060&lt;=99.99,16,IF(L1060&lt;=199.99,20,IF(L1060&lt;=499.99,26,28)))))-L1060*1.3%-L1060*6%-(L1060-O1060)*9.25%-L1060*3%-L1060*3%-1)</f>
        <v/>
      </c>
      <c r="Q1060" s="58" t="n">
        <v>0.551</v>
      </c>
      <c r="R1060" s="54" t="inlineStr">
        <is>
          <t>478840979931317, 492080438919432</t>
        </is>
      </c>
      <c r="S1060" s="59" t="n">
        <v>46248</v>
      </c>
      <c r="T1060" s="59" t="n">
        <v>46248.99930555555</v>
      </c>
      <c r="U1060" s="54" t="n">
        <v>101220</v>
      </c>
      <c r="V1060" t="inlineStr">
        <is>
          <t>213876</t>
        </is>
      </c>
      <c r="W1060" t="inlineStr">
        <is>
          <t>venda casada (183 pedidos) · custo do KIT 215942 (5× 213876)</t>
        </is>
      </c>
      <c r="X1060" t="n">
        <v>183</v>
      </c>
      <c r="Y1060" t="inlineStr">
        <is>
          <t>ok</t>
        </is>
      </c>
    </row>
    <row r="1061" ht="18" customHeight="1">
      <c r="A1061" s="60" t="inlineStr">
        <is>
          <t>Donacor</t>
        </is>
      </c>
      <c r="B1061" s="60" t="inlineStr">
        <is>
          <t>kit 10 ou 5 ou 3  Potes de Vidro 370ml Hermético Marmita Fit com Tampa 4 Travas OliverHome</t>
        </is>
      </c>
      <c r="C1061" s="60" t="inlineStr">
        <is>
          <t>5 Potes,Branco</t>
        </is>
      </c>
      <c r="D1061" s="60" t="inlineStr">
        <is>
          <t>Kit pote 5 un 370ml branco</t>
        </is>
      </c>
      <c r="E1061" s="60" t="n">
        <v>23093250006</v>
      </c>
      <c r="F1061" s="60" t="n">
        <v>228772628477</v>
      </c>
      <c r="G1061" s="60" t="inlineStr">
        <is>
          <t>NORMAL</t>
        </is>
      </c>
      <c r="H1061" s="91" t="n">
        <v>99.90000000000001</v>
      </c>
      <c r="I1061" s="91" t="n">
        <v>44.9</v>
      </c>
      <c r="J1061" s="65" t="inlineStr">
        <is>
          <t>SIM</t>
        </is>
      </c>
      <c r="K1061" s="91" t="n">
        <v>44.9</v>
      </c>
      <c r="L1061" s="87" t="n">
        <v>44.9</v>
      </c>
      <c r="M1061" s="88" t="n">
        <v>5</v>
      </c>
      <c r="N1061" s="89" t="n">
        <v>3.93</v>
      </c>
      <c r="O1061" s="89">
        <f>ROUND(M1061*N1061,2)</f>
        <v/>
      </c>
      <c r="P1061" s="92">
        <f>IF($O1061="","",L1061-O1061-(L1061*IF(L1061&lt;=79.99,20%,14%)+IF(L1061&lt;=79.99,4,IF(L1061&lt;=99.99,16,IF(L1061&lt;=199.99,20,IF(L1061&lt;=499.99,26,28)))))-L1061*1.3%-L1061*6%-(L1061-O1061)*9.25%-L1061*3%-L1061*3%-1)</f>
        <v/>
      </c>
      <c r="Q1061" s="67" t="n">
        <v>0.551</v>
      </c>
      <c r="R1061" s="60" t="inlineStr">
        <is>
          <t>478840979931317, 492080438919432</t>
        </is>
      </c>
      <c r="S1061" s="68" t="n">
        <v>46248</v>
      </c>
      <c r="T1061" s="68" t="n">
        <v>46248.99930555555</v>
      </c>
      <c r="U1061" s="60" t="n">
        <v>101220</v>
      </c>
      <c r="V1061" t="inlineStr">
        <is>
          <t>213875</t>
        </is>
      </c>
      <c r="W1061" t="inlineStr">
        <is>
          <t>venda casada (370 pedidos) · custo do KIT 215958 (5× 213875)</t>
        </is>
      </c>
      <c r="X1061" t="n">
        <v>370</v>
      </c>
      <c r="Y1061" t="inlineStr">
        <is>
          <t>ok</t>
        </is>
      </c>
    </row>
    <row r="1062" ht="18" customHeight="1">
      <c r="A1062" s="54" t="inlineStr">
        <is>
          <t>Donacor</t>
        </is>
      </c>
      <c r="B1062" s="54" t="inlineStr">
        <is>
          <t>kit 10 ou 5 ou 3  Potes de Vidro 370ml Hermético Marmita Fit com Tampa 4 Travas OliverHome</t>
        </is>
      </c>
      <c r="C1062" s="54" t="inlineStr">
        <is>
          <t>5 Potes,Sortido</t>
        </is>
      </c>
      <c r="D1062" s="54" t="inlineStr">
        <is>
          <t>Kit pote 5 un 370ml sortido</t>
        </is>
      </c>
      <c r="E1062" s="54" t="n">
        <v>23093250006</v>
      </c>
      <c r="F1062" s="54" t="n">
        <v>228772628479</v>
      </c>
      <c r="G1062" s="54" t="inlineStr">
        <is>
          <t>NORMAL</t>
        </is>
      </c>
      <c r="H1062" s="86" t="n">
        <v>99.90000000000001</v>
      </c>
      <c r="I1062" s="86" t="n">
        <v>44.9</v>
      </c>
      <c r="J1062" s="56" t="inlineStr">
        <is>
          <t>SIM</t>
        </is>
      </c>
      <c r="K1062" s="86" t="n">
        <v>44.9</v>
      </c>
      <c r="L1062" s="87" t="n">
        <v>44.9</v>
      </c>
      <c r="M1062" s="88" t="n">
        <v>5</v>
      </c>
      <c r="N1062" s="89" t="n">
        <v>3.93</v>
      </c>
      <c r="O1062" s="89">
        <f>ROUND(M1062*N1062,2)</f>
        <v/>
      </c>
      <c r="P1062" s="90">
        <f>IF($O1062="","",L1062-O1062-(L1062*IF(L1062&lt;=79.99,20%,14%)+IF(L1062&lt;=79.99,4,IF(L1062&lt;=99.99,16,IF(L1062&lt;=199.99,20,IF(L1062&lt;=499.99,26,28)))))-L1062*1.3%-L1062*6%-(L1062-O1062)*9.25%-L1062*3%-L1062*3%-1)</f>
        <v/>
      </c>
      <c r="Q1062" s="58" t="n">
        <v>0.551</v>
      </c>
      <c r="R1062" s="54" t="inlineStr">
        <is>
          <t>478840979931317, 492080438919432</t>
        </is>
      </c>
      <c r="S1062" s="59" t="n">
        <v>46248</v>
      </c>
      <c r="T1062" s="59" t="n">
        <v>46248.99930555555</v>
      </c>
      <c r="U1062" s="54" t="n">
        <v>101220</v>
      </c>
      <c r="V1062" t="inlineStr">
        <is>
          <t>213875</t>
        </is>
      </c>
      <c r="W1062" t="inlineStr">
        <is>
          <t>venda casada (79 pedidos) · custo do KIT 215958 (5× 213875)</t>
        </is>
      </c>
      <c r="X1062" t="n">
        <v>79</v>
      </c>
      <c r="Y1062" t="inlineStr">
        <is>
          <t>ok</t>
        </is>
      </c>
    </row>
    <row r="1063" ht="18" customHeight="1">
      <c r="A1063" s="60" t="inlineStr">
        <is>
          <t>Donacor</t>
        </is>
      </c>
      <c r="B1063" s="60" t="inlineStr">
        <is>
          <t>Kit 10 ou 5 Potes de Vidro 370ml/640ml Hermético Marmita Fit com Tampa 4 Travas</t>
        </is>
      </c>
      <c r="C1063" s="60" t="inlineStr">
        <is>
          <t>10 UNIDADES,370ML</t>
        </is>
      </c>
      <c r="D1063" s="60" t="inlineStr">
        <is>
          <t>KIT-10POTES-370ML</t>
        </is>
      </c>
      <c r="E1063" s="60" t="n">
        <v>22197760531</v>
      </c>
      <c r="F1063" s="60" t="n">
        <v>186164621252</v>
      </c>
      <c r="G1063" s="60" t="inlineStr">
        <is>
          <t>NORMAL</t>
        </is>
      </c>
      <c r="H1063" s="91" t="n">
        <v>179.9</v>
      </c>
      <c r="I1063" s="91" t="n">
        <v>79.90000000000001</v>
      </c>
      <c r="J1063" s="65" t="inlineStr">
        <is>
          <t>SIM</t>
        </is>
      </c>
      <c r="K1063" s="91" t="n">
        <v>79.90000000000001</v>
      </c>
      <c r="L1063" s="87" t="n">
        <v>77.90000000000001</v>
      </c>
      <c r="M1063" s="88" t="n">
        <v>10</v>
      </c>
      <c r="N1063" s="89" t="n">
        <v>3.93</v>
      </c>
      <c r="O1063" s="89">
        <f>ROUND(M1063*N1063,2)</f>
        <v/>
      </c>
      <c r="P1063" s="92">
        <f>IF($O1063="","",L1063-O1063-(L1063*IF(L1063&lt;=79.99,20%,14%)+IF(L1063&lt;=79.99,4,IF(L1063&lt;=99.99,16,IF(L1063&lt;=199.99,20,IF(L1063&lt;=499.99,26,28)))))-L1063*1.3%-L1063*6%-(L1063-O1063)*9.25%-L1063*3%-L1063*3%-1)</f>
        <v/>
      </c>
      <c r="Q1063" s="67" t="n">
        <v>0.5669999999999999</v>
      </c>
      <c r="R1063" s="60" t="n">
        <v>488524742865093</v>
      </c>
      <c r="S1063" s="68" t="n">
        <v>46248</v>
      </c>
      <c r="T1063" s="68" t="n">
        <v>46249</v>
      </c>
      <c r="U1063" s="60" t="n">
        <v>101220</v>
      </c>
      <c r="V1063" t="inlineStr">
        <is>
          <t>213876</t>
        </is>
      </c>
      <c r="W1063" t="inlineStr">
        <is>
          <t>venda casada (690 pedidos) · custo do KIT 215945 (10× 213876)</t>
        </is>
      </c>
      <c r="X1063" t="n">
        <v>690</v>
      </c>
      <c r="Y1063" t="inlineStr">
        <is>
          <t>ok</t>
        </is>
      </c>
    </row>
    <row r="1064" ht="18" customHeight="1">
      <c r="A1064" s="54" t="inlineStr">
        <is>
          <t>Donacor</t>
        </is>
      </c>
      <c r="B1064" s="54" t="inlineStr">
        <is>
          <t>Kit 10 ou 5 Potes de Vidro 370ml/640ml Hermético Marmita Fit com Tampa 4 Travas</t>
        </is>
      </c>
      <c r="C1064" s="54" t="inlineStr">
        <is>
          <t>10 UNIDADES,640ML</t>
        </is>
      </c>
      <c r="D1064" s="54" t="inlineStr">
        <is>
          <t>KIT-10POTES-640ML</t>
        </is>
      </c>
      <c r="E1064" s="54" t="n">
        <v>22197760531</v>
      </c>
      <c r="F1064" s="54" t="n">
        <v>186164621253</v>
      </c>
      <c r="G1064" s="54" t="inlineStr">
        <is>
          <t>NORMAL</t>
        </is>
      </c>
      <c r="H1064" s="86" t="n">
        <v>199.9</v>
      </c>
      <c r="I1064" s="86" t="n">
        <v>124.9</v>
      </c>
      <c r="J1064" s="56" t="inlineStr">
        <is>
          <t>SIM</t>
        </is>
      </c>
      <c r="K1064" s="86" t="n">
        <v>124.9</v>
      </c>
      <c r="L1064" s="87" t="n">
        <v>117.9</v>
      </c>
      <c r="M1064" s="88" t="n">
        <v>10</v>
      </c>
      <c r="N1064" s="89" t="n">
        <v>6.55</v>
      </c>
      <c r="O1064" s="89">
        <f>ROUND(M1064*N1064,2)</f>
        <v/>
      </c>
      <c r="P1064" s="90">
        <f>IF($O1064="","",L1064-O1064-(L1064*IF(L1064&lt;=79.99,20%,14%)+IF(L1064&lt;=79.99,4,IF(L1064&lt;=99.99,16,IF(L1064&lt;=199.99,20,IF(L1064&lt;=499.99,26,28)))))-L1064*1.3%-L1064*6%-(L1064-O1064)*9.25%-L1064*3%-L1064*3%-1)</f>
        <v/>
      </c>
      <c r="Q1064" s="58" t="n">
        <v>0.41</v>
      </c>
      <c r="R1064" s="54" t="n">
        <v>488524742865093</v>
      </c>
      <c r="S1064" s="59" t="n">
        <v>46248</v>
      </c>
      <c r="T1064" s="59" t="n">
        <v>46249</v>
      </c>
      <c r="U1064" s="54" t="n">
        <v>101220</v>
      </c>
      <c r="V1064" t="inlineStr">
        <is>
          <t>213878</t>
        </is>
      </c>
      <c r="W1064" t="inlineStr">
        <is>
          <t>venda casada (676 pedidos) · custo do KIT 215977 (10× 213878)</t>
        </is>
      </c>
      <c r="X1064" t="n">
        <v>676</v>
      </c>
      <c r="Y1064" t="inlineStr">
        <is>
          <t>ok</t>
        </is>
      </c>
    </row>
    <row r="1065" ht="18" customHeight="1">
      <c r="A1065" s="60" t="inlineStr">
        <is>
          <t>Donacor</t>
        </is>
      </c>
      <c r="B1065" s="60" t="inlineStr">
        <is>
          <t>Kit 10 ou 5 Potes de Vidro 370ml/640ml Hermético Marmita Fit com Tampa 4 Travas</t>
        </is>
      </c>
      <c r="C1065" s="60" t="inlineStr">
        <is>
          <t>5 UNIDADES,370ML</t>
        </is>
      </c>
      <c r="D1065" s="60" t="inlineStr">
        <is>
          <t>KIT-5POTES-370ML</t>
        </is>
      </c>
      <c r="E1065" s="60" t="n">
        <v>22197760531</v>
      </c>
      <c r="F1065" s="60" t="n">
        <v>186164621250</v>
      </c>
      <c r="G1065" s="60" t="inlineStr">
        <is>
          <t>NORMAL</t>
        </is>
      </c>
      <c r="H1065" s="91" t="n">
        <v>99.90000000000001</v>
      </c>
      <c r="I1065" s="91" t="n">
        <v>44.89</v>
      </c>
      <c r="J1065" s="65" t="inlineStr">
        <is>
          <t>SIM</t>
        </is>
      </c>
      <c r="K1065" s="91" t="n">
        <v>44.89</v>
      </c>
      <c r="L1065" s="87" t="n">
        <v>44.9</v>
      </c>
      <c r="M1065" s="88" t="n">
        <v>5</v>
      </c>
      <c r="N1065" s="89" t="n">
        <v>3.93</v>
      </c>
      <c r="O1065" s="89">
        <f>ROUND(M1065*N1065,2)</f>
        <v/>
      </c>
      <c r="P1065" s="92">
        <f>IF($O1065="","",L1065-O1065-(L1065*IF(L1065&lt;=79.99,20%,14%)+IF(L1065&lt;=79.99,4,IF(L1065&lt;=99.99,16,IF(L1065&lt;=199.99,20,IF(L1065&lt;=499.99,26,28)))))-L1065*1.3%-L1065*6%-(L1065-O1065)*9.25%-L1065*3%-L1065*3%-1)</f>
        <v/>
      </c>
      <c r="Q1065" s="67" t="n">
        <v>0.551</v>
      </c>
      <c r="R1065" s="60" t="n">
        <v>484945860710786</v>
      </c>
      <c r="S1065" s="68" t="n">
        <v>46227.73958333334</v>
      </c>
      <c r="T1065" s="68" t="n">
        <v>46405.45833333334</v>
      </c>
      <c r="U1065" s="60" t="n">
        <v>101220</v>
      </c>
      <c r="V1065" t="inlineStr">
        <is>
          <t>213876</t>
        </is>
      </c>
      <c r="W1065" t="inlineStr">
        <is>
          <t>venda casada (1420 pedidos) · custo do KIT 215942 (5× 213876)</t>
        </is>
      </c>
      <c r="X1065" t="n">
        <v>1420</v>
      </c>
      <c r="Y1065" t="inlineStr">
        <is>
          <t>ok</t>
        </is>
      </c>
    </row>
    <row r="1066" ht="18" customHeight="1">
      <c r="A1066" s="54" t="inlineStr">
        <is>
          <t>Donacor</t>
        </is>
      </c>
      <c r="B1066" s="54" t="inlineStr">
        <is>
          <t>Kit 10 ou 5 Potes de Vidro 370ml/640ml Hermético Marmita Fit com Tampa 4 Travas</t>
        </is>
      </c>
      <c r="C1066" s="54" t="inlineStr">
        <is>
          <t>5 UNIDADES,640ML</t>
        </is>
      </c>
      <c r="D1066" s="54" t="inlineStr">
        <is>
          <t>KIT-5POTES-640ML</t>
        </is>
      </c>
      <c r="E1066" s="54" t="n">
        <v>22197760531</v>
      </c>
      <c r="F1066" s="54" t="n">
        <v>186164621251</v>
      </c>
      <c r="G1066" s="54" t="inlineStr">
        <is>
          <t>NORMAL</t>
        </is>
      </c>
      <c r="H1066" s="86" t="n">
        <v>129.9</v>
      </c>
      <c r="I1066" s="86" t="n">
        <v>77.89</v>
      </c>
      <c r="J1066" s="56" t="inlineStr">
        <is>
          <t>SIM</t>
        </is>
      </c>
      <c r="K1066" s="86" t="n">
        <v>77.89</v>
      </c>
      <c r="L1066" s="87" t="n">
        <v>69.90000000000001</v>
      </c>
      <c r="M1066" s="88" t="n">
        <v>5</v>
      </c>
      <c r="N1066" s="89" t="n">
        <v>6.55</v>
      </c>
      <c r="O1066" s="89">
        <f>ROUND(M1066*N1066,2)</f>
        <v/>
      </c>
      <c r="P1066" s="90">
        <f>IF($O1066="","",L1066-O1066-(L1066*IF(L1066&lt;=79.99,20%,14%)+IF(L1066&lt;=79.99,4,IF(L1066&lt;=99.99,16,IF(L1066&lt;=199.99,20,IF(L1066&lt;=499.99,26,28)))))-L1066*1.3%-L1066*6%-(L1066-O1066)*9.25%-L1066*3%-L1066*3%-1)</f>
        <v/>
      </c>
      <c r="Q1066" s="58" t="n">
        <v>0.462</v>
      </c>
      <c r="R1066" s="54" t="n">
        <v>488524742865093</v>
      </c>
      <c r="S1066" s="59" t="n">
        <v>46248</v>
      </c>
      <c r="T1066" s="59" t="n">
        <v>46249</v>
      </c>
      <c r="U1066" s="54" t="n">
        <v>101220</v>
      </c>
      <c r="V1066" t="inlineStr">
        <is>
          <t>213878</t>
        </is>
      </c>
      <c r="W1066" t="inlineStr">
        <is>
          <t>venda casada (534 pedidos) · custo do KIT 215974 (5× 213878)</t>
        </is>
      </c>
      <c r="X1066" t="n">
        <v>534</v>
      </c>
      <c r="Y1066" t="inlineStr">
        <is>
          <t>ok</t>
        </is>
      </c>
    </row>
    <row r="1067" ht="18" customHeight="1">
      <c r="A1067" s="60" t="inlineStr">
        <is>
          <t>Donacor</t>
        </is>
      </c>
      <c r="B1067" s="60" t="inlineStr">
        <is>
          <t>Kit 10 ou 5 Potes de Vidro 640ml Hermético Marmita Fit com Tampa 4 Travas</t>
        </is>
      </c>
      <c r="C1067" s="60" t="inlineStr">
        <is>
          <t>10 Potes,Azul</t>
        </is>
      </c>
      <c r="D1067" s="60" t="inlineStr">
        <is>
          <t>Kit pote 10 un 640 ml azul</t>
        </is>
      </c>
      <c r="E1067" s="60" t="n">
        <v>22597755547</v>
      </c>
      <c r="F1067" s="60" t="n">
        <v>129830116839</v>
      </c>
      <c r="G1067" s="60" t="inlineStr">
        <is>
          <t>NORMAL</t>
        </is>
      </c>
      <c r="H1067" s="91" t="n">
        <v>179.9</v>
      </c>
      <c r="I1067" s="91" t="n">
        <v>124.89</v>
      </c>
      <c r="J1067" s="65" t="inlineStr">
        <is>
          <t>SIM</t>
        </is>
      </c>
      <c r="K1067" s="91" t="n">
        <v>124.89</v>
      </c>
      <c r="L1067" s="87" t="n">
        <v>116.91</v>
      </c>
      <c r="M1067" s="88" t="n">
        <v>10</v>
      </c>
      <c r="N1067" s="89" t="n">
        <v>6.55</v>
      </c>
      <c r="O1067" s="89">
        <f>ROUND(M1067*N1067,2)</f>
        <v/>
      </c>
      <c r="P1067" s="92">
        <f>IF($O1067="","",L1067-O1067-(L1067*IF(L1067&lt;=79.99,20%,14%)+IF(L1067&lt;=79.99,4,IF(L1067&lt;=99.99,16,IF(L1067&lt;=199.99,20,IF(L1067&lt;=499.99,26,28)))))-L1067*1.3%-L1067*6%-(L1067-O1067)*9.25%-L1067*3%-L1067*3%-1)</f>
        <v/>
      </c>
      <c r="Q1067" s="67" t="n">
        <v>0.35</v>
      </c>
      <c r="R1067" s="60" t="n">
        <v>488524742865093</v>
      </c>
      <c r="S1067" s="68" t="n">
        <v>46248</v>
      </c>
      <c r="T1067" s="68" t="n">
        <v>46249</v>
      </c>
      <c r="U1067" s="60" t="n">
        <v>101220</v>
      </c>
      <c r="V1067" t="inlineStr">
        <is>
          <t>213878</t>
        </is>
      </c>
      <c r="W1067" t="inlineStr">
        <is>
          <t>venda casada (20 pedidos) · custo do KIT 215977 (10× 213878)</t>
        </is>
      </c>
      <c r="X1067" t="n">
        <v>20</v>
      </c>
      <c r="Y1067" t="inlineStr">
        <is>
          <t>ok</t>
        </is>
      </c>
    </row>
    <row r="1068" ht="18" customHeight="1">
      <c r="A1068" s="54" t="inlineStr">
        <is>
          <t>Donacor</t>
        </is>
      </c>
      <c r="B1068" s="54" t="inlineStr">
        <is>
          <t>Kit 10 ou 5 Potes de Vidro 640ml Hermético Marmita Fit com Tampa 4 Travas</t>
        </is>
      </c>
      <c r="C1068" s="54" t="inlineStr">
        <is>
          <t>10 Potes,Branco</t>
        </is>
      </c>
      <c r="D1068" s="54" t="inlineStr">
        <is>
          <t>Kit pote 10 un 640 ml branco</t>
        </is>
      </c>
      <c r="E1068" s="54" t="n">
        <v>22597755547</v>
      </c>
      <c r="F1068" s="54" t="n">
        <v>129830116838</v>
      </c>
      <c r="G1068" s="54" t="inlineStr">
        <is>
          <t>NORMAL</t>
        </is>
      </c>
      <c r="H1068" s="86" t="n">
        <v>179.9</v>
      </c>
      <c r="I1068" s="86" t="n">
        <v>124.89</v>
      </c>
      <c r="J1068" s="56" t="inlineStr">
        <is>
          <t>SIM</t>
        </is>
      </c>
      <c r="K1068" s="86" t="n">
        <v>124.89</v>
      </c>
      <c r="L1068" s="87" t="n">
        <v>116.91</v>
      </c>
      <c r="M1068" s="88" t="n">
        <v>10</v>
      </c>
      <c r="N1068" s="89" t="n">
        <v>6.55</v>
      </c>
      <c r="O1068" s="89">
        <f>ROUND(M1068*N1068,2)</f>
        <v/>
      </c>
      <c r="P1068" s="90">
        <f>IF($O1068="","",L1068-O1068-(L1068*IF(L1068&lt;=79.99,20%,14%)+IF(L1068&lt;=79.99,4,IF(L1068&lt;=99.99,16,IF(L1068&lt;=199.99,20,IF(L1068&lt;=499.99,26,28)))))-L1068*1.3%-L1068*6%-(L1068-O1068)*9.25%-L1068*3%-L1068*3%-1)</f>
        <v/>
      </c>
      <c r="Q1068" s="58" t="n">
        <v>0.35</v>
      </c>
      <c r="R1068" s="54" t="n">
        <v>488524742865093</v>
      </c>
      <c r="S1068" s="59" t="n">
        <v>46248</v>
      </c>
      <c r="T1068" s="59" t="n">
        <v>46249</v>
      </c>
      <c r="U1068" s="54" t="n">
        <v>101220</v>
      </c>
      <c r="V1068" t="inlineStr">
        <is>
          <t>213877</t>
        </is>
      </c>
      <c r="W1068" t="inlineStr">
        <is>
          <t>venda casada (642 pedidos) · custo do KIT 215993 (10× 213877)</t>
        </is>
      </c>
      <c r="X1068" t="n">
        <v>642</v>
      </c>
      <c r="Y1068" t="inlineStr">
        <is>
          <t>ok</t>
        </is>
      </c>
    </row>
    <row r="1069" ht="18" customHeight="1">
      <c r="A1069" s="60" t="inlineStr">
        <is>
          <t>Donacor</t>
        </is>
      </c>
      <c r="B1069" s="60" t="inlineStr">
        <is>
          <t>Kit 10 ou 5 Potes de Vidro 640ml Hermético Marmita Fit com Tampa 4 Travas</t>
        </is>
      </c>
      <c r="C1069" s="60" t="inlineStr">
        <is>
          <t>10 Potes,Sortido</t>
        </is>
      </c>
      <c r="D1069" s="60" t="inlineStr">
        <is>
          <t>Kit pote 10 un 640 ml sortido</t>
        </is>
      </c>
      <c r="E1069" s="60" t="n">
        <v>22597755547</v>
      </c>
      <c r="F1069" s="60" t="n">
        <v>129830116840</v>
      </c>
      <c r="G1069" s="60" t="inlineStr">
        <is>
          <t>NORMAL</t>
        </is>
      </c>
      <c r="H1069" s="91" t="n">
        <v>179.9</v>
      </c>
      <c r="I1069" s="91" t="n">
        <v>124.89</v>
      </c>
      <c r="J1069" s="65" t="inlineStr">
        <is>
          <t>SIM</t>
        </is>
      </c>
      <c r="K1069" s="91" t="n">
        <v>124.89</v>
      </c>
      <c r="L1069" s="87" t="n">
        <v>116.01</v>
      </c>
      <c r="M1069" s="88" t="n">
        <v>10</v>
      </c>
      <c r="N1069" s="89" t="n">
        <v>6.55</v>
      </c>
      <c r="O1069" s="89">
        <f>ROUND(M1069*N1069,2)</f>
        <v/>
      </c>
      <c r="P1069" s="92">
        <f>IF($O1069="","",L1069-O1069-(L1069*IF(L1069&lt;=79.99,20%,14%)+IF(L1069&lt;=79.99,4,IF(L1069&lt;=99.99,16,IF(L1069&lt;=199.99,20,IF(L1069&lt;=499.99,26,28)))))-L1069*1.3%-L1069*6%-(L1069-O1069)*9.25%-L1069*3%-L1069*3%-1)</f>
        <v/>
      </c>
      <c r="Q1069" s="67" t="n">
        <v>0.355</v>
      </c>
      <c r="R1069" s="60" t="n">
        <v>488524742865093</v>
      </c>
      <c r="S1069" s="68" t="n">
        <v>46248</v>
      </c>
      <c r="T1069" s="68" t="n">
        <v>46249</v>
      </c>
      <c r="U1069" s="60" t="n">
        <v>101220</v>
      </c>
      <c r="V1069" t="inlineStr">
        <is>
          <t>213877</t>
        </is>
      </c>
      <c r="W1069" t="inlineStr">
        <is>
          <t>venda casada (23 pedidos) · custo do KIT 215993 (10× 213877)</t>
        </is>
      </c>
      <c r="X1069" t="n">
        <v>23</v>
      </c>
      <c r="Y1069" t="inlineStr">
        <is>
          <t>ok</t>
        </is>
      </c>
    </row>
    <row r="1070" ht="18" customHeight="1">
      <c r="A1070" s="54" t="inlineStr">
        <is>
          <t>Donacor</t>
        </is>
      </c>
      <c r="B1070" s="54" t="inlineStr">
        <is>
          <t>Kit 10 ou 5 Potes de Vidro 640ml Hermético Marmita Fit com Tampa 4 Travas</t>
        </is>
      </c>
      <c r="C1070" s="54" t="inlineStr">
        <is>
          <t>5 Potes,Azul</t>
        </is>
      </c>
      <c r="D1070" s="54" t="inlineStr">
        <is>
          <t>Kit pote 5 un 640 ml azul</t>
        </is>
      </c>
      <c r="E1070" s="54" t="n">
        <v>22597755547</v>
      </c>
      <c r="F1070" s="54" t="n">
        <v>129830116842</v>
      </c>
      <c r="G1070" s="54" t="inlineStr">
        <is>
          <t>NORMAL</t>
        </is>
      </c>
      <c r="H1070" s="86" t="n">
        <v>109.9</v>
      </c>
      <c r="I1070" s="86" t="n">
        <v>77.88</v>
      </c>
      <c r="J1070" s="56" t="inlineStr">
        <is>
          <t>SIM</t>
        </is>
      </c>
      <c r="K1070" s="86" t="n">
        <v>77.88</v>
      </c>
      <c r="L1070" s="87" t="n">
        <v>69.90000000000001</v>
      </c>
      <c r="M1070" s="88" t="n">
        <v>5</v>
      </c>
      <c r="N1070" s="89" t="n">
        <v>6.55</v>
      </c>
      <c r="O1070" s="89">
        <f>ROUND(M1070*N1070,2)</f>
        <v/>
      </c>
      <c r="P1070" s="90">
        <f>IF($O1070="","",L1070-O1070-(L1070*IF(L1070&lt;=79.99,20%,14%)+IF(L1070&lt;=79.99,4,IF(L1070&lt;=99.99,16,IF(L1070&lt;=199.99,20,IF(L1070&lt;=499.99,26,28)))))-L1070*1.3%-L1070*6%-(L1070-O1070)*9.25%-L1070*3%-L1070*3%-1)</f>
        <v/>
      </c>
      <c r="Q1070" s="58" t="n">
        <v>0.364</v>
      </c>
      <c r="R1070" s="54" t="n">
        <v>488524742865093</v>
      </c>
      <c r="S1070" s="59" t="n">
        <v>46248</v>
      </c>
      <c r="T1070" s="59" t="n">
        <v>46249</v>
      </c>
      <c r="U1070" s="54" t="n">
        <v>101220</v>
      </c>
      <c r="V1070" t="inlineStr">
        <is>
          <t>213878</t>
        </is>
      </c>
      <c r="W1070" t="inlineStr">
        <is>
          <t>venda casada (15 pedidos) · custo do KIT 215974 (5× 213878)</t>
        </is>
      </c>
      <c r="X1070" t="n">
        <v>15</v>
      </c>
      <c r="Y1070" t="inlineStr">
        <is>
          <t>ok</t>
        </is>
      </c>
    </row>
    <row r="1071" ht="18" customHeight="1">
      <c r="A1071" s="60" t="inlineStr">
        <is>
          <t>Donacor</t>
        </is>
      </c>
      <c r="B1071" s="60" t="inlineStr">
        <is>
          <t>Kit 10 ou 5 Potes de Vidro 640ml Hermético Marmita Fit com Tampa 4 Travas</t>
        </is>
      </c>
      <c r="C1071" s="60" t="inlineStr">
        <is>
          <t>5 Potes,Branco</t>
        </is>
      </c>
      <c r="D1071" s="60" t="inlineStr">
        <is>
          <t>Kit pote 5 un 640 ml branco</t>
        </is>
      </c>
      <c r="E1071" s="60" t="n">
        <v>22597755547</v>
      </c>
      <c r="F1071" s="60" t="n">
        <v>129830116841</v>
      </c>
      <c r="G1071" s="60" t="inlineStr">
        <is>
          <t>NORMAL</t>
        </is>
      </c>
      <c r="H1071" s="91" t="n">
        <v>109.9</v>
      </c>
      <c r="I1071" s="91" t="n">
        <v>77.88</v>
      </c>
      <c r="J1071" s="65" t="inlineStr">
        <is>
          <t>SIM</t>
        </is>
      </c>
      <c r="K1071" s="91" t="n">
        <v>77.88</v>
      </c>
      <c r="L1071" s="87" t="n">
        <v>69.90000000000001</v>
      </c>
      <c r="M1071" s="88" t="n">
        <v>5</v>
      </c>
      <c r="N1071" s="89" t="n">
        <v>6.55</v>
      </c>
      <c r="O1071" s="89">
        <f>ROUND(M1071*N1071,2)</f>
        <v/>
      </c>
      <c r="P1071" s="92">
        <f>IF($O1071="","",L1071-O1071-(L1071*IF(L1071&lt;=79.99,20%,14%)+IF(L1071&lt;=79.99,4,IF(L1071&lt;=99.99,16,IF(L1071&lt;=199.99,20,IF(L1071&lt;=499.99,26,28)))))-L1071*1.3%-L1071*6%-(L1071-O1071)*9.25%-L1071*3%-L1071*3%-1)</f>
        <v/>
      </c>
      <c r="Q1071" s="67" t="n">
        <v>0.364</v>
      </c>
      <c r="R1071" s="60" t="n">
        <v>488524742865093</v>
      </c>
      <c r="S1071" s="68" t="n">
        <v>46248</v>
      </c>
      <c r="T1071" s="68" t="n">
        <v>46249</v>
      </c>
      <c r="U1071" s="60" t="n">
        <v>101220</v>
      </c>
      <c r="V1071" t="inlineStr">
        <is>
          <t>213877</t>
        </is>
      </c>
      <c r="W1071" t="inlineStr">
        <is>
          <t>venda casada (19 pedidos) · custo do KIT 215990 (5× 213877)</t>
        </is>
      </c>
      <c r="X1071" t="n">
        <v>19</v>
      </c>
      <c r="Y1071" t="inlineStr">
        <is>
          <t>ok</t>
        </is>
      </c>
    </row>
    <row r="1072" ht="18" customHeight="1">
      <c r="A1072" s="54" t="inlineStr">
        <is>
          <t>Donacor</t>
        </is>
      </c>
      <c r="B1072" s="54" t="inlineStr">
        <is>
          <t>Kit 10 ou 5 Potes de Vidro 640ml Hermético Marmita Fit com Tampa 4 Travas</t>
        </is>
      </c>
      <c r="C1072" s="54" t="inlineStr">
        <is>
          <t>5 Potes,Sortido</t>
        </is>
      </c>
      <c r="D1072" s="54" t="inlineStr">
        <is>
          <t>Kit pote 5 un 640 ml sortido</t>
        </is>
      </c>
      <c r="E1072" s="54" t="n">
        <v>22597755547</v>
      </c>
      <c r="F1072" s="54" t="n">
        <v>129830116837</v>
      </c>
      <c r="G1072" s="54" t="inlineStr">
        <is>
          <t>NORMAL</t>
        </is>
      </c>
      <c r="H1072" s="86" t="n">
        <v>109.9</v>
      </c>
      <c r="I1072" s="86" t="n">
        <v>77.88</v>
      </c>
      <c r="J1072" s="56" t="inlineStr">
        <is>
          <t>SIM</t>
        </is>
      </c>
      <c r="K1072" s="86" t="n">
        <v>77.88</v>
      </c>
      <c r="L1072" s="87" t="n">
        <v>68.90000000000001</v>
      </c>
      <c r="M1072" s="88" t="n">
        <v>5</v>
      </c>
      <c r="N1072" s="89" t="n">
        <v>6.55</v>
      </c>
      <c r="O1072" s="89">
        <f>ROUND(M1072*N1072,2)</f>
        <v/>
      </c>
      <c r="P1072" s="90">
        <f>IF($O1072="","",L1072-O1072-(L1072*IF(L1072&lt;=79.99,20%,14%)+IF(L1072&lt;=79.99,4,IF(L1072&lt;=99.99,16,IF(L1072&lt;=199.99,20,IF(L1072&lt;=499.99,26,28)))))-L1072*1.3%-L1072*6%-(L1072-O1072)*9.25%-L1072*3%-L1072*3%-1)</f>
        <v/>
      </c>
      <c r="Q1072" s="58" t="n">
        <v>0.373</v>
      </c>
      <c r="R1072" s="54" t="n">
        <v>488524742865093</v>
      </c>
      <c r="S1072" s="59" t="n">
        <v>46248</v>
      </c>
      <c r="T1072" s="59" t="n">
        <v>46249</v>
      </c>
      <c r="U1072" s="54" t="n">
        <v>101220</v>
      </c>
      <c r="V1072" t="inlineStr">
        <is>
          <t>213877</t>
        </is>
      </c>
      <c r="W1072" t="inlineStr">
        <is>
          <t>venda casada (7 pedidos) · custo do KIT 215990 (5× 213877)</t>
        </is>
      </c>
      <c r="X1072" t="n">
        <v>7</v>
      </c>
      <c r="Y1072" t="inlineStr">
        <is>
          <t>ok</t>
        </is>
      </c>
    </row>
    <row r="1073" ht="18" customHeight="1">
      <c r="A1073" s="60" t="inlineStr">
        <is>
          <t>Donacor</t>
        </is>
      </c>
      <c r="B1073" s="60" t="inlineStr">
        <is>
          <t>Kit 100 Cabides De Madeira Premium Marfim Para Roupas Calça Gancho Cromado</t>
        </is>
      </c>
      <c r="C1073" s="60" t="inlineStr">
        <is>
          <t>Sem variação</t>
        </is>
      </c>
      <c r="D1073" s="60" t="inlineStr">
        <is>
          <t>CABIDE-MARFIM-100 UN</t>
        </is>
      </c>
      <c r="E1073" s="60" t="n">
        <v>22598218825</v>
      </c>
      <c r="F1073" s="60" t="n">
        <v>0</v>
      </c>
      <c r="G1073" s="60" t="inlineStr">
        <is>
          <t>NORMAL</t>
        </is>
      </c>
      <c r="H1073" s="91" t="n">
        <v>569.9</v>
      </c>
      <c r="I1073" s="91" t="n">
        <v>399.9</v>
      </c>
      <c r="J1073" s="65" t="inlineStr">
        <is>
          <t>SIM</t>
        </is>
      </c>
      <c r="K1073" s="91" t="n">
        <v>399.9</v>
      </c>
      <c r="L1073" s="87" t="n">
        <v>399.9</v>
      </c>
      <c r="M1073" s="88" t="n">
        <v>100</v>
      </c>
      <c r="N1073" s="89" t="n">
        <v>2.01</v>
      </c>
      <c r="O1073" s="89">
        <f>ROUND(M1073*N1073,2)</f>
        <v/>
      </c>
      <c r="P1073" s="92">
        <f>IF($O1073="","",L1073-O1073-(L1073*IF(L1073&lt;=79.99,20%,14%)+IF(L1073&lt;=79.99,4,IF(L1073&lt;=99.99,16,IF(L1073&lt;=199.99,20,IF(L1073&lt;=499.99,26,28)))))-L1073*1.3%-L1073*6%-(L1073-O1073)*9.25%-L1073*3%-L1073*3%-1)</f>
        <v/>
      </c>
      <c r="Q1073" s="67" t="n">
        <v>0.298</v>
      </c>
      <c r="R1073" s="60" t="inlineStr">
        <is>
          <t>478840979931317, 484945860710786</t>
        </is>
      </c>
      <c r="S1073" s="68" t="n">
        <v>46227.73958333334</v>
      </c>
      <c r="T1073" s="68" t="n">
        <v>46248.99930555555</v>
      </c>
      <c r="U1073" s="60" t="n">
        <v>101253</v>
      </c>
      <c r="V1073" t="inlineStr">
        <is>
          <t>213176</t>
        </is>
      </c>
      <c r="W1073" t="inlineStr">
        <is>
          <t>venda casada (6 pedidos) · custo do KIT 214061 (100× 213176)</t>
        </is>
      </c>
      <c r="X1073" t="n">
        <v>6</v>
      </c>
      <c r="Y1073" t="inlineStr">
        <is>
          <t>ok</t>
        </is>
      </c>
    </row>
    <row r="1074" ht="18" customHeight="1">
      <c r="A1074" s="54" t="inlineStr">
        <is>
          <t>Donacor</t>
        </is>
      </c>
      <c r="B1074" s="54" t="inlineStr">
        <is>
          <t>Kit 2un Tapete para Cachorro Higiênico Espaço De Bicho  Pet 60x60cm 60 Unidades</t>
        </is>
      </c>
      <c r="C1074" s="54" t="inlineStr">
        <is>
          <t>Sem variação</t>
        </is>
      </c>
      <c r="D1074" s="54" t="n">
        <v>698</v>
      </c>
      <c r="E1074" s="54" t="n">
        <v>23093010917</v>
      </c>
      <c r="F1074" s="54" t="n">
        <v>0</v>
      </c>
      <c r="G1074" s="54" t="inlineStr">
        <is>
          <t>NORMAL</t>
        </is>
      </c>
      <c r="H1074" s="86" t="n">
        <v>149.9</v>
      </c>
      <c r="I1074" s="86" t="n">
        <v>79.90000000000001</v>
      </c>
      <c r="J1074" s="56" t="inlineStr">
        <is>
          <t>SIM</t>
        </is>
      </c>
      <c r="K1074" s="86" t="n">
        <v>79.90000000000001</v>
      </c>
      <c r="L1074" s="87" t="n">
        <v>79.90000000000001</v>
      </c>
      <c r="M1074" s="88" t="n">
        <v>2</v>
      </c>
      <c r="N1074" s="89" t="n">
        <v>19.58</v>
      </c>
      <c r="O1074" s="89">
        <f>ROUND(M1074*N1074,2)</f>
        <v/>
      </c>
      <c r="P1074" s="90">
        <f>IF($O1074="","",L1074-O1074-(L1074*IF(L1074&lt;=79.99,20%,14%)+IF(L1074&lt;=79.99,4,IF(L1074&lt;=99.99,16,IF(L1074&lt;=199.99,20,IF(L1074&lt;=499.99,26,28)))))-L1074*1.3%-L1074*6%-(L1074-O1074)*9.25%-L1074*3%-L1074*3%-1)</f>
        <v/>
      </c>
      <c r="Q1074" s="58" t="n">
        <v>0.467</v>
      </c>
      <c r="R1074" s="54" t="inlineStr">
        <is>
          <t>478840979931317, 484945860710786</t>
        </is>
      </c>
      <c r="S1074" s="59" t="n">
        <v>46227.73958333334</v>
      </c>
      <c r="T1074" s="59" t="n">
        <v>46248.99930555555</v>
      </c>
      <c r="U1074" s="54" t="n">
        <v>100926</v>
      </c>
      <c r="V1074" t="inlineStr">
        <is>
          <t>212952</t>
        </is>
      </c>
      <c r="W1074" t="inlineStr">
        <is>
          <t>venda casada (9 pedidos) · custo do KIT 212446 (2× 212952)</t>
        </is>
      </c>
      <c r="X1074" t="n">
        <v>9</v>
      </c>
      <c r="Y1074" t="inlineStr">
        <is>
          <t>ok</t>
        </is>
      </c>
    </row>
    <row r="1075" ht="18" customHeight="1">
      <c r="A1075" s="60" t="inlineStr">
        <is>
          <t>Donacor</t>
        </is>
      </c>
      <c r="B1075" s="60" t="inlineStr">
        <is>
          <t>Kit 3 Cabide Multifuncional para Calças de Inox com 5 Divisórias Branco/Preto</t>
        </is>
      </c>
      <c r="C1075" s="60" t="inlineStr">
        <is>
          <t>Kit com 2 Cabides,Branco</t>
        </is>
      </c>
      <c r="D1075" s="60" t="inlineStr">
        <is>
          <t>CABIDE-2-BRANCO</t>
        </is>
      </c>
      <c r="E1075" s="60" t="n">
        <v>23993700445</v>
      </c>
      <c r="F1075" s="60" t="n">
        <v>238780311653</v>
      </c>
      <c r="G1075" s="60" t="inlineStr">
        <is>
          <t>NORMAL</t>
        </is>
      </c>
      <c r="H1075" s="91" t="n">
        <v>49.9</v>
      </c>
      <c r="I1075" s="91" t="n">
        <v>29.9</v>
      </c>
      <c r="J1075" s="65" t="inlineStr">
        <is>
          <t>SIM</t>
        </is>
      </c>
      <c r="K1075" s="91" t="n">
        <v>29.9</v>
      </c>
      <c r="L1075" s="87" t="n">
        <v>29.9</v>
      </c>
      <c r="M1075" s="88" t="n">
        <v>2</v>
      </c>
      <c r="N1075" s="89" t="n">
        <v>4.51</v>
      </c>
      <c r="O1075" s="89">
        <f>ROUND(M1075*N1075,2)</f>
        <v/>
      </c>
      <c r="P1075" s="92">
        <f>IF($O1075="","",L1075-O1075-(L1075*IF(L1075&lt;=79.99,20%,14%)+IF(L1075&lt;=79.99,4,IF(L1075&lt;=99.99,16,IF(L1075&lt;=199.99,20,IF(L1075&lt;=499.99,26,28)))))-L1075*1.3%-L1075*6%-(L1075-O1075)*9.25%-L1075*3%-L1075*3%-1)</f>
        <v/>
      </c>
      <c r="Q1075" s="67" t="n">
        <v>0.401</v>
      </c>
      <c r="R1075" s="60" t="inlineStr">
        <is>
          <t>478840979931317, 484946028474774</t>
        </is>
      </c>
      <c r="S1075" s="68" t="n">
        <v>46227.74097222222</v>
      </c>
      <c r="T1075" s="68" t="n">
        <v>46248.99930555555</v>
      </c>
      <c r="U1075" s="60" t="n">
        <v>101253</v>
      </c>
      <c r="V1075" t="inlineStr">
        <is>
          <t>214149</t>
        </is>
      </c>
      <c r="W1075" t="inlineStr">
        <is>
          <t>SKU do de-para · custo do KIT 214153 (2× 214149)</t>
        </is>
      </c>
      <c r="X1075" t="n">
        <v>301</v>
      </c>
      <c r="Y1075" t="inlineStr">
        <is>
          <t>ok</t>
        </is>
      </c>
    </row>
    <row r="1076" ht="18" customHeight="1">
      <c r="A1076" s="54" t="inlineStr">
        <is>
          <t>Donacor</t>
        </is>
      </c>
      <c r="B1076" s="54" t="inlineStr">
        <is>
          <t>Kit 3 Cabide Multifuncional para Calças de Inox com 5 Divisórias Branco/Preto</t>
        </is>
      </c>
      <c r="C1076" s="54" t="inlineStr">
        <is>
          <t>Kit com 2 Cabides,Preto</t>
        </is>
      </c>
      <c r="D1076" s="54" t="inlineStr">
        <is>
          <t>CABIDE-2-PRETO</t>
        </is>
      </c>
      <c r="E1076" s="54" t="n">
        <v>23993700445</v>
      </c>
      <c r="F1076" s="54" t="n">
        <v>238780311654</v>
      </c>
      <c r="G1076" s="54" t="inlineStr">
        <is>
          <t>NORMAL</t>
        </is>
      </c>
      <c r="H1076" s="86" t="n">
        <v>49.9</v>
      </c>
      <c r="I1076" s="86" t="n">
        <v>49.9</v>
      </c>
      <c r="J1076" s="69" t="inlineStr">
        <is>
          <t>NÃO</t>
        </is>
      </c>
      <c r="K1076" s="54" t="n"/>
      <c r="L1076" s="87" t="n">
        <v>49.9</v>
      </c>
      <c r="M1076" s="88" t="n">
        <v>2</v>
      </c>
      <c r="N1076" s="89" t="n">
        <v>4.51</v>
      </c>
      <c r="O1076" s="89">
        <f>ROUND(M1076*N1076,2)</f>
        <v/>
      </c>
      <c r="P1076" s="90">
        <f>IF($O1076="","",L1076-O1076-(L1076*IF(L1076&lt;=79.99,20%,14%)+IF(L1076&lt;=79.99,4,IF(L1076&lt;=99.99,16,IF(L1076&lt;=199.99,20,IF(L1076&lt;=499.99,26,28)))))-L1076*1.3%-L1076*6%-(L1076-O1076)*9.25%-L1076*3%-L1076*3%-1)</f>
        <v/>
      </c>
      <c r="Q1076" s="54">
        <f>IF(AND(K1076&lt;&gt;"",H1076&gt;0),(H1076-K1076)/H1076,"")</f>
        <v/>
      </c>
      <c r="R1076" s="54" t="n"/>
      <c r="S1076" s="54" t="n"/>
      <c r="T1076" s="54" t="n"/>
      <c r="U1076" s="54" t="n">
        <v>101253</v>
      </c>
      <c r="V1076" t="inlineStr">
        <is>
          <t>214150</t>
        </is>
      </c>
      <c r="W1076" t="inlineStr">
        <is>
          <t>venda casada (1 pedido) · custo do KIT 214154 (2× 214150)</t>
        </is>
      </c>
      <c r="X1076" t="n">
        <v>1</v>
      </c>
      <c r="Y1076" t="inlineStr">
        <is>
          <t>⚠ evidência fraca (1 pedido)</t>
        </is>
      </c>
    </row>
    <row r="1077" ht="18" customHeight="1">
      <c r="A1077" s="60" t="inlineStr">
        <is>
          <t>Donacor</t>
        </is>
      </c>
      <c r="B1077" s="60" t="inlineStr">
        <is>
          <t>Kit 3 Cabide Multifuncional para Calças de Inox com 5 Divisórias Branco/Preto</t>
        </is>
      </c>
      <c r="C1077" s="60" t="inlineStr">
        <is>
          <t>Kit com 3 Cabides,Branco</t>
        </is>
      </c>
      <c r="D1077" s="60" t="inlineStr">
        <is>
          <t>CABIDE-3-BRANCO</t>
        </is>
      </c>
      <c r="E1077" s="60" t="n">
        <v>23993700445</v>
      </c>
      <c r="F1077" s="60" t="n">
        <v>238780311655</v>
      </c>
      <c r="G1077" s="60" t="inlineStr">
        <is>
          <t>NORMAL</t>
        </is>
      </c>
      <c r="H1077" s="91" t="n">
        <v>59.9</v>
      </c>
      <c r="I1077" s="91" t="n">
        <v>44.89</v>
      </c>
      <c r="J1077" s="65" t="inlineStr">
        <is>
          <t>SIM</t>
        </is>
      </c>
      <c r="K1077" s="91" t="n">
        <v>44.89</v>
      </c>
      <c r="L1077" s="87" t="n">
        <v>44.89</v>
      </c>
      <c r="M1077" s="88" t="n">
        <v>3</v>
      </c>
      <c r="N1077" s="89" t="n">
        <v>4.51</v>
      </c>
      <c r="O1077" s="89">
        <f>ROUND(M1077*N1077,2)</f>
        <v/>
      </c>
      <c r="P1077" s="92">
        <f>IF($O1077="","",L1077-O1077-(L1077*IF(L1077&lt;=79.99,20%,14%)+IF(L1077&lt;=79.99,4,IF(L1077&lt;=99.99,16,IF(L1077&lt;=199.99,20,IF(L1077&lt;=499.99,26,28)))))-L1077*1.3%-L1077*6%-(L1077-O1077)*9.25%-L1077*3%-L1077*3%-1)</f>
        <v/>
      </c>
      <c r="Q1077" s="67" t="n">
        <v>0.251</v>
      </c>
      <c r="R1077" s="60" t="inlineStr">
        <is>
          <t>478840979931317, 484946028474774</t>
        </is>
      </c>
      <c r="S1077" s="68" t="n">
        <v>46227.74097222222</v>
      </c>
      <c r="T1077" s="68" t="n">
        <v>46248.99930555555</v>
      </c>
      <c r="U1077" s="60" t="n">
        <v>101253</v>
      </c>
      <c r="V1077" t="inlineStr">
        <is>
          <t>214149</t>
        </is>
      </c>
      <c r="W1077" t="inlineStr">
        <is>
          <t>SKU do de-para · custo do KIT 214155 (3× 214149)</t>
        </is>
      </c>
      <c r="X1077" t="n">
        <v>222</v>
      </c>
      <c r="Y1077" t="inlineStr">
        <is>
          <t>ok</t>
        </is>
      </c>
    </row>
    <row r="1078" ht="18" customHeight="1">
      <c r="A1078" s="54" t="inlineStr">
        <is>
          <t>Donacor</t>
        </is>
      </c>
      <c r="B1078" s="54" t="inlineStr">
        <is>
          <t>Kit 3 Cabide Multifuncional para Calças de Inox com 5 Divisórias Branco/Preto</t>
        </is>
      </c>
      <c r="C1078" s="54" t="inlineStr">
        <is>
          <t>Kit com 3 Cabides,Preto</t>
        </is>
      </c>
      <c r="D1078" s="54" t="inlineStr">
        <is>
          <t>CABIDE-3-PRETO</t>
        </is>
      </c>
      <c r="E1078" s="54" t="n">
        <v>23993700445</v>
      </c>
      <c r="F1078" s="54" t="n">
        <v>238780311656</v>
      </c>
      <c r="G1078" s="54" t="inlineStr">
        <is>
          <t>NORMAL</t>
        </is>
      </c>
      <c r="H1078" s="86" t="n">
        <v>59.9</v>
      </c>
      <c r="I1078" s="86" t="n">
        <v>59.9</v>
      </c>
      <c r="J1078" s="69" t="inlineStr">
        <is>
          <t>NÃO</t>
        </is>
      </c>
      <c r="K1078" s="54" t="n"/>
      <c r="L1078" s="87" t="n">
        <v>59.9</v>
      </c>
      <c r="M1078" s="88" t="n">
        <v>3</v>
      </c>
      <c r="N1078" s="89" t="n">
        <v>4.51</v>
      </c>
      <c r="O1078" s="89">
        <f>ROUND(M1078*N1078,2)</f>
        <v/>
      </c>
      <c r="P1078" s="90">
        <f>IF($O1078="","",L1078-O1078-(L1078*IF(L1078&lt;=79.99,20%,14%)+IF(L1078&lt;=79.99,4,IF(L1078&lt;=99.99,16,IF(L1078&lt;=199.99,20,IF(L1078&lt;=499.99,26,28)))))-L1078*1.3%-L1078*6%-(L1078-O1078)*9.25%-L1078*3%-L1078*3%-1)</f>
        <v/>
      </c>
      <c r="Q1078" s="54">
        <f>IF(AND(K1078&lt;&gt;"",H1078&gt;0),(H1078-K1078)/H1078,"")</f>
        <v/>
      </c>
      <c r="R1078" s="54" t="n"/>
      <c r="S1078" s="54" t="n"/>
      <c r="T1078" s="54" t="n"/>
      <c r="U1078" s="54" t="n">
        <v>101253</v>
      </c>
      <c r="V1078" t="inlineStr">
        <is>
          <t>214150</t>
        </is>
      </c>
      <c r="W1078" t="inlineStr">
        <is>
          <t>SKU do de-para · custo do KIT 214156 (3× 214150)</t>
        </is>
      </c>
      <c r="X1078" t="n">
        <v>78</v>
      </c>
      <c r="Y1078" t="inlineStr">
        <is>
          <t>ok</t>
        </is>
      </c>
    </row>
    <row r="1079" ht="18" customHeight="1">
      <c r="A1079" s="60" t="inlineStr">
        <is>
          <t>Donacor</t>
        </is>
      </c>
      <c r="B1079" s="60" t="inlineStr">
        <is>
          <t>Kit 3 Dispenser Porta Armazenamento Ração 1 Módulo 50 Litros</t>
        </is>
      </c>
      <c r="C1079" s="60" t="inlineStr">
        <is>
          <t>Sem variação</t>
        </is>
      </c>
      <c r="D1079" s="60" t="inlineStr">
        <is>
          <t>KIT3-DISPENSER-PAREDE</t>
        </is>
      </c>
      <c r="E1079" s="60" t="n">
        <v>23693006110</v>
      </c>
      <c r="F1079" s="60" t="n">
        <v>0</v>
      </c>
      <c r="G1079" s="60" t="inlineStr">
        <is>
          <t>NORMAL</t>
        </is>
      </c>
      <c r="H1079" s="91" t="n">
        <v>599.9</v>
      </c>
      <c r="I1079" s="91" t="n">
        <v>599.9</v>
      </c>
      <c r="J1079" s="62" t="inlineStr">
        <is>
          <t>NÃO</t>
        </is>
      </c>
      <c r="K1079" s="60" t="inlineStr">
        <is>
          <t> </t>
        </is>
      </c>
      <c r="L1079" s="87" t="n">
        <v>599.9</v>
      </c>
      <c r="P1079" s="92">
        <f>IF($O1079="","",L1079-O1079-(L1079*IF(L1079&lt;=79.99,20%,14%)+IF(L1079&lt;=79.99,4,IF(L1079&lt;=99.99,16,IF(L1079&lt;=199.99,20,IF(L1079&lt;=499.99,26,28)))))-L1079*1.3%-L1079*6%-(L1079-O1079)*9.25%-L1079*3%-L1079*3%-1)</f>
        <v/>
      </c>
      <c r="Q1079" s="60" t="inlineStr">
        <is>
          <t> </t>
        </is>
      </c>
      <c r="R1079" s="60" t="inlineStr">
        <is>
          <t> </t>
        </is>
      </c>
      <c r="S1079" s="60" t="inlineStr">
        <is>
          <t> </t>
        </is>
      </c>
      <c r="T1079" s="60" t="inlineStr">
        <is>
          <t> </t>
        </is>
      </c>
      <c r="U1079" s="60" t="n">
        <v>100916</v>
      </c>
      <c r="W1079" t="inlineStr">
        <is>
          <t>sem correspondência</t>
        </is>
      </c>
      <c r="Y1079" t="inlineStr"/>
    </row>
    <row r="1080" ht="18" customHeight="1">
      <c r="A1080" s="54" t="inlineStr">
        <is>
          <t>Donacor</t>
        </is>
      </c>
      <c r="B1080" s="54" t="inlineStr">
        <is>
          <t>Kit 3 Unidades Refil De Poliéster Para Mop Giratório Spin 360º</t>
        </is>
      </c>
      <c r="C1080" s="54" t="inlineStr">
        <is>
          <t>Sem variação</t>
        </is>
      </c>
      <c r="D1080" s="54" t="inlineStr">
        <is>
          <t>KIT3-REFIL-MOP</t>
        </is>
      </c>
      <c r="E1080" s="54" t="n">
        <v>18298183882</v>
      </c>
      <c r="F1080" s="54" t="n">
        <v>0</v>
      </c>
      <c r="G1080" s="54" t="inlineStr">
        <is>
          <t>NORMAL</t>
        </is>
      </c>
      <c r="H1080" s="86" t="n">
        <v>69.90000000000001</v>
      </c>
      <c r="I1080" s="86" t="n">
        <v>69.90000000000001</v>
      </c>
      <c r="J1080" s="69" t="inlineStr">
        <is>
          <t>NÃO</t>
        </is>
      </c>
      <c r="K1080" s="54" t="n"/>
      <c r="L1080" s="87" t="n">
        <v>69.90000000000001</v>
      </c>
      <c r="P1080" s="90">
        <f>IF($O1080="","",L1080-O1080-(L1080*IF(L1080&lt;=79.99,20%,14%)+IF(L1080&lt;=79.99,4,IF(L1080&lt;=99.99,16,IF(L1080&lt;=199.99,20,IF(L1080&lt;=499.99,26,28)))))-L1080*1.3%-L1080*6%-(L1080-O1080)*9.25%-L1080*3%-L1080*3%-1)</f>
        <v/>
      </c>
      <c r="Q1080" s="54">
        <f>IF(AND(K1080&lt;&gt;"",H1080&gt;0),(H1080-K1080)/H1080,"")</f>
        <v/>
      </c>
      <c r="R1080" s="54" t="n"/>
      <c r="S1080" s="54" t="n"/>
      <c r="T1080" s="54" t="n"/>
      <c r="U1080" s="54" t="n">
        <v>101204</v>
      </c>
      <c r="V1080" t="inlineStr">
        <is>
          <t>KIT3-REFIL-MOP</t>
        </is>
      </c>
      <c r="W1080" t="inlineStr">
        <is>
          <t>SKU idêntico na Olist · CUSTO ZERADO na Olist (conferido hoje)</t>
        </is>
      </c>
      <c r="Y1080" t="inlineStr">
        <is>
          <t>ok</t>
        </is>
      </c>
    </row>
    <row r="1081" ht="18" customHeight="1">
      <c r="A1081" s="60" t="inlineStr">
        <is>
          <t>Donacor</t>
        </is>
      </c>
      <c r="B1081" s="60" t="inlineStr">
        <is>
          <t>Kit 30 Cabide Madeira Marfim Barato Premium Organização Roupas Calças Loja Atacado</t>
        </is>
      </c>
      <c r="C1081" s="60" t="inlineStr">
        <is>
          <t>Sem variação</t>
        </is>
      </c>
      <c r="D1081" s="60" t="inlineStr">
        <is>
          <t>CABIDE-MARFIM-30 UN</t>
        </is>
      </c>
      <c r="E1081" s="60" t="n">
        <v>22198227740</v>
      </c>
      <c r="F1081" s="60" t="n">
        <v>0</v>
      </c>
      <c r="G1081" s="60" t="inlineStr">
        <is>
          <t>NORMAL</t>
        </is>
      </c>
      <c r="H1081" s="91" t="n">
        <v>179.9</v>
      </c>
      <c r="I1081" s="91" t="n">
        <v>139.9</v>
      </c>
      <c r="J1081" s="65" t="inlineStr">
        <is>
          <t>SIM</t>
        </is>
      </c>
      <c r="K1081" s="91" t="n">
        <v>139.9</v>
      </c>
      <c r="L1081" s="87" t="n">
        <v>139.9</v>
      </c>
      <c r="M1081" s="88" t="n">
        <v>30</v>
      </c>
      <c r="N1081" s="89" t="n">
        <v>2.01</v>
      </c>
      <c r="O1081" s="89">
        <f>ROUND(M1081*N1081,2)</f>
        <v/>
      </c>
      <c r="P1081" s="92">
        <f>IF($O1081="","",L1081-O1081-(L1081*IF(L1081&lt;=79.99,20%,14%)+IF(L1081&lt;=79.99,4,IF(L1081&lt;=99.99,16,IF(L1081&lt;=199.99,20,IF(L1081&lt;=499.99,26,28)))))-L1081*1.3%-L1081*6%-(L1081-O1081)*9.25%-L1081*3%-L1081*3%-1)</f>
        <v/>
      </c>
      <c r="Q1081" s="67" t="n">
        <v>0.222</v>
      </c>
      <c r="R1081" s="60" t="inlineStr">
        <is>
          <t>478840979931317, 484945860710786</t>
        </is>
      </c>
      <c r="S1081" s="68" t="n">
        <v>46227.73958333334</v>
      </c>
      <c r="T1081" s="68" t="n">
        <v>46248.99930555555</v>
      </c>
      <c r="U1081" s="60" t="n">
        <v>101253</v>
      </c>
      <c r="V1081" t="inlineStr">
        <is>
          <t>213176</t>
        </is>
      </c>
      <c r="W1081" t="inlineStr">
        <is>
          <t>venda casada (30 pedidos) · custo do KIT 214055 (30× 213176)</t>
        </is>
      </c>
      <c r="X1081" t="n">
        <v>30</v>
      </c>
      <c r="Y1081" t="inlineStr">
        <is>
          <t>ok</t>
        </is>
      </c>
    </row>
    <row r="1082" ht="18" customHeight="1">
      <c r="A1082" s="54" t="inlineStr">
        <is>
          <t>Donacor</t>
        </is>
      </c>
      <c r="B1082" s="54" t="inlineStr">
        <is>
          <t>Kit 30 Cabides Veludo Para Roupas Adulto Unidades Fino Resistente</t>
        </is>
      </c>
      <c r="C1082" s="54" t="inlineStr">
        <is>
          <t>Bege</t>
        </is>
      </c>
      <c r="D1082" s="54" t="inlineStr">
        <is>
          <t>CABIDE VELUDO-30UN-BEGE</t>
        </is>
      </c>
      <c r="E1082" s="54" t="n">
        <v>21298033900</v>
      </c>
      <c r="F1082" s="54" t="n">
        <v>265322136902</v>
      </c>
      <c r="G1082" s="54" t="inlineStr">
        <is>
          <t>NORMAL</t>
        </is>
      </c>
      <c r="H1082" s="86" t="n">
        <v>129.9</v>
      </c>
      <c r="I1082" s="86" t="n">
        <v>129.9</v>
      </c>
      <c r="J1082" s="69" t="inlineStr">
        <is>
          <t>NÃO</t>
        </is>
      </c>
      <c r="K1082" s="54" t="n"/>
      <c r="L1082" s="87" t="n">
        <v>129.9</v>
      </c>
      <c r="M1082" s="88" t="n">
        <v>30</v>
      </c>
      <c r="N1082" s="89" t="n">
        <v>0.59</v>
      </c>
      <c r="O1082" s="89">
        <f>ROUND(M1082*N1082,2)</f>
        <v/>
      </c>
      <c r="P1082" s="90">
        <f>IF($O1082="","",L1082-O1082-(L1082*IF(L1082&lt;=79.99,20%,14%)+IF(L1082&lt;=79.99,4,IF(L1082&lt;=99.99,16,IF(L1082&lt;=199.99,20,IF(L1082&lt;=499.99,26,28)))))-L1082*1.3%-L1082*6%-(L1082-O1082)*9.25%-L1082*3%-L1082*3%-1)</f>
        <v/>
      </c>
      <c r="Q1082" s="54">
        <f>IF(AND(K1082&lt;&gt;"",H1082&gt;0),(H1082-K1082)/H1082,"")</f>
        <v/>
      </c>
      <c r="R1082" s="54" t="n"/>
      <c r="S1082" s="54" t="n"/>
      <c r="T1082" s="54" t="n"/>
      <c r="U1082" s="54" t="n">
        <v>101253</v>
      </c>
      <c r="V1082" t="inlineStr">
        <is>
          <t>213999</t>
        </is>
      </c>
      <c r="W1082" t="inlineStr">
        <is>
          <t>SKU do de-para · custo do KIT 214011 (30× 213999)</t>
        </is>
      </c>
      <c r="X1082" t="n">
        <v>96</v>
      </c>
      <c r="Y1082" t="inlineStr">
        <is>
          <t>ok</t>
        </is>
      </c>
    </row>
    <row r="1083" ht="18" customHeight="1">
      <c r="A1083" s="60" t="inlineStr">
        <is>
          <t>Donacor</t>
        </is>
      </c>
      <c r="B1083" s="60" t="inlineStr">
        <is>
          <t>Kit 30 Cabides Veludo Para Roupas Adulto Unidades Fino Resistente</t>
        </is>
      </c>
      <c r="C1083" s="60" t="inlineStr">
        <is>
          <t>Branco</t>
        </is>
      </c>
      <c r="D1083" s="60" t="inlineStr">
        <is>
          <t>CABIDE VELUDO-30UN-BRANCO</t>
        </is>
      </c>
      <c r="E1083" s="60" t="n">
        <v>21298033900</v>
      </c>
      <c r="F1083" s="60" t="n">
        <v>254079945199</v>
      </c>
      <c r="G1083" s="60" t="inlineStr">
        <is>
          <t>NORMAL</t>
        </is>
      </c>
      <c r="H1083" s="91" t="n">
        <v>129.9</v>
      </c>
      <c r="I1083" s="91" t="n">
        <v>129.9</v>
      </c>
      <c r="J1083" s="62" t="inlineStr">
        <is>
          <t>NÃO</t>
        </is>
      </c>
      <c r="K1083" s="60" t="inlineStr">
        <is>
          <t> </t>
        </is>
      </c>
      <c r="L1083" s="87" t="n">
        <v>129.9</v>
      </c>
      <c r="M1083" s="88" t="n">
        <v>30</v>
      </c>
      <c r="N1083" s="89" t="n">
        <v>0.59</v>
      </c>
      <c r="O1083" s="89">
        <f>ROUND(M1083*N1083,2)</f>
        <v/>
      </c>
      <c r="P1083" s="92">
        <f>IF($O1083="","",L1083-O1083-(L1083*IF(L1083&lt;=79.99,20%,14%)+IF(L1083&lt;=79.99,4,IF(L1083&lt;=99.99,16,IF(L1083&lt;=199.99,20,IF(L1083&lt;=499.99,26,28)))))-L1083*1.3%-L1083*6%-(L1083-O1083)*9.25%-L1083*3%-L1083*3%-1)</f>
        <v/>
      </c>
      <c r="Q1083" s="60" t="inlineStr">
        <is>
          <t> </t>
        </is>
      </c>
      <c r="R1083" s="60" t="inlineStr">
        <is>
          <t> </t>
        </is>
      </c>
      <c r="S1083" s="60" t="inlineStr">
        <is>
          <t> </t>
        </is>
      </c>
      <c r="T1083" s="60" t="inlineStr">
        <is>
          <t> </t>
        </is>
      </c>
      <c r="U1083" s="60" t="n">
        <v>101253</v>
      </c>
      <c r="V1083" t="inlineStr">
        <is>
          <t>214000</t>
        </is>
      </c>
      <c r="W1083" t="inlineStr">
        <is>
          <t>venda casada (1 pedido) · custo do KIT 214012 (30× 214000)</t>
        </is>
      </c>
      <c r="X1083" t="n">
        <v>1</v>
      </c>
      <c r="Y1083" t="inlineStr">
        <is>
          <t>⚠ evidência fraca (1 pedido)</t>
        </is>
      </c>
    </row>
    <row r="1084" ht="18" customHeight="1">
      <c r="A1084" s="54" t="inlineStr">
        <is>
          <t>Donacor</t>
        </is>
      </c>
      <c r="B1084" s="54" t="inlineStr">
        <is>
          <t>Kit 30 Cabides Veludo Para Roupas Adulto Unidades Fino Resistente</t>
        </is>
      </c>
      <c r="C1084" s="54" t="inlineStr">
        <is>
          <t>Cinza</t>
        </is>
      </c>
      <c r="D1084" s="54" t="inlineStr">
        <is>
          <t>CABIDE VELUDO-30UN-CINZA</t>
        </is>
      </c>
      <c r="E1084" s="54" t="n">
        <v>21298033900</v>
      </c>
      <c r="F1084" s="54" t="n">
        <v>254079945200</v>
      </c>
      <c r="G1084" s="54" t="inlineStr">
        <is>
          <t>NORMAL</t>
        </is>
      </c>
      <c r="H1084" s="86" t="n">
        <v>129.9</v>
      </c>
      <c r="I1084" s="86" t="n">
        <v>44.49</v>
      </c>
      <c r="J1084" s="56" t="inlineStr">
        <is>
          <t>SIM</t>
        </is>
      </c>
      <c r="K1084" s="86" t="n">
        <v>44.49</v>
      </c>
      <c r="L1084" s="87" t="n">
        <v>44.49</v>
      </c>
      <c r="M1084" s="88" t="n">
        <v>30</v>
      </c>
      <c r="N1084" s="89" t="n">
        <v>0.59</v>
      </c>
      <c r="O1084" s="89">
        <f>ROUND(M1084*N1084,2)</f>
        <v/>
      </c>
      <c r="P1084" s="90">
        <f>IF($O1084="","",L1084-O1084-(L1084*IF(L1084&lt;=79.99,20%,14%)+IF(L1084&lt;=79.99,4,IF(L1084&lt;=99.99,16,IF(L1084&lt;=199.99,20,IF(L1084&lt;=499.99,26,28)))))-L1084*1.3%-L1084*6%-(L1084-O1084)*9.25%-L1084*3%-L1084*3%-1)</f>
        <v/>
      </c>
      <c r="Q1084" s="58" t="n">
        <v>0.658</v>
      </c>
      <c r="R1084" s="54" t="n">
        <v>484945860710786</v>
      </c>
      <c r="S1084" s="59" t="n">
        <v>46227.73958333334</v>
      </c>
      <c r="T1084" s="59" t="n">
        <v>46405.45833333334</v>
      </c>
      <c r="U1084" s="54" t="n">
        <v>101253</v>
      </c>
      <c r="V1084" t="inlineStr">
        <is>
          <t>213998</t>
        </is>
      </c>
      <c r="W1084" t="inlineStr">
        <is>
          <t>venda casada (1 pedido) · custo do KIT 214010 (30× 213998)</t>
        </is>
      </c>
      <c r="X1084" t="n">
        <v>1</v>
      </c>
      <c r="Y1084" t="inlineStr">
        <is>
          <t>⚠ evidência fraca (1 pedido)</t>
        </is>
      </c>
    </row>
    <row r="1085" ht="18" customHeight="1">
      <c r="A1085" s="60" t="inlineStr">
        <is>
          <t>Donacor</t>
        </is>
      </c>
      <c r="B1085" s="60" t="inlineStr">
        <is>
          <t>Kit 30 Cabides Veludo Para Roupas Adulto Unidades Fino Resistente</t>
        </is>
      </c>
      <c r="C1085" s="60" t="inlineStr">
        <is>
          <t>Preto</t>
        </is>
      </c>
      <c r="D1085" s="60" t="inlineStr">
        <is>
          <t>CABIDE VELUDO-30UN-PRETO</t>
        </is>
      </c>
      <c r="E1085" s="60" t="n">
        <v>21298033900</v>
      </c>
      <c r="F1085" s="60" t="n">
        <v>139648959476</v>
      </c>
      <c r="G1085" s="60" t="inlineStr">
        <is>
          <t>NORMAL</t>
        </is>
      </c>
      <c r="H1085" s="91" t="n">
        <v>129.9</v>
      </c>
      <c r="I1085" s="91" t="n">
        <v>44.49</v>
      </c>
      <c r="J1085" s="65" t="inlineStr">
        <is>
          <t>SIM</t>
        </is>
      </c>
      <c r="K1085" s="91" t="n">
        <v>44.49</v>
      </c>
      <c r="L1085" s="87" t="n">
        <v>44.49</v>
      </c>
      <c r="M1085" s="88" t="n">
        <v>30</v>
      </c>
      <c r="N1085" s="89" t="n">
        <v>0.59</v>
      </c>
      <c r="O1085" s="89">
        <f>ROUND(M1085*N1085,2)</f>
        <v/>
      </c>
      <c r="P1085" s="92">
        <f>IF($O1085="","",L1085-O1085-(L1085*IF(L1085&lt;=79.99,20%,14%)+IF(L1085&lt;=79.99,4,IF(L1085&lt;=99.99,16,IF(L1085&lt;=199.99,20,IF(L1085&lt;=499.99,26,28)))))-L1085*1.3%-L1085*6%-(L1085-O1085)*9.25%-L1085*3%-L1085*3%-1)</f>
        <v/>
      </c>
      <c r="Q1085" s="67" t="n">
        <v>0.658</v>
      </c>
      <c r="R1085" s="60" t="n">
        <v>484945860710786</v>
      </c>
      <c r="S1085" s="68" t="n">
        <v>46227.73958333334</v>
      </c>
      <c r="T1085" s="68" t="n">
        <v>46405.45833333334</v>
      </c>
      <c r="U1085" s="60" t="n">
        <v>101253</v>
      </c>
      <c r="V1085" t="inlineStr">
        <is>
          <t>213997</t>
        </is>
      </c>
      <c r="W1085" t="inlineStr">
        <is>
          <t>SKU do de-para · custo do KIT 214009 (30× 213997)</t>
        </is>
      </c>
      <c r="X1085" t="n">
        <v>1107</v>
      </c>
      <c r="Y1085" t="inlineStr">
        <is>
          <t>ok</t>
        </is>
      </c>
    </row>
    <row r="1086" ht="18" customHeight="1">
      <c r="A1086" s="54" t="inlineStr">
        <is>
          <t>Donacor</t>
        </is>
      </c>
      <c r="B1086" s="54" t="inlineStr">
        <is>
          <t>Kit 30/42/51/60 Cabides De Madeira Premium Marfim Para Roupas Calça Gancho Cromado</t>
        </is>
      </c>
      <c r="C1086" s="54" t="inlineStr">
        <is>
          <t>KIT 30</t>
        </is>
      </c>
      <c r="D1086" s="54" t="inlineStr">
        <is>
          <t>CABIDE-MARFIM-30 UN</t>
        </is>
      </c>
      <c r="E1086" s="54" t="n">
        <v>23998200161</v>
      </c>
      <c r="F1086" s="54" t="n">
        <v>119867534102</v>
      </c>
      <c r="G1086" s="54" t="inlineStr">
        <is>
          <t>NORMAL</t>
        </is>
      </c>
      <c r="H1086" s="86" t="n">
        <v>209.9</v>
      </c>
      <c r="I1086" s="86" t="n">
        <v>139.9</v>
      </c>
      <c r="J1086" s="56" t="inlineStr">
        <is>
          <t>SIM</t>
        </is>
      </c>
      <c r="K1086" s="86" t="n">
        <v>139.9</v>
      </c>
      <c r="L1086" s="87" t="n">
        <v>139.9</v>
      </c>
      <c r="M1086" s="88" t="n">
        <v>30</v>
      </c>
      <c r="N1086" s="89" t="n">
        <v>2.01</v>
      </c>
      <c r="O1086" s="89">
        <f>ROUND(M1086*N1086,2)</f>
        <v/>
      </c>
      <c r="P1086" s="90">
        <f>IF($O1086="","",L1086-O1086-(L1086*IF(L1086&lt;=79.99,20%,14%)+IF(L1086&lt;=79.99,4,IF(L1086&lt;=99.99,16,IF(L1086&lt;=199.99,20,IF(L1086&lt;=499.99,26,28)))))-L1086*1.3%-L1086*6%-(L1086-O1086)*9.25%-L1086*3%-L1086*3%-1)</f>
        <v/>
      </c>
      <c r="Q1086" s="58" t="n">
        <v>0.333</v>
      </c>
      <c r="R1086" s="54" t="inlineStr">
        <is>
          <t>478840979931317, 484945860710786</t>
        </is>
      </c>
      <c r="S1086" s="59" t="n">
        <v>46227.73958333334</v>
      </c>
      <c r="T1086" s="59" t="n">
        <v>46248.99930555555</v>
      </c>
      <c r="U1086" s="54" t="n">
        <v>101253</v>
      </c>
      <c r="V1086" t="inlineStr">
        <is>
          <t>213176</t>
        </is>
      </c>
      <c r="W1086" t="inlineStr">
        <is>
          <t>venda casada (1 pedido) · custo do KIT 214055 (30× 213176)</t>
        </is>
      </c>
      <c r="X1086" t="n">
        <v>1</v>
      </c>
      <c r="Y1086" t="inlineStr">
        <is>
          <t>⚠ evidência fraca (1 pedido)</t>
        </is>
      </c>
    </row>
    <row r="1087" ht="18" customHeight="1">
      <c r="A1087" s="60" t="inlineStr">
        <is>
          <t>Donacor</t>
        </is>
      </c>
      <c r="B1087" s="60" t="inlineStr">
        <is>
          <t>Kit 30/42/51/60 Cabides De Madeira Premium Marfim Para Roupas Calça Gancho Cromado</t>
        </is>
      </c>
      <c r="C1087" s="60" t="inlineStr">
        <is>
          <t>KIT 42</t>
        </is>
      </c>
      <c r="D1087" s="60" t="inlineStr">
        <is>
          <t>CABIDE-MARFIM-42 UN</t>
        </is>
      </c>
      <c r="E1087" s="60" t="n">
        <v>23998200161</v>
      </c>
      <c r="F1087" s="60" t="n">
        <v>119867534101</v>
      </c>
      <c r="G1087" s="60" t="inlineStr">
        <is>
          <t>NORMAL</t>
        </is>
      </c>
      <c r="H1087" s="91" t="n">
        <v>289.9</v>
      </c>
      <c r="I1087" s="91" t="n">
        <v>194.9</v>
      </c>
      <c r="J1087" s="65" t="inlineStr">
        <is>
          <t>SIM</t>
        </is>
      </c>
      <c r="K1087" s="91" t="n">
        <v>194.9</v>
      </c>
      <c r="L1087" s="87" t="n">
        <v>194.9</v>
      </c>
      <c r="M1087" s="88" t="n">
        <v>30</v>
      </c>
      <c r="N1087" s="89" t="n">
        <v>2.01</v>
      </c>
      <c r="O1087" s="89">
        <f>ROUND(M1087*N1087,2)</f>
        <v/>
      </c>
      <c r="P1087" s="92">
        <f>IF($O1087="","",L1087-O1087-(L1087*IF(L1087&lt;=79.99,20%,14%)+IF(L1087&lt;=79.99,4,IF(L1087&lt;=99.99,16,IF(L1087&lt;=199.99,20,IF(L1087&lt;=499.99,26,28)))))-L1087*1.3%-L1087*6%-(L1087-O1087)*9.25%-L1087*3%-L1087*3%-1)</f>
        <v/>
      </c>
      <c r="Q1087" s="67" t="n">
        <v>0.328</v>
      </c>
      <c r="R1087" s="60" t="inlineStr">
        <is>
          <t>484945860710786, 478840979931317</t>
        </is>
      </c>
      <c r="S1087" s="68" t="n">
        <v>46227.73958333334</v>
      </c>
      <c r="T1087" s="68" t="n">
        <v>46248.99930555555</v>
      </c>
      <c r="U1087" s="60" t="n">
        <v>101253</v>
      </c>
      <c r="V1087" t="inlineStr">
        <is>
          <t>213176</t>
        </is>
      </c>
      <c r="W1087" t="inlineStr">
        <is>
          <t>herdado do anúncio · custo do KIT 214055 (30× 213176)</t>
        </is>
      </c>
      <c r="Y1087" t="inlineStr">
        <is>
          <t>ok</t>
        </is>
      </c>
    </row>
    <row r="1088" ht="18" customHeight="1">
      <c r="A1088" s="54" t="inlineStr">
        <is>
          <t>Donacor</t>
        </is>
      </c>
      <c r="B1088" s="54" t="inlineStr">
        <is>
          <t>Kit 30/42/51/60 Cabides De Madeira Premium Marfim Para Roupas Calça Gancho Cromado</t>
        </is>
      </c>
      <c r="C1088" s="54" t="inlineStr">
        <is>
          <t>KIT 51</t>
        </is>
      </c>
      <c r="D1088" s="54" t="inlineStr">
        <is>
          <t>CABIDE-MARFIM-51 UN</t>
        </is>
      </c>
      <c r="E1088" s="54" t="n">
        <v>23998200161</v>
      </c>
      <c r="F1088" s="54" t="n">
        <v>119722648092</v>
      </c>
      <c r="G1088" s="54" t="inlineStr">
        <is>
          <t>NORMAL</t>
        </is>
      </c>
      <c r="H1088" s="86" t="n">
        <v>329.9</v>
      </c>
      <c r="I1088" s="86" t="n">
        <v>234.9</v>
      </c>
      <c r="J1088" s="56" t="inlineStr">
        <is>
          <t>SIM</t>
        </is>
      </c>
      <c r="K1088" s="86" t="n">
        <v>234.9</v>
      </c>
      <c r="L1088" s="87" t="n">
        <v>234.9</v>
      </c>
      <c r="M1088" s="88" t="n">
        <v>30</v>
      </c>
      <c r="N1088" s="89" t="n">
        <v>2.01</v>
      </c>
      <c r="O1088" s="89">
        <f>ROUND(M1088*N1088,2)</f>
        <v/>
      </c>
      <c r="P1088" s="90">
        <f>IF($O1088="","",L1088-O1088-(L1088*IF(L1088&lt;=79.99,20%,14%)+IF(L1088&lt;=79.99,4,IF(L1088&lt;=99.99,16,IF(L1088&lt;=199.99,20,IF(L1088&lt;=499.99,26,28)))))-L1088*1.3%-L1088*6%-(L1088-O1088)*9.25%-L1088*3%-L1088*3%-1)</f>
        <v/>
      </c>
      <c r="Q1088" s="58" t="n">
        <v>0.288</v>
      </c>
      <c r="R1088" s="54" t="inlineStr">
        <is>
          <t>478840979931317, 484945860710786</t>
        </is>
      </c>
      <c r="S1088" s="59" t="n">
        <v>46227.73958333334</v>
      </c>
      <c r="T1088" s="59" t="n">
        <v>46248.99930555555</v>
      </c>
      <c r="U1088" s="54" t="n">
        <v>101253</v>
      </c>
      <c r="V1088" t="inlineStr">
        <is>
          <t>213176</t>
        </is>
      </c>
      <c r="W1088" t="inlineStr">
        <is>
          <t>herdado do anúncio · custo do KIT 214055 (30× 213176)</t>
        </is>
      </c>
      <c r="Y1088" t="inlineStr">
        <is>
          <t>ok</t>
        </is>
      </c>
    </row>
    <row r="1089" ht="18" customHeight="1">
      <c r="A1089" s="60" t="inlineStr">
        <is>
          <t>Donacor</t>
        </is>
      </c>
      <c r="B1089" s="60" t="inlineStr">
        <is>
          <t>Kit 30/42/51/60 Cabides De Madeira Premium Marfim Para Roupas Calça Gancho Cromado</t>
        </is>
      </c>
      <c r="C1089" s="60" t="inlineStr">
        <is>
          <t>KIT 60</t>
        </is>
      </c>
      <c r="D1089" s="60" t="inlineStr">
        <is>
          <t>CABIDE-MARFIM-60 UN</t>
        </is>
      </c>
      <c r="E1089" s="60" t="n">
        <v>23998200161</v>
      </c>
      <c r="F1089" s="60" t="n">
        <v>119722648091</v>
      </c>
      <c r="G1089" s="60" t="inlineStr">
        <is>
          <t>NORMAL</t>
        </is>
      </c>
      <c r="H1089" s="91" t="n">
        <v>349.9</v>
      </c>
      <c r="I1089" s="91" t="n">
        <v>277.9</v>
      </c>
      <c r="J1089" s="65" t="inlineStr">
        <is>
          <t>SIM</t>
        </is>
      </c>
      <c r="K1089" s="91" t="n">
        <v>277.9</v>
      </c>
      <c r="L1089" s="87" t="n">
        <v>277.9</v>
      </c>
      <c r="M1089" s="88" t="n">
        <v>60</v>
      </c>
      <c r="N1089" s="89" t="n">
        <v>2.01</v>
      </c>
      <c r="O1089" s="89">
        <f>ROUND(M1089*N1089,2)</f>
        <v/>
      </c>
      <c r="P1089" s="92">
        <f>IF($O1089="","",L1089-O1089-(L1089*IF(L1089&lt;=79.99,20%,14%)+IF(L1089&lt;=79.99,4,IF(L1089&lt;=99.99,16,IF(L1089&lt;=199.99,20,IF(L1089&lt;=499.99,26,28)))))-L1089*1.3%-L1089*6%-(L1089-O1089)*9.25%-L1089*3%-L1089*3%-1)</f>
        <v/>
      </c>
      <c r="Q1089" s="67" t="n">
        <v>0.206</v>
      </c>
      <c r="R1089" s="60" t="inlineStr">
        <is>
          <t>478840979931317, 484945860710786</t>
        </is>
      </c>
      <c r="S1089" s="68" t="n">
        <v>46227.73958333334</v>
      </c>
      <c r="T1089" s="68" t="n">
        <v>46248.99930555555</v>
      </c>
      <c r="U1089" s="60" t="n">
        <v>101253</v>
      </c>
      <c r="V1089" t="inlineStr">
        <is>
          <t>213176</t>
        </is>
      </c>
      <c r="W1089" t="inlineStr">
        <is>
          <t>venda casada (1 pedido) · custo do KIT 214059 (60× 213176)</t>
        </is>
      </c>
      <c r="X1089" t="n">
        <v>1</v>
      </c>
      <c r="Y1089" t="inlineStr">
        <is>
          <t>⚠ evidência fraca (1 pedido)</t>
        </is>
      </c>
    </row>
    <row r="1090" ht="18" customHeight="1">
      <c r="A1090" s="54" t="inlineStr">
        <is>
          <t>Donacor</t>
        </is>
      </c>
      <c r="B1090" s="54" t="inlineStr">
        <is>
          <t>Kit 30/60/90 Cabides De Madeira Premium Marfim Para Roupas Calça Gancho Cromado</t>
        </is>
      </c>
      <c r="C1090" s="54" t="inlineStr">
        <is>
          <t>KIT 30</t>
        </is>
      </c>
      <c r="D1090" s="54" t="inlineStr">
        <is>
          <t>CABIDE-MARFIM-30 UN</t>
        </is>
      </c>
      <c r="E1090" s="54" t="n">
        <v>22593720708</v>
      </c>
      <c r="F1090" s="54" t="n">
        <v>228779874544</v>
      </c>
      <c r="G1090" s="54" t="inlineStr">
        <is>
          <t>NORMAL</t>
        </is>
      </c>
      <c r="H1090" s="86" t="n">
        <v>179.9</v>
      </c>
      <c r="I1090" s="86" t="n">
        <v>139.9</v>
      </c>
      <c r="J1090" s="56" t="inlineStr">
        <is>
          <t>SIM</t>
        </is>
      </c>
      <c r="K1090" s="86" t="n">
        <v>139.9</v>
      </c>
      <c r="L1090" s="87" t="n">
        <v>139.9</v>
      </c>
      <c r="M1090" s="88" t="n">
        <v>30</v>
      </c>
      <c r="N1090" s="89" t="n">
        <v>2.01</v>
      </c>
      <c r="O1090" s="89">
        <f>ROUND(M1090*N1090,2)</f>
        <v/>
      </c>
      <c r="P1090" s="90">
        <f>IF($O1090="","",L1090-O1090-(L1090*IF(L1090&lt;=79.99,20%,14%)+IF(L1090&lt;=79.99,4,IF(L1090&lt;=99.99,16,IF(L1090&lt;=199.99,20,IF(L1090&lt;=499.99,26,28)))))-L1090*1.3%-L1090*6%-(L1090-O1090)*9.25%-L1090*3%-L1090*3%-1)</f>
        <v/>
      </c>
      <c r="Q1090" s="58" t="n">
        <v>0.222</v>
      </c>
      <c r="R1090" s="54" t="inlineStr">
        <is>
          <t>478840979931317, 484945860710786</t>
        </is>
      </c>
      <c r="S1090" s="59" t="n">
        <v>46227.73958333334</v>
      </c>
      <c r="T1090" s="59" t="n">
        <v>46248.99930555555</v>
      </c>
      <c r="U1090" s="54" t="n">
        <v>101253</v>
      </c>
      <c r="V1090" t="inlineStr">
        <is>
          <t>213176</t>
        </is>
      </c>
      <c r="W1090" t="inlineStr">
        <is>
          <t>venda casada (1 pedido) · custo do KIT 214055 (30× 213176)</t>
        </is>
      </c>
      <c r="X1090" t="n">
        <v>1</v>
      </c>
      <c r="Y1090" t="inlineStr">
        <is>
          <t>⚠ evidência fraca (1 pedido)</t>
        </is>
      </c>
    </row>
    <row r="1091" ht="18" customHeight="1">
      <c r="A1091" s="60" t="inlineStr">
        <is>
          <t>Donacor</t>
        </is>
      </c>
      <c r="B1091" s="60" t="inlineStr">
        <is>
          <t>Kit 30/60/90 Cabides De Madeira Premium Marfim Para Roupas Calça Gancho Cromado</t>
        </is>
      </c>
      <c r="C1091" s="60" t="inlineStr">
        <is>
          <t>KIT 60</t>
        </is>
      </c>
      <c r="D1091" s="60" t="inlineStr">
        <is>
          <t>CABIDE-MARFIM-60 UN</t>
        </is>
      </c>
      <c r="E1091" s="60" t="n">
        <v>22593720708</v>
      </c>
      <c r="F1091" s="60" t="n">
        <v>228779874543</v>
      </c>
      <c r="G1091" s="60" t="inlineStr">
        <is>
          <t>NORMAL</t>
        </is>
      </c>
      <c r="H1091" s="91" t="n">
        <v>299.9</v>
      </c>
      <c r="I1091" s="91" t="n">
        <v>277.9</v>
      </c>
      <c r="J1091" s="65" t="inlineStr">
        <is>
          <t>SIM</t>
        </is>
      </c>
      <c r="K1091" s="91" t="n">
        <v>277.9</v>
      </c>
      <c r="L1091" s="87" t="n">
        <v>277.9</v>
      </c>
      <c r="M1091" s="88" t="n">
        <v>60</v>
      </c>
      <c r="N1091" s="89" t="n">
        <v>2.01</v>
      </c>
      <c r="O1091" s="89">
        <f>ROUND(M1091*N1091,2)</f>
        <v/>
      </c>
      <c r="P1091" s="92">
        <f>IF($O1091="","",L1091-O1091-(L1091*IF(L1091&lt;=79.99,20%,14%)+IF(L1091&lt;=79.99,4,IF(L1091&lt;=99.99,16,IF(L1091&lt;=199.99,20,IF(L1091&lt;=499.99,26,28)))))-L1091*1.3%-L1091*6%-(L1091-O1091)*9.25%-L1091*3%-L1091*3%-1)</f>
        <v/>
      </c>
      <c r="Q1091" s="67" t="n">
        <v>0.073</v>
      </c>
      <c r="R1091" s="60" t="inlineStr">
        <is>
          <t>478840979931317, 484945860710786</t>
        </is>
      </c>
      <c r="S1091" s="68" t="n">
        <v>46227.73958333334</v>
      </c>
      <c r="T1091" s="68" t="n">
        <v>46248.99930555555</v>
      </c>
      <c r="U1091" s="60" t="n">
        <v>101253</v>
      </c>
      <c r="V1091" t="inlineStr">
        <is>
          <t>213176</t>
        </is>
      </c>
      <c r="W1091" t="inlineStr">
        <is>
          <t>venda casada (1 pedido) · custo do KIT 214059 (60× 213176)</t>
        </is>
      </c>
      <c r="X1091" t="n">
        <v>1</v>
      </c>
      <c r="Y1091" t="inlineStr">
        <is>
          <t>⚠ evidência fraca (1 pedido)</t>
        </is>
      </c>
    </row>
    <row r="1092" ht="18" customHeight="1">
      <c r="A1092" s="54" t="inlineStr">
        <is>
          <t>Donacor</t>
        </is>
      </c>
      <c r="B1092" s="54" t="inlineStr">
        <is>
          <t>Kit 30/60/90 Cabides De Madeira Premium Marfim Para Roupas Calça Gancho Cromado</t>
        </is>
      </c>
      <c r="C1092" s="54" t="inlineStr">
        <is>
          <t>KIT 90</t>
        </is>
      </c>
      <c r="D1092" s="54" t="inlineStr">
        <is>
          <t>CABIDE-MARFIM-90 UN</t>
        </is>
      </c>
      <c r="E1092" s="54" t="n">
        <v>22593720708</v>
      </c>
      <c r="F1092" s="54" t="n">
        <v>228779874542</v>
      </c>
      <c r="G1092" s="54" t="inlineStr">
        <is>
          <t>NORMAL</t>
        </is>
      </c>
      <c r="H1092" s="86" t="n">
        <v>439.9</v>
      </c>
      <c r="I1092" s="86" t="n">
        <v>379.9</v>
      </c>
      <c r="J1092" s="56" t="inlineStr">
        <is>
          <t>SIM</t>
        </is>
      </c>
      <c r="K1092" s="86" t="n">
        <v>379.9</v>
      </c>
      <c r="L1092" s="87" t="n">
        <v>379.9</v>
      </c>
      <c r="M1092" s="88" t="n">
        <v>90</v>
      </c>
      <c r="N1092" s="89" t="n">
        <v>2.01</v>
      </c>
      <c r="O1092" s="89">
        <f>ROUND(M1092*N1092,2)</f>
        <v/>
      </c>
      <c r="P1092" s="90">
        <f>IF($O1092="","",L1092-O1092-(L1092*IF(L1092&lt;=79.99,20%,14%)+IF(L1092&lt;=79.99,4,IF(L1092&lt;=99.99,16,IF(L1092&lt;=199.99,20,IF(L1092&lt;=499.99,26,28)))))-L1092*1.3%-L1092*6%-(L1092-O1092)*9.25%-L1092*3%-L1092*3%-1)</f>
        <v/>
      </c>
      <c r="Q1092" s="58" t="n">
        <v>0.136</v>
      </c>
      <c r="R1092" s="54" t="inlineStr">
        <is>
          <t>484945860710786, 478840979931317</t>
        </is>
      </c>
      <c r="S1092" s="59" t="n">
        <v>46227.73958333334</v>
      </c>
      <c r="T1092" s="59" t="n">
        <v>46248.99930555555</v>
      </c>
      <c r="U1092" s="54" t="n">
        <v>101253</v>
      </c>
      <c r="V1092" t="inlineStr">
        <is>
          <t>213176</t>
        </is>
      </c>
      <c r="W1092" t="inlineStr">
        <is>
          <t>SKU do de-para · custo do KIT 214060 (90× 213176)</t>
        </is>
      </c>
      <c r="X1092" t="n">
        <v>13</v>
      </c>
      <c r="Y1092" t="inlineStr">
        <is>
          <t>ok</t>
        </is>
      </c>
    </row>
    <row r="1093" ht="18" customHeight="1">
      <c r="A1093" s="60" t="inlineStr">
        <is>
          <t>Donacor</t>
        </is>
      </c>
      <c r="B1093" s="60" t="inlineStr">
        <is>
          <t>Kit 5 Cabide Multifuncional para Calças de Inox com 5 Divisórias Branco/Preto</t>
        </is>
      </c>
      <c r="C1093" s="60" t="inlineStr">
        <is>
          <t>Kit com 2 Cabides,Branco</t>
        </is>
      </c>
      <c r="D1093" s="60" t="inlineStr">
        <is>
          <t>CABIDE-2-BRANCO</t>
        </is>
      </c>
      <c r="E1093" s="60" t="n">
        <v>19099603040</v>
      </c>
      <c r="F1093" s="60" t="n">
        <v>169714746211</v>
      </c>
      <c r="G1093" s="60" t="inlineStr">
        <is>
          <t>NORMAL</t>
        </is>
      </c>
      <c r="H1093" s="91" t="n">
        <v>49.9</v>
      </c>
      <c r="I1093" s="91" t="n">
        <v>29.9</v>
      </c>
      <c r="J1093" s="65" t="inlineStr">
        <is>
          <t>SIM</t>
        </is>
      </c>
      <c r="K1093" s="91" t="n">
        <v>29.9</v>
      </c>
      <c r="L1093" s="87" t="n">
        <v>29.9</v>
      </c>
      <c r="M1093" s="88" t="n">
        <v>2</v>
      </c>
      <c r="N1093" s="89" t="n">
        <v>4.51</v>
      </c>
      <c r="O1093" s="89">
        <f>ROUND(M1093*N1093,2)</f>
        <v/>
      </c>
      <c r="P1093" s="92">
        <f>IF($O1093="","",L1093-O1093-(L1093*IF(L1093&lt;=79.99,20%,14%)+IF(L1093&lt;=79.99,4,IF(L1093&lt;=99.99,16,IF(L1093&lt;=199.99,20,IF(L1093&lt;=499.99,26,28)))))-L1093*1.3%-L1093*6%-(L1093-O1093)*9.25%-L1093*3%-L1093*3%-1)</f>
        <v/>
      </c>
      <c r="Q1093" s="67" t="n">
        <v>0.401</v>
      </c>
      <c r="R1093" s="60" t="inlineStr">
        <is>
          <t>478840979931317, 484946028474774</t>
        </is>
      </c>
      <c r="S1093" s="68" t="n">
        <v>46227.74097222222</v>
      </c>
      <c r="T1093" s="68" t="n">
        <v>46248.99930555555</v>
      </c>
      <c r="U1093" s="60" t="n">
        <v>101253</v>
      </c>
      <c r="V1093" t="inlineStr">
        <is>
          <t>214149</t>
        </is>
      </c>
      <c r="W1093" t="inlineStr">
        <is>
          <t>venda casada (1 pedido) · custo do KIT 214153 (2× 214149)</t>
        </is>
      </c>
      <c r="X1093" t="n">
        <v>1</v>
      </c>
      <c r="Y1093" t="inlineStr">
        <is>
          <t>⚠ evidência fraca (1 pedido)</t>
        </is>
      </c>
    </row>
    <row r="1094" ht="18" customHeight="1">
      <c r="A1094" s="54" t="inlineStr">
        <is>
          <t>Donacor</t>
        </is>
      </c>
      <c r="B1094" s="54" t="inlineStr">
        <is>
          <t>Kit 5 Cabide Multifuncional para Calças de Inox com 5 Divisórias Branco/Preto</t>
        </is>
      </c>
      <c r="C1094" s="54" t="inlineStr">
        <is>
          <t>Kit com 2 Cabides,Preto</t>
        </is>
      </c>
      <c r="D1094" s="54" t="inlineStr">
        <is>
          <t>CABIDE-2-PRETO</t>
        </is>
      </c>
      <c r="E1094" s="54" t="n">
        <v>19099603040</v>
      </c>
      <c r="F1094" s="54" t="n">
        <v>169714746212</v>
      </c>
      <c r="G1094" s="54" t="inlineStr">
        <is>
          <t>NORMAL</t>
        </is>
      </c>
      <c r="H1094" s="86" t="n">
        <v>49.9</v>
      </c>
      <c r="I1094" s="86" t="n">
        <v>49.9</v>
      </c>
      <c r="J1094" s="69" t="inlineStr">
        <is>
          <t>NÃO</t>
        </is>
      </c>
      <c r="K1094" s="54" t="n"/>
      <c r="L1094" s="87" t="n">
        <v>49.9</v>
      </c>
      <c r="M1094" s="88" t="n">
        <v>2</v>
      </c>
      <c r="N1094" s="89" t="n">
        <v>4.51</v>
      </c>
      <c r="O1094" s="89">
        <f>ROUND(M1094*N1094,2)</f>
        <v/>
      </c>
      <c r="P1094" s="90">
        <f>IF($O1094="","",L1094-O1094-(L1094*IF(L1094&lt;=79.99,20%,14%)+IF(L1094&lt;=79.99,4,IF(L1094&lt;=99.99,16,IF(L1094&lt;=199.99,20,IF(L1094&lt;=499.99,26,28)))))-L1094*1.3%-L1094*6%-(L1094-O1094)*9.25%-L1094*3%-L1094*3%-1)</f>
        <v/>
      </c>
      <c r="Q1094" s="54">
        <f>IF(AND(K1094&lt;&gt;"",H1094&gt;0),(H1094-K1094)/H1094,"")</f>
        <v/>
      </c>
      <c r="R1094" s="54" t="n"/>
      <c r="S1094" s="54" t="n"/>
      <c r="T1094" s="54" t="n"/>
      <c r="U1094" s="54" t="n">
        <v>101253</v>
      </c>
      <c r="V1094" t="inlineStr">
        <is>
          <t>214150</t>
        </is>
      </c>
      <c r="W1094" t="inlineStr">
        <is>
          <t>SKU do de-para · custo do KIT 214154 (2× 214150)</t>
        </is>
      </c>
      <c r="X1094" t="n">
        <v>85</v>
      </c>
      <c r="Y1094" t="inlineStr">
        <is>
          <t>ok</t>
        </is>
      </c>
    </row>
    <row r="1095" ht="18" customHeight="1">
      <c r="A1095" s="60" t="inlineStr">
        <is>
          <t>Donacor</t>
        </is>
      </c>
      <c r="B1095" s="60" t="inlineStr">
        <is>
          <t>Kit 5 Cabide Multifuncional para Calças de Inox com 5 Divisórias Branco/Preto</t>
        </is>
      </c>
      <c r="C1095" s="60" t="inlineStr">
        <is>
          <t>Kit com 3 Cabides,Branco</t>
        </is>
      </c>
      <c r="D1095" s="60" t="inlineStr">
        <is>
          <t>CABIDE-3-BRANCO</t>
        </is>
      </c>
      <c r="E1095" s="60" t="n">
        <v>19099603040</v>
      </c>
      <c r="F1095" s="60" t="n">
        <v>169714746213</v>
      </c>
      <c r="G1095" s="60" t="inlineStr">
        <is>
          <t>NORMAL</t>
        </is>
      </c>
      <c r="H1095" s="91" t="n">
        <v>59.9</v>
      </c>
      <c r="I1095" s="91" t="n">
        <v>44.9</v>
      </c>
      <c r="J1095" s="65" t="inlineStr">
        <is>
          <t>SIM</t>
        </is>
      </c>
      <c r="K1095" s="91" t="n">
        <v>44.9</v>
      </c>
      <c r="L1095" s="87" t="n">
        <v>44.9</v>
      </c>
      <c r="M1095" s="88" t="n">
        <v>3</v>
      </c>
      <c r="N1095" s="89" t="n">
        <v>4.51</v>
      </c>
      <c r="O1095" s="89">
        <f>ROUND(M1095*N1095,2)</f>
        <v/>
      </c>
      <c r="P1095" s="92">
        <f>IF($O1095="","",L1095-O1095-(L1095*IF(L1095&lt;=79.99,20%,14%)+IF(L1095&lt;=79.99,4,IF(L1095&lt;=99.99,16,IF(L1095&lt;=199.99,20,IF(L1095&lt;=499.99,26,28)))))-L1095*1.3%-L1095*6%-(L1095-O1095)*9.25%-L1095*3%-L1095*3%-1)</f>
        <v/>
      </c>
      <c r="Q1095" s="67" t="n">
        <v>0.25</v>
      </c>
      <c r="R1095" s="60" t="inlineStr">
        <is>
          <t>478840979931317, 484946028474774</t>
        </is>
      </c>
      <c r="S1095" s="68" t="n">
        <v>46227.74097222222</v>
      </c>
      <c r="T1095" s="68" t="n">
        <v>46248.99930555555</v>
      </c>
      <c r="U1095" s="60" t="n">
        <v>101253</v>
      </c>
      <c r="V1095" t="inlineStr">
        <is>
          <t>214149</t>
        </is>
      </c>
      <c r="W1095" t="inlineStr">
        <is>
          <t>SKU do de-para · custo do KIT 214155 (3× 214149)</t>
        </is>
      </c>
      <c r="X1095" t="n">
        <v>222</v>
      </c>
      <c r="Y1095" t="inlineStr">
        <is>
          <t>ok</t>
        </is>
      </c>
    </row>
    <row r="1096" ht="18" customHeight="1">
      <c r="A1096" s="54" t="inlineStr">
        <is>
          <t>Donacor</t>
        </is>
      </c>
      <c r="B1096" s="54" t="inlineStr">
        <is>
          <t>Kit 5 Cabide Multifuncional para Calças de Inox com 5 Divisórias Branco/Preto</t>
        </is>
      </c>
      <c r="C1096" s="54" t="inlineStr">
        <is>
          <t>Kit com 3 Cabides,Preto</t>
        </is>
      </c>
      <c r="D1096" s="54" t="inlineStr">
        <is>
          <t>CABIDE-3-PRETO</t>
        </is>
      </c>
      <c r="E1096" s="54" t="n">
        <v>19099603040</v>
      </c>
      <c r="F1096" s="54" t="n">
        <v>169714746214</v>
      </c>
      <c r="G1096" s="54" t="inlineStr">
        <is>
          <t>NORMAL</t>
        </is>
      </c>
      <c r="H1096" s="86" t="n">
        <v>59.9</v>
      </c>
      <c r="I1096" s="86" t="n">
        <v>59.9</v>
      </c>
      <c r="J1096" s="69" t="inlineStr">
        <is>
          <t>NÃO</t>
        </is>
      </c>
      <c r="K1096" s="54" t="n"/>
      <c r="L1096" s="87" t="n">
        <v>59.9</v>
      </c>
      <c r="M1096" s="88" t="n">
        <v>3</v>
      </c>
      <c r="N1096" s="89" t="n">
        <v>4.51</v>
      </c>
      <c r="O1096" s="89">
        <f>ROUND(M1096*N1096,2)</f>
        <v/>
      </c>
      <c r="P1096" s="90">
        <f>IF($O1096="","",L1096-O1096-(L1096*IF(L1096&lt;=79.99,20%,14%)+IF(L1096&lt;=79.99,4,IF(L1096&lt;=99.99,16,IF(L1096&lt;=199.99,20,IF(L1096&lt;=499.99,26,28)))))-L1096*1.3%-L1096*6%-(L1096-O1096)*9.25%-L1096*3%-L1096*3%-1)</f>
        <v/>
      </c>
      <c r="Q1096" s="54">
        <f>IF(AND(K1096&lt;&gt;"",H1096&gt;0),(H1096-K1096)/H1096,"")</f>
        <v/>
      </c>
      <c r="R1096" s="54" t="n"/>
      <c r="S1096" s="54" t="n"/>
      <c r="T1096" s="54" t="n"/>
      <c r="U1096" s="54" t="n">
        <v>101253</v>
      </c>
      <c r="V1096" t="inlineStr">
        <is>
          <t>214150</t>
        </is>
      </c>
      <c r="W1096" t="inlineStr">
        <is>
          <t>SKU do de-para · custo do KIT 214156 (3× 214150)</t>
        </is>
      </c>
      <c r="X1096" t="n">
        <v>78</v>
      </c>
      <c r="Y1096" t="inlineStr">
        <is>
          <t>ok</t>
        </is>
      </c>
    </row>
    <row r="1097" ht="18" customHeight="1">
      <c r="A1097" s="60" t="inlineStr">
        <is>
          <t>Donacor</t>
        </is>
      </c>
      <c r="B1097" s="60" t="inlineStr">
        <is>
          <t>Kit 5 Cabide Multifuncional para Calças de Inox com 5 Divisórias Branco/Preto</t>
        </is>
      </c>
      <c r="C1097" s="60" t="inlineStr">
        <is>
          <t>Kit com 4 Cabides,Branco</t>
        </is>
      </c>
      <c r="D1097" s="60" t="inlineStr">
        <is>
          <t>CABIDE-4-BRANCO</t>
        </is>
      </c>
      <c r="E1097" s="60" t="n">
        <v>19099603040</v>
      </c>
      <c r="F1097" s="60" t="n">
        <v>169714746215</v>
      </c>
      <c r="G1097" s="60" t="inlineStr">
        <is>
          <t>NORMAL</t>
        </is>
      </c>
      <c r="H1097" s="91" t="n">
        <v>69.90000000000001</v>
      </c>
      <c r="I1097" s="91" t="n">
        <v>58.9</v>
      </c>
      <c r="J1097" s="65" t="inlineStr">
        <is>
          <t>SIM</t>
        </is>
      </c>
      <c r="K1097" s="91" t="n">
        <v>58.9</v>
      </c>
      <c r="L1097" s="87" t="n">
        <v>58.9</v>
      </c>
      <c r="P1097" s="92">
        <f>IF($O1097="","",L1097-O1097-(L1097*IF(L1097&lt;=79.99,20%,14%)+IF(L1097&lt;=79.99,4,IF(L1097&lt;=99.99,16,IF(L1097&lt;=199.99,20,IF(L1097&lt;=499.99,26,28)))))-L1097*1.3%-L1097*6%-(L1097-O1097)*9.25%-L1097*3%-L1097*3%-1)</f>
        <v/>
      </c>
      <c r="Q1097" s="67" t="n">
        <v>0.157</v>
      </c>
      <c r="R1097" s="60" t="inlineStr">
        <is>
          <t>478840979931317, 484946028474774</t>
        </is>
      </c>
      <c r="S1097" s="68" t="n">
        <v>46227.74097222222</v>
      </c>
      <c r="T1097" s="68" t="n">
        <v>46248.99930555555</v>
      </c>
      <c r="U1097" s="60" t="n">
        <v>101253</v>
      </c>
      <c r="W1097" t="inlineStr">
        <is>
          <t>sem correspondência</t>
        </is>
      </c>
      <c r="Y1097" t="inlineStr"/>
    </row>
    <row r="1098" ht="18" customHeight="1">
      <c r="A1098" s="54" t="inlineStr">
        <is>
          <t>Donacor</t>
        </is>
      </c>
      <c r="B1098" s="54" t="inlineStr">
        <is>
          <t>Kit 5 Cabide Multifuncional para Calças de Inox com 5 Divisórias Branco/Preto</t>
        </is>
      </c>
      <c r="C1098" s="54" t="inlineStr">
        <is>
          <t>Kit com 4 Cabides,Preto</t>
        </is>
      </c>
      <c r="D1098" s="54" t="inlineStr">
        <is>
          <t>CABIDE-4-PRETO</t>
        </is>
      </c>
      <c r="E1098" s="54" t="n">
        <v>19099603040</v>
      </c>
      <c r="F1098" s="54" t="n">
        <v>169714746216</v>
      </c>
      <c r="G1098" s="54" t="inlineStr">
        <is>
          <t>NORMAL</t>
        </is>
      </c>
      <c r="H1098" s="86" t="n">
        <v>69.90000000000001</v>
      </c>
      <c r="I1098" s="86" t="n">
        <v>69.90000000000001</v>
      </c>
      <c r="J1098" s="69" t="inlineStr">
        <is>
          <t>NÃO</t>
        </is>
      </c>
      <c r="K1098" s="54" t="n"/>
      <c r="L1098" s="87" t="n">
        <v>69.90000000000001</v>
      </c>
      <c r="P1098" s="90">
        <f>IF($O1098="","",L1098-O1098-(L1098*IF(L1098&lt;=79.99,20%,14%)+IF(L1098&lt;=79.99,4,IF(L1098&lt;=99.99,16,IF(L1098&lt;=199.99,20,IF(L1098&lt;=499.99,26,28)))))-L1098*1.3%-L1098*6%-(L1098-O1098)*9.25%-L1098*3%-L1098*3%-1)</f>
        <v/>
      </c>
      <c r="Q1098" s="54">
        <f>IF(AND(K1098&lt;&gt;"",H1098&gt;0),(H1098-K1098)/H1098,"")</f>
        <v/>
      </c>
      <c r="R1098" s="54" t="n"/>
      <c r="S1098" s="54" t="n"/>
      <c r="T1098" s="54" t="n"/>
      <c r="U1098" s="54" t="n">
        <v>101253</v>
      </c>
      <c r="W1098" t="inlineStr">
        <is>
          <t>sem correspondência</t>
        </is>
      </c>
      <c r="Y1098" t="inlineStr"/>
    </row>
    <row r="1099" ht="18" customHeight="1">
      <c r="A1099" s="60" t="inlineStr">
        <is>
          <t>Donacor</t>
        </is>
      </c>
      <c r="B1099" s="60" t="inlineStr">
        <is>
          <t>Kit 5 Cabide Multifuncional para Calças de Inox com 5 Divisórias Branco/Preto</t>
        </is>
      </c>
      <c r="C1099" s="60" t="inlineStr">
        <is>
          <t>Kit com 5 Cabides,Branco</t>
        </is>
      </c>
      <c r="D1099" s="60" t="inlineStr">
        <is>
          <t>CABIDE-5-BRANCO</t>
        </is>
      </c>
      <c r="E1099" s="60" t="n">
        <v>19099603040</v>
      </c>
      <c r="F1099" s="60" t="n">
        <v>169714746209</v>
      </c>
      <c r="G1099" s="60" t="inlineStr">
        <is>
          <t>NORMAL</t>
        </is>
      </c>
      <c r="H1099" s="91" t="n">
        <v>79.90000000000001</v>
      </c>
      <c r="I1099" s="91" t="n">
        <v>74.90000000000001</v>
      </c>
      <c r="J1099" s="65" t="inlineStr">
        <is>
          <t>SIM</t>
        </is>
      </c>
      <c r="K1099" s="91" t="n">
        <v>74.90000000000001</v>
      </c>
      <c r="L1099" s="87" t="n">
        <v>74.90000000000001</v>
      </c>
      <c r="M1099" s="88" t="n">
        <v>5</v>
      </c>
      <c r="N1099" s="89" t="n">
        <v>4.51</v>
      </c>
      <c r="O1099" s="89">
        <f>ROUND(M1099*N1099,2)</f>
        <v/>
      </c>
      <c r="P1099" s="92">
        <f>IF($O1099="","",L1099-O1099-(L1099*IF(L1099&lt;=79.99,20%,14%)+IF(L1099&lt;=79.99,4,IF(L1099&lt;=99.99,16,IF(L1099&lt;=199.99,20,IF(L1099&lt;=499.99,26,28)))))-L1099*1.3%-L1099*6%-(L1099-O1099)*9.25%-L1099*3%-L1099*3%-1)</f>
        <v/>
      </c>
      <c r="Q1099" s="67" t="n">
        <v>0.063</v>
      </c>
      <c r="R1099" s="60" t="inlineStr">
        <is>
          <t>478840979931317, 484946028474774</t>
        </is>
      </c>
      <c r="S1099" s="68" t="n">
        <v>46227.74097222222</v>
      </c>
      <c r="T1099" s="68" t="n">
        <v>46248.99930555555</v>
      </c>
      <c r="U1099" s="60" t="n">
        <v>101253</v>
      </c>
      <c r="V1099" t="inlineStr">
        <is>
          <t>214149</t>
        </is>
      </c>
      <c r="W1099" t="inlineStr">
        <is>
          <t>SKU do de-para · custo do KIT 214157 (5× 214149)</t>
        </is>
      </c>
      <c r="X1099" t="n">
        <v>24</v>
      </c>
      <c r="Y1099" t="inlineStr">
        <is>
          <t>ok</t>
        </is>
      </c>
    </row>
    <row r="1100" ht="18" customHeight="1">
      <c r="A1100" s="54" t="inlineStr">
        <is>
          <t>Donacor</t>
        </is>
      </c>
      <c r="B1100" s="54" t="inlineStr">
        <is>
          <t>Kit 5 Cabide Multifuncional para Calças de Inox com 5 Divisórias Branco/Preto</t>
        </is>
      </c>
      <c r="C1100" s="54" t="inlineStr">
        <is>
          <t>Kit com 5 Cabides,Preto</t>
        </is>
      </c>
      <c r="D1100" s="54" t="inlineStr">
        <is>
          <t>CABIDE-5-PRETO</t>
        </is>
      </c>
      <c r="E1100" s="54" t="n">
        <v>19099603040</v>
      </c>
      <c r="F1100" s="54" t="n">
        <v>169714746210</v>
      </c>
      <c r="G1100" s="54" t="inlineStr">
        <is>
          <t>NORMAL</t>
        </is>
      </c>
      <c r="H1100" s="86" t="n">
        <v>79.90000000000001</v>
      </c>
      <c r="I1100" s="86" t="n">
        <v>79.90000000000001</v>
      </c>
      <c r="J1100" s="69" t="inlineStr">
        <is>
          <t>NÃO</t>
        </is>
      </c>
      <c r="K1100" s="54" t="n"/>
      <c r="L1100" s="87" t="n">
        <v>79.90000000000001</v>
      </c>
      <c r="M1100" s="88" t="n">
        <v>5</v>
      </c>
      <c r="N1100" s="89" t="n">
        <v>4.51</v>
      </c>
      <c r="O1100" s="89">
        <f>ROUND(M1100*N1100,2)</f>
        <v/>
      </c>
      <c r="P1100" s="90">
        <f>IF($O1100="","",L1100-O1100-(L1100*IF(L1100&lt;=79.99,20%,14%)+IF(L1100&lt;=79.99,4,IF(L1100&lt;=99.99,16,IF(L1100&lt;=199.99,20,IF(L1100&lt;=499.99,26,28)))))-L1100*1.3%-L1100*6%-(L1100-O1100)*9.25%-L1100*3%-L1100*3%-1)</f>
        <v/>
      </c>
      <c r="Q1100" s="54">
        <f>IF(AND(K1100&lt;&gt;"",H1100&gt;0),(H1100-K1100)/H1100,"")</f>
        <v/>
      </c>
      <c r="R1100" s="54" t="n"/>
      <c r="S1100" s="54" t="n"/>
      <c r="T1100" s="54" t="n"/>
      <c r="U1100" s="54" t="n">
        <v>101253</v>
      </c>
      <c r="V1100" t="inlineStr">
        <is>
          <t>214150</t>
        </is>
      </c>
      <c r="W1100" t="inlineStr">
        <is>
          <t>SKU do de-para · custo do KIT 214158 (5× 214150)</t>
        </is>
      </c>
      <c r="X1100" t="n">
        <v>22</v>
      </c>
      <c r="Y1100" t="inlineStr">
        <is>
          <t>ok</t>
        </is>
      </c>
    </row>
    <row r="1101" ht="18" customHeight="1">
      <c r="A1101" s="60" t="inlineStr">
        <is>
          <t>Donacor</t>
        </is>
      </c>
      <c r="B1101" s="60" t="inlineStr">
        <is>
          <t>Kit 5 Potes de Vidro 640 ml Hermético Marmita Fit com Tampa 4 Travas</t>
        </is>
      </c>
      <c r="C1101" s="60" t="inlineStr">
        <is>
          <t>Azul</t>
        </is>
      </c>
      <c r="D1101" s="60" t="inlineStr">
        <is>
          <t>Kit pote 5 un 640ml azul</t>
        </is>
      </c>
      <c r="E1101" s="60" t="n">
        <v>22293263906</v>
      </c>
      <c r="F1101" s="60" t="n">
        <v>219599042596</v>
      </c>
      <c r="G1101" s="60" t="inlineStr">
        <is>
          <t>NORMAL</t>
        </is>
      </c>
      <c r="H1101" s="91" t="n">
        <v>99.90000000000001</v>
      </c>
      <c r="I1101" s="91" t="n">
        <v>77.89</v>
      </c>
      <c r="J1101" s="65" t="inlineStr">
        <is>
          <t>SIM</t>
        </is>
      </c>
      <c r="K1101" s="91" t="n">
        <v>77.89</v>
      </c>
      <c r="L1101" s="87" t="n">
        <v>77.89</v>
      </c>
      <c r="M1101" s="88" t="n">
        <v>5</v>
      </c>
      <c r="N1101" s="89" t="n">
        <v>6.55</v>
      </c>
      <c r="O1101" s="89">
        <f>ROUND(M1101*N1101,2)</f>
        <v/>
      </c>
      <c r="P1101" s="92">
        <f>IF($O1101="","",L1101-O1101-(L1101*IF(L1101&lt;=79.99,20%,14%)+IF(L1101&lt;=79.99,4,IF(L1101&lt;=99.99,16,IF(L1101&lt;=199.99,20,IF(L1101&lt;=499.99,26,28)))))-L1101*1.3%-L1101*6%-(L1101-O1101)*9.25%-L1101*3%-L1101*3%-1)</f>
        <v/>
      </c>
      <c r="Q1101" s="67" t="n">
        <v>0.22</v>
      </c>
      <c r="R1101" s="60" t="n">
        <v>484945860710786</v>
      </c>
      <c r="S1101" s="68" t="n">
        <v>46227.73958333334</v>
      </c>
      <c r="T1101" s="68" t="n">
        <v>46405.45833333334</v>
      </c>
      <c r="U1101" s="60" t="n">
        <v>101220</v>
      </c>
      <c r="V1101" t="inlineStr">
        <is>
          <t>213878</t>
        </is>
      </c>
      <c r="W1101" t="inlineStr">
        <is>
          <t>venda casada (12 pedidos) · custo do KIT 215974 (5× 213878)</t>
        </is>
      </c>
      <c r="X1101" t="n">
        <v>12</v>
      </c>
      <c r="Y1101" t="inlineStr">
        <is>
          <t>ok</t>
        </is>
      </c>
    </row>
    <row r="1102" ht="18" customHeight="1">
      <c r="A1102" s="54" t="inlineStr">
        <is>
          <t>Donacor</t>
        </is>
      </c>
      <c r="B1102" s="54" t="inlineStr">
        <is>
          <t>Kit 5 Potes de Vidro 640 ml Hermético Marmita Fit com Tampa 4 Travas</t>
        </is>
      </c>
      <c r="C1102" s="54" t="inlineStr">
        <is>
          <t>Branco</t>
        </is>
      </c>
      <c r="D1102" s="54" t="inlineStr">
        <is>
          <t>Kit pote 5 un 640ml branco</t>
        </is>
      </c>
      <c r="E1102" s="54" t="n">
        <v>22293263906</v>
      </c>
      <c r="F1102" s="54" t="n">
        <v>219599042595</v>
      </c>
      <c r="G1102" s="54" t="inlineStr">
        <is>
          <t>NORMAL</t>
        </is>
      </c>
      <c r="H1102" s="86" t="n">
        <v>99.90000000000001</v>
      </c>
      <c r="I1102" s="86" t="n">
        <v>77.89</v>
      </c>
      <c r="J1102" s="56" t="inlineStr">
        <is>
          <t>SIM</t>
        </is>
      </c>
      <c r="K1102" s="86" t="n">
        <v>77.89</v>
      </c>
      <c r="L1102" s="87" t="n">
        <v>77.89</v>
      </c>
      <c r="M1102" s="88" t="n">
        <v>5</v>
      </c>
      <c r="N1102" s="89" t="n">
        <v>6.55</v>
      </c>
      <c r="O1102" s="89">
        <f>ROUND(M1102*N1102,2)</f>
        <v/>
      </c>
      <c r="P1102" s="90">
        <f>IF($O1102="","",L1102-O1102-(L1102*IF(L1102&lt;=79.99,20%,14%)+IF(L1102&lt;=79.99,4,IF(L1102&lt;=99.99,16,IF(L1102&lt;=199.99,20,IF(L1102&lt;=499.99,26,28)))))-L1102*1.3%-L1102*6%-(L1102-O1102)*9.25%-L1102*3%-L1102*3%-1)</f>
        <v/>
      </c>
      <c r="Q1102" s="58" t="n">
        <v>0.22</v>
      </c>
      <c r="R1102" s="54" t="n">
        <v>484945860710786</v>
      </c>
      <c r="S1102" s="59" t="n">
        <v>46227.73958333334</v>
      </c>
      <c r="T1102" s="59" t="n">
        <v>46405.45833333334</v>
      </c>
      <c r="U1102" s="54" t="n">
        <v>101220</v>
      </c>
      <c r="V1102" t="inlineStr">
        <is>
          <t>213877</t>
        </is>
      </c>
      <c r="W1102" t="inlineStr">
        <is>
          <t>venda casada (12 pedidos) · custo do KIT 215990 (5× 213877)</t>
        </is>
      </c>
      <c r="X1102" t="n">
        <v>12</v>
      </c>
      <c r="Y1102" t="inlineStr">
        <is>
          <t>ok</t>
        </is>
      </c>
    </row>
    <row r="1103" ht="18" customHeight="1">
      <c r="A1103" s="60" t="inlineStr">
        <is>
          <t>Donacor</t>
        </is>
      </c>
      <c r="B1103" s="60" t="inlineStr">
        <is>
          <t>Kit 5 Potes de Vidro 640 ml Hermético Marmita Fit com Tampa 4 Travas</t>
        </is>
      </c>
      <c r="C1103" s="60" t="inlineStr">
        <is>
          <t>Sortido</t>
        </is>
      </c>
      <c r="D1103" s="60" t="inlineStr">
        <is>
          <t>Kit pote 5 un 640ml sortido</t>
        </is>
      </c>
      <c r="E1103" s="60" t="n">
        <v>22293263906</v>
      </c>
      <c r="F1103" s="60" t="n">
        <v>219599042594</v>
      </c>
      <c r="G1103" s="60" t="inlineStr">
        <is>
          <t>NORMAL</t>
        </is>
      </c>
      <c r="H1103" s="91" t="n">
        <v>99.90000000000001</v>
      </c>
      <c r="I1103" s="91" t="n">
        <v>77.89</v>
      </c>
      <c r="J1103" s="65" t="inlineStr">
        <is>
          <t>SIM</t>
        </is>
      </c>
      <c r="K1103" s="91" t="n">
        <v>77.89</v>
      </c>
      <c r="L1103" s="87" t="n">
        <v>77.89</v>
      </c>
      <c r="M1103" s="88" t="n">
        <v>5</v>
      </c>
      <c r="N1103" s="89" t="n">
        <v>6.55</v>
      </c>
      <c r="O1103" s="89">
        <f>ROUND(M1103*N1103,2)</f>
        <v/>
      </c>
      <c r="P1103" s="92">
        <f>IF($O1103="","",L1103-O1103-(L1103*IF(L1103&lt;=79.99,20%,14%)+IF(L1103&lt;=79.99,4,IF(L1103&lt;=99.99,16,IF(L1103&lt;=199.99,20,IF(L1103&lt;=499.99,26,28)))))-L1103*1.3%-L1103*6%-(L1103-O1103)*9.25%-L1103*3%-L1103*3%-1)</f>
        <v/>
      </c>
      <c r="Q1103" s="67" t="n">
        <v>0.22</v>
      </c>
      <c r="R1103" s="60" t="n">
        <v>484945860710786</v>
      </c>
      <c r="S1103" s="68" t="n">
        <v>46227.73958333334</v>
      </c>
      <c r="T1103" s="68" t="n">
        <v>46405.45833333334</v>
      </c>
      <c r="U1103" s="60" t="n">
        <v>101220</v>
      </c>
      <c r="V1103" t="inlineStr">
        <is>
          <t>213877</t>
        </is>
      </c>
      <c r="W1103" t="inlineStr">
        <is>
          <t>venda casada (5 pedidos) · custo do KIT 215990 (5× 213877)</t>
        </is>
      </c>
      <c r="X1103" t="n">
        <v>5</v>
      </c>
      <c r="Y1103" t="inlineStr">
        <is>
          <t>ok</t>
        </is>
      </c>
    </row>
    <row r="1104" ht="18" customHeight="1">
      <c r="A1104" s="54" t="inlineStr">
        <is>
          <t>Donacor</t>
        </is>
      </c>
      <c r="B1104" s="54" t="inlineStr">
        <is>
          <t>Kit 50 Cabides Veludo Para Roupas Adulto Unidades Fino Resistente</t>
        </is>
      </c>
      <c r="C1104" s="54" t="inlineStr">
        <is>
          <t>Bege</t>
        </is>
      </c>
      <c r="D1104" s="54" t="inlineStr">
        <is>
          <t>CABIDE VELUDO-50UN-BEGE</t>
        </is>
      </c>
      <c r="E1104" s="54" t="n">
        <v>23298213951</v>
      </c>
      <c r="F1104" s="54" t="n">
        <v>435090010748</v>
      </c>
      <c r="G1104" s="54" t="inlineStr">
        <is>
          <t>NORMAL</t>
        </is>
      </c>
      <c r="H1104" s="86" t="n">
        <v>169.9</v>
      </c>
      <c r="I1104" s="86" t="n">
        <v>169.9</v>
      </c>
      <c r="J1104" s="69" t="inlineStr">
        <is>
          <t>NÃO</t>
        </is>
      </c>
      <c r="K1104" s="54" t="n"/>
      <c r="L1104" s="87" t="n">
        <v>169.9</v>
      </c>
      <c r="M1104" s="88" t="n">
        <v>50</v>
      </c>
      <c r="N1104" s="89" t="n">
        <v>0.59</v>
      </c>
      <c r="O1104" s="89">
        <f>ROUND(M1104*N1104,2)</f>
        <v/>
      </c>
      <c r="P1104" s="90">
        <f>IF($O1104="","",L1104-O1104-(L1104*IF(L1104&lt;=79.99,20%,14%)+IF(L1104&lt;=79.99,4,IF(L1104&lt;=99.99,16,IF(L1104&lt;=199.99,20,IF(L1104&lt;=499.99,26,28)))))-L1104*1.3%-L1104*6%-(L1104-O1104)*9.25%-L1104*3%-L1104*3%-1)</f>
        <v/>
      </c>
      <c r="Q1104" s="54">
        <f>IF(AND(K1104&lt;&gt;"",H1104&gt;0),(H1104-K1104)/H1104,"")</f>
        <v/>
      </c>
      <c r="R1104" s="54" t="n"/>
      <c r="S1104" s="54" t="n"/>
      <c r="T1104" s="54" t="n"/>
      <c r="U1104" s="54" t="n">
        <v>101253</v>
      </c>
      <c r="V1104" t="inlineStr">
        <is>
          <t>213999</t>
        </is>
      </c>
      <c r="W1104" t="inlineStr">
        <is>
          <t>venda casada (24 pedidos) · custo do KIT 214015 (50× 213999)</t>
        </is>
      </c>
      <c r="X1104" t="n">
        <v>24</v>
      </c>
      <c r="Y1104" t="inlineStr">
        <is>
          <t>ok</t>
        </is>
      </c>
    </row>
    <row r="1105" ht="18" customHeight="1">
      <c r="A1105" s="60" t="inlineStr">
        <is>
          <t>Donacor</t>
        </is>
      </c>
      <c r="B1105" s="60" t="inlineStr">
        <is>
          <t>Kit 50 Cabides Veludo Para Roupas Adulto Unidades Fino Resistente</t>
        </is>
      </c>
      <c r="C1105" s="60" t="inlineStr">
        <is>
          <t>Branco</t>
        </is>
      </c>
      <c r="D1105" s="60" t="inlineStr">
        <is>
          <t>CABIDE VELUDO-50UN-BRANCO</t>
        </is>
      </c>
      <c r="E1105" s="60" t="n">
        <v>23298213951</v>
      </c>
      <c r="F1105" s="60" t="n">
        <v>435090010749</v>
      </c>
      <c r="G1105" s="60" t="inlineStr">
        <is>
          <t>NORMAL</t>
        </is>
      </c>
      <c r="H1105" s="91" t="n">
        <v>169.9</v>
      </c>
      <c r="I1105" s="91" t="n">
        <v>169.9</v>
      </c>
      <c r="J1105" s="62" t="inlineStr">
        <is>
          <t>NÃO</t>
        </is>
      </c>
      <c r="K1105" s="60" t="inlineStr">
        <is>
          <t> </t>
        </is>
      </c>
      <c r="L1105" s="87" t="n">
        <v>169.9</v>
      </c>
      <c r="M1105" s="88" t="n">
        <v>51</v>
      </c>
      <c r="N1105" s="89" t="n">
        <v>0.59</v>
      </c>
      <c r="O1105" s="89">
        <f>ROUND(M1105*N1105,2)</f>
        <v/>
      </c>
      <c r="P1105" s="92">
        <f>IF($O1105="","",L1105-O1105-(L1105*IF(L1105&lt;=79.99,20%,14%)+IF(L1105&lt;=79.99,4,IF(L1105&lt;=99.99,16,IF(L1105&lt;=199.99,20,IF(L1105&lt;=499.99,26,28)))))-L1105*1.3%-L1105*6%-(L1105-O1105)*9.25%-L1105*3%-L1105*3%-1)</f>
        <v/>
      </c>
      <c r="Q1105" s="60" t="inlineStr">
        <is>
          <t> </t>
        </is>
      </c>
      <c r="R1105" s="60" t="inlineStr">
        <is>
          <t> </t>
        </is>
      </c>
      <c r="S1105" s="60" t="inlineStr">
        <is>
          <t> </t>
        </is>
      </c>
      <c r="T1105" s="60" t="inlineStr">
        <is>
          <t> </t>
        </is>
      </c>
      <c r="U1105" s="60" t="n">
        <v>101253</v>
      </c>
      <c r="V1105" t="inlineStr">
        <is>
          <t>214000</t>
        </is>
      </c>
      <c r="W1105" t="inlineStr">
        <is>
          <t>venda casada (285 pedidos)</t>
        </is>
      </c>
      <c r="X1105" t="n">
        <v>285</v>
      </c>
      <c r="Y1105" t="inlineStr">
        <is>
          <t>ok</t>
        </is>
      </c>
    </row>
    <row r="1106" ht="18" customHeight="1">
      <c r="A1106" s="54" t="inlineStr">
        <is>
          <t>Donacor</t>
        </is>
      </c>
      <c r="B1106" s="54" t="inlineStr">
        <is>
          <t>Kit 50 Cabides Veludo Para Roupas Adulto Unidades Fino Resistente</t>
        </is>
      </c>
      <c r="C1106" s="54" t="inlineStr">
        <is>
          <t>Cinza</t>
        </is>
      </c>
      <c r="D1106" s="54" t="inlineStr">
        <is>
          <t>CABIDE VELUDO-50UN-CINZA</t>
        </is>
      </c>
      <c r="E1106" s="54" t="n">
        <v>23298213951</v>
      </c>
      <c r="F1106" s="54" t="n">
        <v>228779715781</v>
      </c>
      <c r="G1106" s="54" t="inlineStr">
        <is>
          <t>NORMAL</t>
        </is>
      </c>
      <c r="H1106" s="86" t="n">
        <v>169.9</v>
      </c>
      <c r="I1106" s="86" t="n">
        <v>62.49</v>
      </c>
      <c r="J1106" s="56" t="inlineStr">
        <is>
          <t>SIM</t>
        </is>
      </c>
      <c r="K1106" s="86" t="n">
        <v>62.49</v>
      </c>
      <c r="L1106" s="87" t="n">
        <v>62.49</v>
      </c>
      <c r="M1106" s="88" t="n">
        <v>50</v>
      </c>
      <c r="N1106" s="89" t="n">
        <v>0.59</v>
      </c>
      <c r="O1106" s="89">
        <f>ROUND(M1106*N1106,2)</f>
        <v/>
      </c>
      <c r="P1106" s="90">
        <f>IF($O1106="","",L1106-O1106-(L1106*IF(L1106&lt;=79.99,20%,14%)+IF(L1106&lt;=79.99,4,IF(L1106&lt;=99.99,16,IF(L1106&lt;=199.99,20,IF(L1106&lt;=499.99,26,28)))))-L1106*1.3%-L1106*6%-(L1106-O1106)*9.25%-L1106*3%-L1106*3%-1)</f>
        <v/>
      </c>
      <c r="Q1106" s="58" t="n">
        <v>0.632</v>
      </c>
      <c r="R1106" s="54" t="inlineStr">
        <is>
          <t>488524742865093, 478840979931317</t>
        </is>
      </c>
      <c r="S1106" s="59" t="n">
        <v>46248</v>
      </c>
      <c r="T1106" s="59" t="n">
        <v>46248.99930555555</v>
      </c>
      <c r="U1106" s="54" t="n">
        <v>101253</v>
      </c>
      <c r="V1106" t="inlineStr">
        <is>
          <t>213998</t>
        </is>
      </c>
      <c r="W1106" t="inlineStr">
        <is>
          <t>venda casada (1562 pedidos) · custo do KIT 214014 (50× 213998)</t>
        </is>
      </c>
      <c r="X1106" t="n">
        <v>1562</v>
      </c>
      <c r="Y1106" t="inlineStr">
        <is>
          <t>ok</t>
        </is>
      </c>
    </row>
    <row r="1107" ht="18" customHeight="1">
      <c r="A1107" s="60" t="inlineStr">
        <is>
          <t>Donacor</t>
        </is>
      </c>
      <c r="B1107" s="60" t="inlineStr">
        <is>
          <t>Kit 50 Cabides Veludo Para Roupas Adulto Unidades Fino Resistente</t>
        </is>
      </c>
      <c r="C1107" s="60" t="inlineStr">
        <is>
          <t>Preto</t>
        </is>
      </c>
      <c r="D1107" s="60" t="inlineStr">
        <is>
          <t>CABIDE VELUDO-50UN-PRETO</t>
        </is>
      </c>
      <c r="E1107" s="60" t="n">
        <v>23298213951</v>
      </c>
      <c r="F1107" s="60" t="n">
        <v>228779715780</v>
      </c>
      <c r="G1107" s="60" t="inlineStr">
        <is>
          <t>NORMAL</t>
        </is>
      </c>
      <c r="H1107" s="91" t="n">
        <v>169.9</v>
      </c>
      <c r="I1107" s="91" t="n">
        <v>62.49</v>
      </c>
      <c r="J1107" s="65" t="inlineStr">
        <is>
          <t>SIM</t>
        </is>
      </c>
      <c r="K1107" s="91" t="n">
        <v>62.49</v>
      </c>
      <c r="L1107" s="87" t="n">
        <v>62.49</v>
      </c>
      <c r="M1107" s="88" t="n">
        <v>50</v>
      </c>
      <c r="N1107" s="89" t="n">
        <v>0.59</v>
      </c>
      <c r="O1107" s="89">
        <f>ROUND(M1107*N1107,2)</f>
        <v/>
      </c>
      <c r="P1107" s="92">
        <f>IF($O1107="","",L1107-O1107-(L1107*IF(L1107&lt;=79.99,20%,14%)+IF(L1107&lt;=79.99,4,IF(L1107&lt;=99.99,16,IF(L1107&lt;=199.99,20,IF(L1107&lt;=499.99,26,28)))))-L1107*1.3%-L1107*6%-(L1107-O1107)*9.25%-L1107*3%-L1107*3%-1)</f>
        <v/>
      </c>
      <c r="Q1107" s="67" t="n">
        <v>0.632</v>
      </c>
      <c r="R1107" s="60" t="inlineStr">
        <is>
          <t>478840979931317, 488524742865093</t>
        </is>
      </c>
      <c r="S1107" s="68" t="n">
        <v>46248</v>
      </c>
      <c r="T1107" s="68" t="n">
        <v>46248.99930555555</v>
      </c>
      <c r="U1107" s="60" t="n">
        <v>101253</v>
      </c>
      <c r="V1107" t="inlineStr">
        <is>
          <t>213997</t>
        </is>
      </c>
      <c r="W1107" t="inlineStr">
        <is>
          <t>venda casada (2824 pedidos) · custo do KIT 214013 (50× 213997)</t>
        </is>
      </c>
      <c r="X1107" t="n">
        <v>2824</v>
      </c>
      <c r="Y1107" t="inlineStr">
        <is>
          <t>ok</t>
        </is>
      </c>
    </row>
    <row r="1108" ht="18" customHeight="1">
      <c r="A1108" s="54" t="inlineStr">
        <is>
          <t>Donacor</t>
        </is>
      </c>
      <c r="B1108" s="54" t="inlineStr">
        <is>
          <t>Kit 6 Cuecas Boxer Infantil Lupo Cueca Box Menino Macia de Algodão Original</t>
        </is>
      </c>
      <c r="C1108" s="54" t="inlineStr">
        <is>
          <t>BRANCO/AZUL,G</t>
        </is>
      </c>
      <c r="D1108" s="54" t="inlineStr">
        <is>
          <t>KIT6-CUECA-INFANTIL-BRANCO/AZUL-GG</t>
        </is>
      </c>
      <c r="E1108" s="54" t="n">
        <v>51802656758</v>
      </c>
      <c r="F1108" s="54" t="n">
        <v>425255834709</v>
      </c>
      <c r="G1108" s="54" t="inlineStr">
        <is>
          <t>NORMAL</t>
        </is>
      </c>
      <c r="H1108" s="86" t="n">
        <v>219.9</v>
      </c>
      <c r="I1108" s="86" t="n">
        <v>219.9</v>
      </c>
      <c r="J1108" s="69" t="inlineStr">
        <is>
          <t>NÃO</t>
        </is>
      </c>
      <c r="K1108" s="54" t="n"/>
      <c r="L1108" s="87" t="n">
        <v>219.9</v>
      </c>
      <c r="P1108" s="90">
        <f>IF($O1108="","",L1108-O1108-(L1108*IF(L1108&lt;=79.99,20%,14%)+IF(L1108&lt;=79.99,4,IF(L1108&lt;=99.99,16,IF(L1108&lt;=199.99,20,IF(L1108&lt;=499.99,26,28)))))-L1108*1.3%-L1108*6%-(L1108-O1108)*9.25%-L1108*3%-L1108*3%-1)</f>
        <v/>
      </c>
      <c r="Q1108" s="54">
        <f>IF(AND(K1108&lt;&gt;"",H1108&gt;0),(H1108-K1108)/H1108,"")</f>
        <v/>
      </c>
      <c r="R1108" s="54" t="n"/>
      <c r="S1108" s="54" t="n"/>
      <c r="T1108" s="54" t="n"/>
      <c r="U1108" s="54" t="n">
        <v>101040</v>
      </c>
      <c r="W1108" t="inlineStr">
        <is>
          <t>sem correspondência</t>
        </is>
      </c>
      <c r="Y1108" t="inlineStr"/>
    </row>
    <row r="1109" ht="18" customHeight="1">
      <c r="A1109" s="60" t="inlineStr">
        <is>
          <t>Donacor</t>
        </is>
      </c>
      <c r="B1109" s="60" t="inlineStr">
        <is>
          <t>Kit 6 Cuecas Boxer Infantil Lupo Cueca Box Menino Macia de Algodão Original</t>
        </is>
      </c>
      <c r="C1109" s="60" t="inlineStr">
        <is>
          <t>BRANCO/AZUL,GG</t>
        </is>
      </c>
      <c r="D1109" s="60" t="inlineStr">
        <is>
          <t>KIT6-CUECA-INFANTIL-PRETO/CINZA-P</t>
        </is>
      </c>
      <c r="E1109" s="60" t="n">
        <v>51802656758</v>
      </c>
      <c r="F1109" s="60" t="n">
        <v>425255834702</v>
      </c>
      <c r="G1109" s="60" t="inlineStr">
        <is>
          <t>NORMAL</t>
        </is>
      </c>
      <c r="H1109" s="91" t="n">
        <v>219.9</v>
      </c>
      <c r="I1109" s="91" t="n">
        <v>219.9</v>
      </c>
      <c r="J1109" s="62" t="inlineStr">
        <is>
          <t>NÃO</t>
        </is>
      </c>
      <c r="K1109" s="60" t="inlineStr">
        <is>
          <t> </t>
        </is>
      </c>
      <c r="L1109" s="87" t="n">
        <v>219.9</v>
      </c>
      <c r="P1109" s="92">
        <f>IF($O1109="","",L1109-O1109-(L1109*IF(L1109&lt;=79.99,20%,14%)+IF(L1109&lt;=79.99,4,IF(L1109&lt;=99.99,16,IF(L1109&lt;=199.99,20,IF(L1109&lt;=499.99,26,28)))))-L1109*1.3%-L1109*6%-(L1109-O1109)*9.25%-L1109*3%-L1109*3%-1)</f>
        <v/>
      </c>
      <c r="Q1109" s="60" t="inlineStr">
        <is>
          <t> </t>
        </is>
      </c>
      <c r="R1109" s="60" t="inlineStr">
        <is>
          <t> </t>
        </is>
      </c>
      <c r="S1109" s="60" t="inlineStr">
        <is>
          <t> </t>
        </is>
      </c>
      <c r="T1109" s="60" t="inlineStr">
        <is>
          <t> </t>
        </is>
      </c>
      <c r="U1109" s="60" t="n">
        <v>101040</v>
      </c>
      <c r="W1109" t="inlineStr">
        <is>
          <t>sem correspondência</t>
        </is>
      </c>
      <c r="Y1109" t="inlineStr"/>
    </row>
    <row r="1110" ht="18" customHeight="1">
      <c r="A1110" s="54" t="inlineStr">
        <is>
          <t>Donacor</t>
        </is>
      </c>
      <c r="B1110" s="54" t="inlineStr">
        <is>
          <t>Kit 6 Cuecas Boxer Infantil Lupo Cueca Box Menino Macia de Algodão Original</t>
        </is>
      </c>
      <c r="C1110" s="54" t="inlineStr">
        <is>
          <t>BRANCO/AZUL,M</t>
        </is>
      </c>
      <c r="D1110" s="54" t="inlineStr">
        <is>
          <t>KIT6-CUECA-INFANTIL-BRANCO/AZUL-G</t>
        </is>
      </c>
      <c r="E1110" s="54" t="n">
        <v>51802656758</v>
      </c>
      <c r="F1110" s="54" t="n">
        <v>425255834708</v>
      </c>
      <c r="G1110" s="54" t="inlineStr">
        <is>
          <t>NORMAL</t>
        </is>
      </c>
      <c r="H1110" s="86" t="n">
        <v>219.9</v>
      </c>
      <c r="I1110" s="86" t="n">
        <v>219.9</v>
      </c>
      <c r="J1110" s="69" t="inlineStr">
        <is>
          <t>NÃO</t>
        </is>
      </c>
      <c r="K1110" s="54" t="n"/>
      <c r="L1110" s="87" t="n">
        <v>219.9</v>
      </c>
      <c r="P1110" s="90">
        <f>IF($O1110="","",L1110-O1110-(L1110*IF(L1110&lt;=79.99,20%,14%)+IF(L1110&lt;=79.99,4,IF(L1110&lt;=99.99,16,IF(L1110&lt;=199.99,20,IF(L1110&lt;=499.99,26,28)))))-L1110*1.3%-L1110*6%-(L1110-O1110)*9.25%-L1110*3%-L1110*3%-1)</f>
        <v/>
      </c>
      <c r="Q1110" s="54">
        <f>IF(AND(K1110&lt;&gt;"",H1110&gt;0),(H1110-K1110)/H1110,"")</f>
        <v/>
      </c>
      <c r="R1110" s="54" t="n"/>
      <c r="S1110" s="54" t="n"/>
      <c r="T1110" s="54" t="n"/>
      <c r="U1110" s="54" t="n">
        <v>101040</v>
      </c>
      <c r="W1110" t="inlineStr">
        <is>
          <t>sem correspondência</t>
        </is>
      </c>
      <c r="Y1110" t="inlineStr"/>
    </row>
    <row r="1111" ht="18" customHeight="1">
      <c r="A1111" s="60" t="inlineStr">
        <is>
          <t>Donacor</t>
        </is>
      </c>
      <c r="B1111" s="60" t="inlineStr">
        <is>
          <t>Kit 6 Cuecas Boxer Infantil Lupo Cueca Box Menino Macia de Algodão Original</t>
        </is>
      </c>
      <c r="C1111" s="60" t="inlineStr">
        <is>
          <t>BRANCO/AZUL,P</t>
        </is>
      </c>
      <c r="D1111" s="60" t="inlineStr">
        <is>
          <t>KIT6-CUECA-INFANTIL-BRANCO/AZUL-M</t>
        </is>
      </c>
      <c r="E1111" s="60" t="n">
        <v>51802656758</v>
      </c>
      <c r="F1111" s="60" t="n">
        <v>425255834707</v>
      </c>
      <c r="G1111" s="60" t="inlineStr">
        <is>
          <t>NORMAL</t>
        </is>
      </c>
      <c r="H1111" s="91" t="n">
        <v>219.9</v>
      </c>
      <c r="I1111" s="91" t="n">
        <v>219.9</v>
      </c>
      <c r="J1111" s="62" t="inlineStr">
        <is>
          <t>NÃO</t>
        </is>
      </c>
      <c r="K1111" s="60" t="inlineStr">
        <is>
          <t> </t>
        </is>
      </c>
      <c r="L1111" s="87" t="n">
        <v>219.9</v>
      </c>
      <c r="P1111" s="92">
        <f>IF($O1111="","",L1111-O1111-(L1111*IF(L1111&lt;=79.99,20%,14%)+IF(L1111&lt;=79.99,4,IF(L1111&lt;=99.99,16,IF(L1111&lt;=199.99,20,IF(L1111&lt;=499.99,26,28)))))-L1111*1.3%-L1111*6%-(L1111-O1111)*9.25%-L1111*3%-L1111*3%-1)</f>
        <v/>
      </c>
      <c r="Q1111" s="60" t="inlineStr">
        <is>
          <t> </t>
        </is>
      </c>
      <c r="R1111" s="60" t="inlineStr">
        <is>
          <t> </t>
        </is>
      </c>
      <c r="S1111" s="60" t="inlineStr">
        <is>
          <t> </t>
        </is>
      </c>
      <c r="T1111" s="60" t="inlineStr">
        <is>
          <t> </t>
        </is>
      </c>
      <c r="U1111" s="60" t="n">
        <v>101040</v>
      </c>
      <c r="W1111" t="inlineStr">
        <is>
          <t>sem correspondência</t>
        </is>
      </c>
      <c r="Y1111" t="inlineStr"/>
    </row>
    <row r="1112" ht="18" customHeight="1">
      <c r="A1112" s="54" t="inlineStr">
        <is>
          <t>Donacor</t>
        </is>
      </c>
      <c r="B1112" s="54" t="inlineStr">
        <is>
          <t>Kit 6 Cuecas Boxer Infantil Lupo Cueca Box Menino Macia de Algodão Original</t>
        </is>
      </c>
      <c r="C1112" s="54" t="inlineStr">
        <is>
          <t>PRETO/CINZA,G</t>
        </is>
      </c>
      <c r="D1112" s="54" t="inlineStr">
        <is>
          <t>KIT6-CUECA-INFANTIL-PRETO/CINZA-GG</t>
        </is>
      </c>
      <c r="E1112" s="54" t="n">
        <v>51802656758</v>
      </c>
      <c r="F1112" s="54" t="n">
        <v>425255834705</v>
      </c>
      <c r="G1112" s="54" t="inlineStr">
        <is>
          <t>NORMAL</t>
        </is>
      </c>
      <c r="H1112" s="86" t="n">
        <v>219.9</v>
      </c>
      <c r="I1112" s="86" t="n">
        <v>219.9</v>
      </c>
      <c r="J1112" s="69" t="inlineStr">
        <is>
          <t>NÃO</t>
        </is>
      </c>
      <c r="K1112" s="54" t="n"/>
      <c r="L1112" s="87" t="n">
        <v>219.9</v>
      </c>
      <c r="P1112" s="90">
        <f>IF($O1112="","",L1112-O1112-(L1112*IF(L1112&lt;=79.99,20%,14%)+IF(L1112&lt;=79.99,4,IF(L1112&lt;=99.99,16,IF(L1112&lt;=199.99,20,IF(L1112&lt;=499.99,26,28)))))-L1112*1.3%-L1112*6%-(L1112-O1112)*9.25%-L1112*3%-L1112*3%-1)</f>
        <v/>
      </c>
      <c r="Q1112" s="54">
        <f>IF(AND(K1112&lt;&gt;"",H1112&gt;0),(H1112-K1112)/H1112,"")</f>
        <v/>
      </c>
      <c r="R1112" s="54" t="n"/>
      <c r="S1112" s="54" t="n"/>
      <c r="T1112" s="54" t="n"/>
      <c r="U1112" s="54" t="n">
        <v>101040</v>
      </c>
      <c r="V1112" t="inlineStr">
        <is>
          <t>KIT6-CUECA-INFANTIL-PRETO/CINZA-GG</t>
        </is>
      </c>
      <c r="W1112" t="inlineStr">
        <is>
          <t>SKU idêntico na Olist · CUSTO ZERADO na Olist (conferido hoje)</t>
        </is>
      </c>
      <c r="Y1112" t="inlineStr">
        <is>
          <t>ok</t>
        </is>
      </c>
    </row>
    <row r="1113" ht="18" customHeight="1">
      <c r="A1113" s="60" t="inlineStr">
        <is>
          <t>Donacor</t>
        </is>
      </c>
      <c r="B1113" s="60" t="inlineStr">
        <is>
          <t>Kit 6 Cuecas Boxer Infantil Lupo Cueca Box Menino Macia de Algodão Original</t>
        </is>
      </c>
      <c r="C1113" s="60" t="inlineStr">
        <is>
          <t>PRETO/CINZA,GG</t>
        </is>
      </c>
      <c r="D1113" s="60" t="inlineStr">
        <is>
          <t>KIT6-CUECA-INFANTIL-BRANCO/AZUL-P</t>
        </is>
      </c>
      <c r="E1113" s="60" t="n">
        <v>51802656758</v>
      </c>
      <c r="F1113" s="60" t="n">
        <v>425255834706</v>
      </c>
      <c r="G1113" s="60" t="inlineStr">
        <is>
          <t>NORMAL</t>
        </is>
      </c>
      <c r="H1113" s="91" t="n">
        <v>219.9</v>
      </c>
      <c r="I1113" s="91" t="n">
        <v>219.9</v>
      </c>
      <c r="J1113" s="62" t="inlineStr">
        <is>
          <t>NÃO</t>
        </is>
      </c>
      <c r="K1113" s="60" t="inlineStr">
        <is>
          <t> </t>
        </is>
      </c>
      <c r="L1113" s="87" t="n">
        <v>219.9</v>
      </c>
      <c r="P1113" s="92">
        <f>IF($O1113="","",L1113-O1113-(L1113*IF(L1113&lt;=79.99,20%,14%)+IF(L1113&lt;=79.99,4,IF(L1113&lt;=99.99,16,IF(L1113&lt;=199.99,20,IF(L1113&lt;=499.99,26,28)))))-L1113*1.3%-L1113*6%-(L1113-O1113)*9.25%-L1113*3%-L1113*3%-1)</f>
        <v/>
      </c>
      <c r="Q1113" s="60" t="inlineStr">
        <is>
          <t> </t>
        </is>
      </c>
      <c r="R1113" s="60" t="inlineStr">
        <is>
          <t> </t>
        </is>
      </c>
      <c r="S1113" s="60" t="inlineStr">
        <is>
          <t> </t>
        </is>
      </c>
      <c r="T1113" s="60" t="inlineStr">
        <is>
          <t> </t>
        </is>
      </c>
      <c r="U1113" s="60" t="n">
        <v>101040</v>
      </c>
      <c r="W1113" t="inlineStr">
        <is>
          <t>sem correspondência</t>
        </is>
      </c>
      <c r="Y1113" t="inlineStr"/>
    </row>
    <row r="1114" ht="18" customHeight="1">
      <c r="A1114" s="54" t="inlineStr">
        <is>
          <t>Donacor</t>
        </is>
      </c>
      <c r="B1114" s="54" t="inlineStr">
        <is>
          <t>Kit 6 Cuecas Boxer Infantil Lupo Cueca Box Menino Macia de Algodão Original</t>
        </is>
      </c>
      <c r="C1114" s="54" t="inlineStr">
        <is>
          <t>PRETO/CINZA,M</t>
        </is>
      </c>
      <c r="D1114" s="54" t="inlineStr">
        <is>
          <t>KIT6-CUECA-INFANTIL-PRETO/CINZA-G</t>
        </is>
      </c>
      <c r="E1114" s="54" t="n">
        <v>51802656758</v>
      </c>
      <c r="F1114" s="54" t="n">
        <v>425255834704</v>
      </c>
      <c r="G1114" s="54" t="inlineStr">
        <is>
          <t>NORMAL</t>
        </is>
      </c>
      <c r="H1114" s="86" t="n">
        <v>219.9</v>
      </c>
      <c r="I1114" s="86" t="n">
        <v>219.9</v>
      </c>
      <c r="J1114" s="69" t="inlineStr">
        <is>
          <t>NÃO</t>
        </is>
      </c>
      <c r="K1114" s="54" t="n"/>
      <c r="L1114" s="87" t="n">
        <v>219.9</v>
      </c>
      <c r="P1114" s="90">
        <f>IF($O1114="","",L1114-O1114-(L1114*IF(L1114&lt;=79.99,20%,14%)+IF(L1114&lt;=79.99,4,IF(L1114&lt;=99.99,16,IF(L1114&lt;=199.99,20,IF(L1114&lt;=499.99,26,28)))))-L1114*1.3%-L1114*6%-(L1114-O1114)*9.25%-L1114*3%-L1114*3%-1)</f>
        <v/>
      </c>
      <c r="Q1114" s="54">
        <f>IF(AND(K1114&lt;&gt;"",H1114&gt;0),(H1114-K1114)/H1114,"")</f>
        <v/>
      </c>
      <c r="R1114" s="54" t="n"/>
      <c r="S1114" s="54" t="n"/>
      <c r="T1114" s="54" t="n"/>
      <c r="U1114" s="54" t="n">
        <v>101040</v>
      </c>
      <c r="V1114" t="inlineStr">
        <is>
          <t>KIT6-CUECA-INFANTIL-PRETO/CINZA-G</t>
        </is>
      </c>
      <c r="W1114" t="inlineStr">
        <is>
          <t>SKU idêntico na Olist · CUSTO ZERADO na Olist (junho)</t>
        </is>
      </c>
      <c r="Y1114" t="inlineStr">
        <is>
          <t>ok</t>
        </is>
      </c>
    </row>
    <row r="1115" ht="18" customHeight="1">
      <c r="A1115" s="60" t="inlineStr">
        <is>
          <t>Donacor</t>
        </is>
      </c>
      <c r="B1115" s="60" t="inlineStr">
        <is>
          <t>Kit 6 Cuecas Boxer Infantil Lupo Cueca Box Menino Macia de Algodão Original</t>
        </is>
      </c>
      <c r="C1115" s="60" t="inlineStr">
        <is>
          <t>PRETO/CINZA,P</t>
        </is>
      </c>
      <c r="D1115" s="60" t="inlineStr">
        <is>
          <t>KIT6-CUECA-INFANTIL-PRETO/CINZA-M</t>
        </is>
      </c>
      <c r="E1115" s="60" t="n">
        <v>51802656758</v>
      </c>
      <c r="F1115" s="60" t="n">
        <v>425255834703</v>
      </c>
      <c r="G1115" s="60" t="inlineStr">
        <is>
          <t>NORMAL</t>
        </is>
      </c>
      <c r="H1115" s="91" t="n">
        <v>219.9</v>
      </c>
      <c r="I1115" s="91" t="n">
        <v>219.9</v>
      </c>
      <c r="J1115" s="62" t="inlineStr">
        <is>
          <t>NÃO</t>
        </is>
      </c>
      <c r="K1115" s="60" t="inlineStr">
        <is>
          <t> </t>
        </is>
      </c>
      <c r="L1115" s="87" t="n">
        <v>219.9</v>
      </c>
      <c r="P1115" s="92">
        <f>IF($O1115="","",L1115-O1115-(L1115*IF(L1115&lt;=79.99,20%,14%)+IF(L1115&lt;=79.99,4,IF(L1115&lt;=99.99,16,IF(L1115&lt;=199.99,20,IF(L1115&lt;=499.99,26,28)))))-L1115*1.3%-L1115*6%-(L1115-O1115)*9.25%-L1115*3%-L1115*3%-1)</f>
        <v/>
      </c>
      <c r="Q1115" s="60" t="inlineStr">
        <is>
          <t> </t>
        </is>
      </c>
      <c r="R1115" s="60" t="inlineStr">
        <is>
          <t> </t>
        </is>
      </c>
      <c r="S1115" s="60" t="inlineStr">
        <is>
          <t> </t>
        </is>
      </c>
      <c r="T1115" s="60" t="inlineStr">
        <is>
          <t> </t>
        </is>
      </c>
      <c r="U1115" s="60" t="n">
        <v>101040</v>
      </c>
      <c r="W1115" t="inlineStr">
        <is>
          <t>sem correspondência</t>
        </is>
      </c>
      <c r="Y1115" t="inlineStr"/>
    </row>
    <row r="1116" ht="18" customHeight="1">
      <c r="A1116" s="54" t="inlineStr">
        <is>
          <t>Donacor</t>
        </is>
      </c>
      <c r="B1116" s="54" t="inlineStr">
        <is>
          <t>KIT 6 CUECAS BOXER LUPO ALGODÃO - 00523-088 - BRANCO/AZUL - G (46-48)</t>
        </is>
      </c>
      <c r="C1116" s="54" t="inlineStr">
        <is>
          <t>BRANCO/AZUL,G (46-48)</t>
        </is>
      </c>
      <c r="D1116" s="54" t="inlineStr">
        <is>
          <t>KIT6-BRANCO/AZUL-M</t>
        </is>
      </c>
      <c r="E1116" s="54" t="n">
        <v>23597582738</v>
      </c>
      <c r="F1116" s="54" t="n">
        <v>196344185639</v>
      </c>
      <c r="G1116" s="54" t="inlineStr">
        <is>
          <t>NORMAL</t>
        </is>
      </c>
      <c r="H1116" s="86" t="n">
        <v>199.9</v>
      </c>
      <c r="I1116" s="86" t="n">
        <v>199.9</v>
      </c>
      <c r="J1116" s="69" t="inlineStr">
        <is>
          <t>NÃO</t>
        </is>
      </c>
      <c r="K1116" s="54" t="n"/>
      <c r="L1116" s="87" t="n">
        <v>199.9</v>
      </c>
      <c r="P1116" s="90">
        <f>IF($O1116="","",L1116-O1116-(L1116*IF(L1116&lt;=79.99,20%,14%)+IF(L1116&lt;=79.99,4,IF(L1116&lt;=99.99,16,IF(L1116&lt;=199.99,20,IF(L1116&lt;=499.99,26,28)))))-L1116*1.3%-L1116*6%-(L1116-O1116)*9.25%-L1116*3%-L1116*3%-1)</f>
        <v/>
      </c>
      <c r="Q1116" s="54">
        <f>IF(AND(K1116&lt;&gt;"",H1116&gt;0),(H1116-K1116)/H1116,"")</f>
        <v/>
      </c>
      <c r="R1116" s="54" t="n"/>
      <c r="S1116" s="54" t="n"/>
      <c r="T1116" s="54" t="n"/>
      <c r="U1116" s="54" t="n">
        <v>100419</v>
      </c>
      <c r="V1116" t="inlineStr">
        <is>
          <t>KIT6-BRANCO/AZUL-M</t>
        </is>
      </c>
      <c r="W1116" t="inlineStr">
        <is>
          <t>SKU idêntico na Olist · CUSTO ZERADO na Olist (conferido hoje)</t>
        </is>
      </c>
      <c r="Y1116" t="inlineStr">
        <is>
          <t>ok</t>
        </is>
      </c>
    </row>
    <row r="1117" ht="18" customHeight="1">
      <c r="A1117" s="60" t="inlineStr">
        <is>
          <t>Donacor</t>
        </is>
      </c>
      <c r="B1117" s="60" t="inlineStr">
        <is>
          <t>Kit Cabides De Madeira Premium Marfim Para Roupas Calça Gancho Cromado</t>
        </is>
      </c>
      <c r="C1117" s="60" t="inlineStr">
        <is>
          <t>KIT 12</t>
        </is>
      </c>
      <c r="D1117" s="60" t="inlineStr">
        <is>
          <t>CABIDE-MARFIM-12 UN</t>
        </is>
      </c>
      <c r="E1117" s="60" t="n">
        <v>22593722197</v>
      </c>
      <c r="F1117" s="60" t="n">
        <v>139832289673</v>
      </c>
      <c r="G1117" s="60" t="inlineStr">
        <is>
          <t>NORMAL</t>
        </is>
      </c>
      <c r="H1117" s="91" t="n">
        <v>149.9</v>
      </c>
      <c r="I1117" s="91" t="n">
        <v>69.90000000000001</v>
      </c>
      <c r="J1117" s="65" t="inlineStr">
        <is>
          <t>SIM</t>
        </is>
      </c>
      <c r="K1117" s="91" t="n">
        <v>69.90000000000001</v>
      </c>
      <c r="L1117" s="87" t="n">
        <v>69.90000000000001</v>
      </c>
      <c r="M1117" s="88" t="n">
        <v>12</v>
      </c>
      <c r="N1117" s="89" t="n">
        <v>2.01</v>
      </c>
      <c r="O1117" s="89">
        <f>ROUND(M1117*N1117,2)</f>
        <v/>
      </c>
      <c r="P1117" s="92">
        <f>IF($O1117="","",L1117-O1117-(L1117*IF(L1117&lt;=79.99,20%,14%)+IF(L1117&lt;=79.99,4,IF(L1117&lt;=99.99,16,IF(L1117&lt;=199.99,20,IF(L1117&lt;=499.99,26,28)))))-L1117*1.3%-L1117*6%-(L1117-O1117)*9.25%-L1117*3%-L1117*3%-1)</f>
        <v/>
      </c>
      <c r="Q1117" s="67" t="n">
        <v>0.534</v>
      </c>
      <c r="R1117" s="60" t="inlineStr">
        <is>
          <t>478840979931317, 484945860710786</t>
        </is>
      </c>
      <c r="S1117" s="68" t="n">
        <v>46227.73958333334</v>
      </c>
      <c r="T1117" s="68" t="n">
        <v>46248.99930555555</v>
      </c>
      <c r="U1117" s="60" t="n">
        <v>101253</v>
      </c>
      <c r="V1117" t="inlineStr">
        <is>
          <t>213176</t>
        </is>
      </c>
      <c r="W1117" t="inlineStr">
        <is>
          <t>venda casada (1 pedido) · custo do KIT 214053 (12× 213176)</t>
        </is>
      </c>
      <c r="X1117" t="n">
        <v>1</v>
      </c>
      <c r="Y1117" t="inlineStr">
        <is>
          <t>⚠ evidência fraca (1 pedido)</t>
        </is>
      </c>
    </row>
    <row r="1118" ht="18" customHeight="1">
      <c r="A1118" s="54" t="inlineStr">
        <is>
          <t>Donacor</t>
        </is>
      </c>
      <c r="B1118" s="54" t="inlineStr">
        <is>
          <t>Kit Cabides De Madeira Premium Marfim Para Roupas Calça Gancho Cromado</t>
        </is>
      </c>
      <c r="C1118" s="54" t="inlineStr">
        <is>
          <t>KIT 21</t>
        </is>
      </c>
      <c r="D1118" s="54" t="inlineStr">
        <is>
          <t>CABIDE-MARFIM-21 UN</t>
        </is>
      </c>
      <c r="E1118" s="54" t="n">
        <v>22593722197</v>
      </c>
      <c r="F1118" s="54" t="n">
        <v>139832289672</v>
      </c>
      <c r="G1118" s="54" t="inlineStr">
        <is>
          <t>NORMAL</t>
        </is>
      </c>
      <c r="H1118" s="86" t="n">
        <v>189.9</v>
      </c>
      <c r="I1118" s="86" t="n">
        <v>94.90000000000001</v>
      </c>
      <c r="J1118" s="56" t="inlineStr">
        <is>
          <t>SIM</t>
        </is>
      </c>
      <c r="K1118" s="86" t="n">
        <v>94.90000000000001</v>
      </c>
      <c r="L1118" s="87" t="n">
        <v>94.90000000000001</v>
      </c>
      <c r="M1118" s="88" t="n">
        <v>21</v>
      </c>
      <c r="N1118" s="89" t="n">
        <v>2.01</v>
      </c>
      <c r="O1118" s="89">
        <f>ROUND(M1118*N1118,2)</f>
        <v/>
      </c>
      <c r="P1118" s="90">
        <f>IF($O1118="","",L1118-O1118-(L1118*IF(L1118&lt;=79.99,20%,14%)+IF(L1118&lt;=79.99,4,IF(L1118&lt;=99.99,16,IF(L1118&lt;=199.99,20,IF(L1118&lt;=499.99,26,28)))))-L1118*1.3%-L1118*6%-(L1118-O1118)*9.25%-L1118*3%-L1118*3%-1)</f>
        <v/>
      </c>
      <c r="Q1118" s="58" t="n">
        <v>0.5</v>
      </c>
      <c r="R1118" s="54" t="inlineStr">
        <is>
          <t>478840979931317, 484945860710786</t>
        </is>
      </c>
      <c r="S1118" s="59" t="n">
        <v>46227.73958333334</v>
      </c>
      <c r="T1118" s="59" t="n">
        <v>46248.99930555555</v>
      </c>
      <c r="U1118" s="54" t="n">
        <v>101253</v>
      </c>
      <c r="V1118" t="inlineStr">
        <is>
          <t>213176</t>
        </is>
      </c>
      <c r="W1118" t="inlineStr">
        <is>
          <t>venda casada (5 pedidos) · custo do KIT 214054 (21× 213176)</t>
        </is>
      </c>
      <c r="X1118" t="n">
        <v>5</v>
      </c>
      <c r="Y1118" t="inlineStr">
        <is>
          <t>ok</t>
        </is>
      </c>
    </row>
    <row r="1119" ht="18" customHeight="1">
      <c r="A1119" s="60" t="inlineStr">
        <is>
          <t>Donacor</t>
        </is>
      </c>
      <c r="B1119" s="60" t="inlineStr">
        <is>
          <t>Kit Cabides De Madeira Premium Marfim Para Roupas Calça Gancho Cromado</t>
        </is>
      </c>
      <c r="C1119" s="60" t="inlineStr">
        <is>
          <t>KIT 6</t>
        </is>
      </c>
      <c r="D1119" s="60" t="inlineStr">
        <is>
          <t>CABIDE-MARFIM-6 UN</t>
        </is>
      </c>
      <c r="E1119" s="60" t="n">
        <v>22593722197</v>
      </c>
      <c r="F1119" s="60" t="n">
        <v>139832289674</v>
      </c>
      <c r="G1119" s="60" t="inlineStr">
        <is>
          <t>NORMAL</t>
        </is>
      </c>
      <c r="H1119" s="91" t="n">
        <v>99.90000000000001</v>
      </c>
      <c r="I1119" s="91" t="n">
        <v>34.9</v>
      </c>
      <c r="J1119" s="65" t="inlineStr">
        <is>
          <t>SIM</t>
        </is>
      </c>
      <c r="K1119" s="91" t="n">
        <v>34.9</v>
      </c>
      <c r="L1119" s="87" t="n">
        <v>34.9</v>
      </c>
      <c r="M1119" s="88" t="n">
        <v>6</v>
      </c>
      <c r="N1119" s="89" t="n">
        <v>2.01</v>
      </c>
      <c r="O1119" s="89">
        <f>ROUND(M1119*N1119,2)</f>
        <v/>
      </c>
      <c r="P1119" s="92">
        <f>IF($O1119="","",L1119-O1119-(L1119*IF(L1119&lt;=79.99,20%,14%)+IF(L1119&lt;=79.99,4,IF(L1119&lt;=99.99,16,IF(L1119&lt;=199.99,20,IF(L1119&lt;=499.99,26,28)))))-L1119*1.3%-L1119*6%-(L1119-O1119)*9.25%-L1119*3%-L1119*3%-1)</f>
        <v/>
      </c>
      <c r="Q1119" s="67" t="n">
        <v>0.651</v>
      </c>
      <c r="R1119" s="60" t="inlineStr">
        <is>
          <t>478840979931317, 484945860710786</t>
        </is>
      </c>
      <c r="S1119" s="68" t="n">
        <v>46227.73958333334</v>
      </c>
      <c r="T1119" s="68" t="n">
        <v>46248.99930555555</v>
      </c>
      <c r="U1119" s="60" t="n">
        <v>101253</v>
      </c>
      <c r="V1119" t="inlineStr">
        <is>
          <t>213176</t>
        </is>
      </c>
      <c r="W1119" t="inlineStr">
        <is>
          <t>venda casada (2 pedidos) · custo do KIT 214052 (6× 213176)</t>
        </is>
      </c>
      <c r="X1119" t="n">
        <v>2</v>
      </c>
      <c r="Y1119" t="inlineStr">
        <is>
          <t>ok</t>
        </is>
      </c>
    </row>
    <row r="1120" ht="18" customHeight="1">
      <c r="A1120" s="54" t="inlineStr">
        <is>
          <t>Donacor</t>
        </is>
      </c>
      <c r="B1120" s="54" t="inlineStr">
        <is>
          <t>Kit Cabides Veludo De Roupa Cinza/Preto/Bege/Branco Antideslizante Slim Adulto</t>
        </is>
      </c>
      <c r="C1120" s="54" t="inlineStr">
        <is>
          <t>BEGE,100 PEÇAS</t>
        </is>
      </c>
      <c r="D1120" s="54" t="inlineStr">
        <is>
          <t>CABIDE VELUDO-100UN-BEGE</t>
        </is>
      </c>
      <c r="E1120" s="54" t="n">
        <v>22193732225</v>
      </c>
      <c r="F1120" s="54" t="n">
        <v>224281761862</v>
      </c>
      <c r="G1120" s="54" t="inlineStr">
        <is>
          <t>NORMAL</t>
        </is>
      </c>
      <c r="H1120" s="86" t="n">
        <v>239.9</v>
      </c>
      <c r="I1120" s="86" t="n">
        <v>239.9</v>
      </c>
      <c r="J1120" s="69" t="inlineStr">
        <is>
          <t>NÃO</t>
        </is>
      </c>
      <c r="K1120" s="54" t="n"/>
      <c r="L1120" s="87" t="n">
        <v>239.9</v>
      </c>
      <c r="P1120" s="90">
        <f>IF($O1120="","",L1120-O1120-(L1120*IF(L1120&lt;=79.99,20%,14%)+IF(L1120&lt;=79.99,4,IF(L1120&lt;=99.99,16,IF(L1120&lt;=199.99,20,IF(L1120&lt;=499.99,26,28)))))-L1120*1.3%-L1120*6%-(L1120-O1120)*9.25%-L1120*3%-L1120*3%-1)</f>
        <v/>
      </c>
      <c r="Q1120" s="54">
        <f>IF(AND(K1120&lt;&gt;"",H1120&gt;0),(H1120-K1120)/H1120,"")</f>
        <v/>
      </c>
      <c r="R1120" s="54" t="n"/>
      <c r="S1120" s="54" t="n"/>
      <c r="T1120" s="54" t="n"/>
      <c r="U1120" s="54" t="n">
        <v>101253</v>
      </c>
      <c r="W1120" t="inlineStr">
        <is>
          <t>ambíguo: 213999 (62%) vs 214000</t>
        </is>
      </c>
      <c r="X1120" t="n">
        <v>8</v>
      </c>
      <c r="Y1120" t="inlineStr"/>
    </row>
    <row r="1121" ht="18" customHeight="1">
      <c r="A1121" s="60" t="inlineStr">
        <is>
          <t>Donacor</t>
        </is>
      </c>
      <c r="B1121" s="60" t="inlineStr">
        <is>
          <t>Kit Cabides Veludo De Roupa Cinza/Preto/Bege/Branco Antideslizante Slim Adulto</t>
        </is>
      </c>
      <c r="C1121" s="60" t="inlineStr">
        <is>
          <t>BEGE,30 PEÇAS</t>
        </is>
      </c>
      <c r="D1121" s="60" t="inlineStr">
        <is>
          <t>CABIDE VELUDO-30UN-BEGE</t>
        </is>
      </c>
      <c r="E1121" s="60" t="n">
        <v>22193732225</v>
      </c>
      <c r="F1121" s="60" t="n">
        <v>224281761863</v>
      </c>
      <c r="G1121" s="60" t="inlineStr">
        <is>
          <t>NORMAL</t>
        </is>
      </c>
      <c r="H1121" s="91" t="n">
        <v>109.9</v>
      </c>
      <c r="I1121" s="91" t="n">
        <v>109.9</v>
      </c>
      <c r="J1121" s="62" t="inlineStr">
        <is>
          <t>NÃO</t>
        </is>
      </c>
      <c r="K1121" s="60" t="inlineStr">
        <is>
          <t> </t>
        </is>
      </c>
      <c r="L1121" s="87" t="n">
        <v>109.9</v>
      </c>
      <c r="M1121" s="88" t="n">
        <v>30</v>
      </c>
      <c r="N1121" s="89" t="n">
        <v>0.59</v>
      </c>
      <c r="O1121" s="89">
        <f>ROUND(M1121*N1121,2)</f>
        <v/>
      </c>
      <c r="P1121" s="92">
        <f>IF($O1121="","",L1121-O1121-(L1121*IF(L1121&lt;=79.99,20%,14%)+IF(L1121&lt;=79.99,4,IF(L1121&lt;=99.99,16,IF(L1121&lt;=199.99,20,IF(L1121&lt;=499.99,26,28)))))-L1121*1.3%-L1121*6%-(L1121-O1121)*9.25%-L1121*3%-L1121*3%-1)</f>
        <v/>
      </c>
      <c r="Q1121" s="60" t="inlineStr">
        <is>
          <t> </t>
        </is>
      </c>
      <c r="R1121" s="60" t="inlineStr">
        <is>
          <t> </t>
        </is>
      </c>
      <c r="S1121" s="60" t="inlineStr">
        <is>
          <t> </t>
        </is>
      </c>
      <c r="T1121" s="60" t="inlineStr">
        <is>
          <t> </t>
        </is>
      </c>
      <c r="U1121" s="60" t="n">
        <v>101253</v>
      </c>
      <c r="V1121" t="inlineStr">
        <is>
          <t>213999</t>
        </is>
      </c>
      <c r="W1121" t="inlineStr">
        <is>
          <t>venda casada (25 pedidos) · custo do KIT 214011 (30× 213999)</t>
        </is>
      </c>
      <c r="X1121" t="n">
        <v>25</v>
      </c>
      <c r="Y1121" t="inlineStr">
        <is>
          <t>ok</t>
        </is>
      </c>
    </row>
    <row r="1122" ht="18" customHeight="1">
      <c r="A1122" s="54" t="inlineStr">
        <is>
          <t>Donacor</t>
        </is>
      </c>
      <c r="B1122" s="54" t="inlineStr">
        <is>
          <t>Kit Cabides Veludo De Roupa Cinza/Preto/Bege/Branco Antideslizante Slim Adulto</t>
        </is>
      </c>
      <c r="C1122" s="54" t="inlineStr">
        <is>
          <t>BEGE,50 PEÇAS</t>
        </is>
      </c>
      <c r="D1122" s="54" t="inlineStr">
        <is>
          <t>CABIDE VELUDO-50UN-BEGE</t>
        </is>
      </c>
      <c r="E1122" s="54" t="n">
        <v>22193732225</v>
      </c>
      <c r="F1122" s="54" t="n">
        <v>224281761861</v>
      </c>
      <c r="G1122" s="54" t="inlineStr">
        <is>
          <t>NORMAL</t>
        </is>
      </c>
      <c r="H1122" s="86" t="n">
        <v>149.9</v>
      </c>
      <c r="I1122" s="86" t="n">
        <v>149.9</v>
      </c>
      <c r="J1122" s="69" t="inlineStr">
        <is>
          <t>NÃO</t>
        </is>
      </c>
      <c r="K1122" s="54" t="n"/>
      <c r="L1122" s="87" t="n">
        <v>149.9</v>
      </c>
      <c r="P1122" s="90">
        <f>IF($O1122="","",L1122-O1122-(L1122*IF(L1122&lt;=79.99,20%,14%)+IF(L1122&lt;=79.99,4,IF(L1122&lt;=99.99,16,IF(L1122&lt;=199.99,20,IF(L1122&lt;=499.99,26,28)))))-L1122*1.3%-L1122*6%-(L1122-O1122)*9.25%-L1122*3%-L1122*3%-1)</f>
        <v/>
      </c>
      <c r="Q1122" s="54">
        <f>IF(AND(K1122&lt;&gt;"",H1122&gt;0),(H1122-K1122)/H1122,"")</f>
        <v/>
      </c>
      <c r="R1122" s="54" t="n"/>
      <c r="S1122" s="54" t="n"/>
      <c r="T1122" s="54" t="n"/>
      <c r="U1122" s="54" t="n">
        <v>101253</v>
      </c>
      <c r="W1122" t="inlineStr">
        <is>
          <t>ambíguo: 214000 (54%) vs 213999</t>
        </is>
      </c>
      <c r="X1122" t="n">
        <v>13</v>
      </c>
      <c r="Y1122" t="inlineStr"/>
    </row>
    <row r="1123" ht="18" customHeight="1">
      <c r="A1123" s="60" t="inlineStr">
        <is>
          <t>Donacor</t>
        </is>
      </c>
      <c r="B1123" s="60" t="inlineStr">
        <is>
          <t>Kit Cabides Veludo De Roupa Cinza/Preto/Bege/Branco Antideslizante Slim Adulto</t>
        </is>
      </c>
      <c r="C1123" s="60" t="inlineStr">
        <is>
          <t>BRANCO,100 PEÇAS</t>
        </is>
      </c>
      <c r="D1123" s="60" t="inlineStr">
        <is>
          <t>CABIDE VELUDO-100UN-BRANCO</t>
        </is>
      </c>
      <c r="E1123" s="60" t="n">
        <v>22193732225</v>
      </c>
      <c r="F1123" s="60" t="n">
        <v>237865965391</v>
      </c>
      <c r="G1123" s="60" t="inlineStr">
        <is>
          <t>NORMAL</t>
        </is>
      </c>
      <c r="H1123" s="91" t="n">
        <v>239.9</v>
      </c>
      <c r="I1123" s="91" t="n">
        <v>239.9</v>
      </c>
      <c r="J1123" s="62" t="inlineStr">
        <is>
          <t>NÃO</t>
        </is>
      </c>
      <c r="K1123" s="60" t="inlineStr">
        <is>
          <t> </t>
        </is>
      </c>
      <c r="L1123" s="87" t="n">
        <v>239.9</v>
      </c>
      <c r="M1123" s="88" t="n">
        <v>100</v>
      </c>
      <c r="N1123" s="89" t="n">
        <v>0.59</v>
      </c>
      <c r="O1123" s="89">
        <f>ROUND(M1123*N1123,2)</f>
        <v/>
      </c>
      <c r="P1123" s="92">
        <f>IF($O1123="","",L1123-O1123-(L1123*IF(L1123&lt;=79.99,20%,14%)+IF(L1123&lt;=79.99,4,IF(L1123&lt;=99.99,16,IF(L1123&lt;=199.99,20,IF(L1123&lt;=499.99,26,28)))))-L1123*1.3%-L1123*6%-(L1123-O1123)*9.25%-L1123*3%-L1123*3%-1)</f>
        <v/>
      </c>
      <c r="Q1123" s="60" t="inlineStr">
        <is>
          <t> </t>
        </is>
      </c>
      <c r="R1123" s="60" t="inlineStr">
        <is>
          <t> </t>
        </is>
      </c>
      <c r="S1123" s="60" t="inlineStr">
        <is>
          <t> </t>
        </is>
      </c>
      <c r="T1123" s="60" t="inlineStr">
        <is>
          <t> </t>
        </is>
      </c>
      <c r="U1123" s="60" t="n">
        <v>101253</v>
      </c>
      <c r="V1123" t="inlineStr">
        <is>
          <t>214000</t>
        </is>
      </c>
      <c r="W1123" t="inlineStr">
        <is>
          <t>venda casada (25 pedidos) · custo do KIT 214020 (100× 214000)</t>
        </is>
      </c>
      <c r="X1123" t="n">
        <v>25</v>
      </c>
      <c r="Y1123" t="inlineStr">
        <is>
          <t>ok</t>
        </is>
      </c>
    </row>
    <row r="1124" ht="18" customHeight="1">
      <c r="A1124" s="54" t="inlineStr">
        <is>
          <t>Donacor</t>
        </is>
      </c>
      <c r="B1124" s="54" t="inlineStr">
        <is>
          <t>Kit Cabides Veludo De Roupa Cinza/Preto/Bege/Branco Antideslizante Slim Adulto</t>
        </is>
      </c>
      <c r="C1124" s="54" t="inlineStr">
        <is>
          <t>BRANCO,30 PEÇAS</t>
        </is>
      </c>
      <c r="D1124" s="54" t="inlineStr">
        <is>
          <t>CABIDE VELUDO-30UN-BRANCO</t>
        </is>
      </c>
      <c r="E1124" s="54" t="n">
        <v>22193732225</v>
      </c>
      <c r="F1124" s="54" t="n">
        <v>237865965392</v>
      </c>
      <c r="G1124" s="54" t="inlineStr">
        <is>
          <t>NORMAL</t>
        </is>
      </c>
      <c r="H1124" s="86" t="n">
        <v>109.9</v>
      </c>
      <c r="I1124" s="86" t="n">
        <v>109.9</v>
      </c>
      <c r="J1124" s="69" t="inlineStr">
        <is>
          <t>NÃO</t>
        </is>
      </c>
      <c r="K1124" s="54" t="n"/>
      <c r="L1124" s="87" t="n">
        <v>109.9</v>
      </c>
      <c r="M1124" s="88" t="n">
        <v>30</v>
      </c>
      <c r="N1124" s="89" t="n">
        <v>0.59</v>
      </c>
      <c r="O1124" s="89">
        <f>ROUND(M1124*N1124,2)</f>
        <v/>
      </c>
      <c r="P1124" s="90">
        <f>IF($O1124="","",L1124-O1124-(L1124*IF(L1124&lt;=79.99,20%,14%)+IF(L1124&lt;=79.99,4,IF(L1124&lt;=99.99,16,IF(L1124&lt;=199.99,20,IF(L1124&lt;=499.99,26,28)))))-L1124*1.3%-L1124*6%-(L1124-O1124)*9.25%-L1124*3%-L1124*3%-1)</f>
        <v/>
      </c>
      <c r="Q1124" s="54">
        <f>IF(AND(K1124&lt;&gt;"",H1124&gt;0),(H1124-K1124)/H1124,"")</f>
        <v/>
      </c>
      <c r="R1124" s="54" t="n"/>
      <c r="S1124" s="54" t="n"/>
      <c r="T1124" s="54" t="n"/>
      <c r="U1124" s="54" t="n">
        <v>101253</v>
      </c>
      <c r="V1124" t="inlineStr">
        <is>
          <t>214000</t>
        </is>
      </c>
      <c r="W1124" t="inlineStr">
        <is>
          <t>venda casada (24 pedidos) · custo do KIT 214012 (30× 214000)</t>
        </is>
      </c>
      <c r="X1124" t="n">
        <v>24</v>
      </c>
      <c r="Y1124" t="inlineStr">
        <is>
          <t>ok</t>
        </is>
      </c>
    </row>
    <row r="1125" ht="18" customHeight="1">
      <c r="A1125" s="60" t="inlineStr">
        <is>
          <t>Donacor</t>
        </is>
      </c>
      <c r="B1125" s="60" t="inlineStr">
        <is>
          <t>Kit Cabides Veludo De Roupa Cinza/Preto/Bege/Branco Antideslizante Slim Adulto</t>
        </is>
      </c>
      <c r="C1125" s="60" t="inlineStr">
        <is>
          <t>BRANCO,50 PEÇAS</t>
        </is>
      </c>
      <c r="D1125" s="60" t="inlineStr">
        <is>
          <t>CABIDE VELUDO-50UN-BRANCO</t>
        </is>
      </c>
      <c r="E1125" s="60" t="n">
        <v>22193732225</v>
      </c>
      <c r="F1125" s="60" t="n">
        <v>237865965390</v>
      </c>
      <c r="G1125" s="60" t="inlineStr">
        <is>
          <t>NORMAL</t>
        </is>
      </c>
      <c r="H1125" s="91" t="n">
        <v>149.9</v>
      </c>
      <c r="I1125" s="91" t="n">
        <v>149.9</v>
      </c>
      <c r="J1125" s="62" t="inlineStr">
        <is>
          <t>NÃO</t>
        </is>
      </c>
      <c r="K1125" s="60" t="inlineStr">
        <is>
          <t> </t>
        </is>
      </c>
      <c r="L1125" s="87" t="n">
        <v>149.9</v>
      </c>
      <c r="M1125" s="88" t="n">
        <v>50</v>
      </c>
      <c r="N1125" s="89" t="n">
        <v>0.59</v>
      </c>
      <c r="O1125" s="89">
        <f>ROUND(M1125*N1125,2)</f>
        <v/>
      </c>
      <c r="P1125" s="92">
        <f>IF($O1125="","",L1125-O1125-(L1125*IF(L1125&lt;=79.99,20%,14%)+IF(L1125&lt;=79.99,4,IF(L1125&lt;=99.99,16,IF(L1125&lt;=199.99,20,IF(L1125&lt;=499.99,26,28)))))-L1125*1.3%-L1125*6%-(L1125-O1125)*9.25%-L1125*3%-L1125*3%-1)</f>
        <v/>
      </c>
      <c r="Q1125" s="60" t="inlineStr">
        <is>
          <t> </t>
        </is>
      </c>
      <c r="R1125" s="60" t="inlineStr">
        <is>
          <t> </t>
        </is>
      </c>
      <c r="S1125" s="60" t="inlineStr">
        <is>
          <t> </t>
        </is>
      </c>
      <c r="T1125" s="60" t="inlineStr">
        <is>
          <t> </t>
        </is>
      </c>
      <c r="U1125" s="60" t="n">
        <v>101253</v>
      </c>
      <c r="V1125" t="inlineStr">
        <is>
          <t>214000</t>
        </is>
      </c>
      <c r="W1125" t="inlineStr">
        <is>
          <t>venda casada (62 pedidos) · custo do KIT 214016 (50× 214000)</t>
        </is>
      </c>
      <c r="X1125" t="n">
        <v>62</v>
      </c>
      <c r="Y1125" t="inlineStr">
        <is>
          <t>ok</t>
        </is>
      </c>
    </row>
    <row r="1126" ht="18" customHeight="1">
      <c r="A1126" s="54" t="inlineStr">
        <is>
          <t>Donacor</t>
        </is>
      </c>
      <c r="B1126" s="54" t="inlineStr">
        <is>
          <t>Kit Cabides Veludo De Roupa Cinza/Preto/Bege/Branco Antideslizante Slim Adulto</t>
        </is>
      </c>
      <c r="C1126" s="54" t="inlineStr">
        <is>
          <t>CINZA,100 PEÇAS</t>
        </is>
      </c>
      <c r="D1126" s="54" t="inlineStr">
        <is>
          <t>CABIDE VELUDO-100UN-CINZA</t>
        </is>
      </c>
      <c r="E1126" s="54" t="n">
        <v>22193732225</v>
      </c>
      <c r="F1126" s="54" t="n">
        <v>119722643967</v>
      </c>
      <c r="G1126" s="54" t="inlineStr">
        <is>
          <t>NORMAL</t>
        </is>
      </c>
      <c r="H1126" s="86" t="n">
        <v>239.9</v>
      </c>
      <c r="I1126" s="86" t="n">
        <v>134.98</v>
      </c>
      <c r="J1126" s="56" t="inlineStr">
        <is>
          <t>SIM</t>
        </is>
      </c>
      <c r="K1126" s="86" t="n">
        <v>134.98</v>
      </c>
      <c r="L1126" s="87" t="n">
        <v>134.98</v>
      </c>
      <c r="M1126" s="88" t="n">
        <v>100</v>
      </c>
      <c r="N1126" s="89" t="n">
        <v>0.59</v>
      </c>
      <c r="O1126" s="89">
        <f>ROUND(M1126*N1126,2)</f>
        <v/>
      </c>
      <c r="P1126" s="90">
        <f>IF($O1126="","",L1126-O1126-(L1126*IF(L1126&lt;=79.99,20%,14%)+IF(L1126&lt;=79.99,4,IF(L1126&lt;=99.99,16,IF(L1126&lt;=199.99,20,IF(L1126&lt;=499.99,26,28)))))-L1126*1.3%-L1126*6%-(L1126-O1126)*9.25%-L1126*3%-L1126*3%-1)</f>
        <v/>
      </c>
      <c r="Q1126" s="58" t="n">
        <v>0.437</v>
      </c>
      <c r="R1126" s="54" t="inlineStr">
        <is>
          <t>478840979931317, 488524742865093</t>
        </is>
      </c>
      <c r="S1126" s="59" t="n">
        <v>46248</v>
      </c>
      <c r="T1126" s="59" t="n">
        <v>46248.99930555555</v>
      </c>
      <c r="U1126" s="54" t="n">
        <v>101253</v>
      </c>
      <c r="V1126" t="inlineStr">
        <is>
          <t>213998</t>
        </is>
      </c>
      <c r="W1126" t="inlineStr">
        <is>
          <t>venda casada (162 pedidos) · custo do KIT 214018 (100× 213998)</t>
        </is>
      </c>
      <c r="X1126" t="n">
        <v>162</v>
      </c>
      <c r="Y1126" t="inlineStr">
        <is>
          <t>ok</t>
        </is>
      </c>
    </row>
    <row r="1127" ht="18" customHeight="1">
      <c r="A1127" s="60" t="inlineStr">
        <is>
          <t>Donacor</t>
        </is>
      </c>
      <c r="B1127" s="60" t="inlineStr">
        <is>
          <t>Kit Cabides Veludo De Roupa Cinza/Preto/Bege/Branco Antideslizante Slim Adulto</t>
        </is>
      </c>
      <c r="C1127" s="60" t="inlineStr">
        <is>
          <t>CINZA,30 PEÇAS</t>
        </is>
      </c>
      <c r="D1127" s="60" t="inlineStr">
        <is>
          <t>CABIDE VELUDO-30UN-CINZA</t>
        </is>
      </c>
      <c r="E1127" s="60" t="n">
        <v>22193732225</v>
      </c>
      <c r="F1127" s="60" t="n">
        <v>119722643965</v>
      </c>
      <c r="G1127" s="60" t="inlineStr">
        <is>
          <t>NORMAL</t>
        </is>
      </c>
      <c r="H1127" s="91" t="n">
        <v>109.9</v>
      </c>
      <c r="I1127" s="91" t="n">
        <v>44.89</v>
      </c>
      <c r="J1127" s="65" t="inlineStr">
        <is>
          <t>SIM</t>
        </is>
      </c>
      <c r="K1127" s="91" t="n">
        <v>44.89</v>
      </c>
      <c r="L1127" s="87" t="n">
        <v>44.89</v>
      </c>
      <c r="M1127" s="88" t="n">
        <v>30</v>
      </c>
      <c r="N1127" s="89" t="n">
        <v>0.59</v>
      </c>
      <c r="O1127" s="89">
        <f>ROUND(M1127*N1127,2)</f>
        <v/>
      </c>
      <c r="P1127" s="92">
        <f>IF($O1127="","",L1127-O1127-(L1127*IF(L1127&lt;=79.99,20%,14%)+IF(L1127&lt;=79.99,4,IF(L1127&lt;=99.99,16,IF(L1127&lt;=199.99,20,IF(L1127&lt;=499.99,26,28)))))-L1127*1.3%-L1127*6%-(L1127-O1127)*9.25%-L1127*3%-L1127*3%-1)</f>
        <v/>
      </c>
      <c r="Q1127" s="67" t="n">
        <v>0.592</v>
      </c>
      <c r="R1127" s="60" t="n">
        <v>478840979931317</v>
      </c>
      <c r="S1127" s="68" t="n">
        <v>46248</v>
      </c>
      <c r="T1127" s="68" t="n">
        <v>46248.99930555555</v>
      </c>
      <c r="U1127" s="60" t="n">
        <v>101253</v>
      </c>
      <c r="V1127" t="inlineStr">
        <is>
          <t>213998</t>
        </is>
      </c>
      <c r="W1127" t="inlineStr">
        <is>
          <t>venda casada (241 pedidos) · custo do KIT 214010 (30× 213998)</t>
        </is>
      </c>
      <c r="X1127" t="n">
        <v>241</v>
      </c>
      <c r="Y1127" t="inlineStr">
        <is>
          <t>ok</t>
        </is>
      </c>
    </row>
    <row r="1128" ht="18" customHeight="1">
      <c r="A1128" s="54" t="inlineStr">
        <is>
          <t>Donacor</t>
        </is>
      </c>
      <c r="B1128" s="54" t="inlineStr">
        <is>
          <t>Kit Cabides Veludo De Roupa Cinza/Preto/Bege/Branco Antideslizante Slim Adulto</t>
        </is>
      </c>
      <c r="C1128" s="54" t="inlineStr">
        <is>
          <t>CINZA,50 PEÇAS</t>
        </is>
      </c>
      <c r="D1128" s="54" t="inlineStr">
        <is>
          <t>CABIDE VELUDO-50UN-CINZA</t>
        </is>
      </c>
      <c r="E1128" s="54" t="n">
        <v>22193732225</v>
      </c>
      <c r="F1128" s="54" t="n">
        <v>119722643966</v>
      </c>
      <c r="G1128" s="54" t="inlineStr">
        <is>
          <t>NORMAL</t>
        </is>
      </c>
      <c r="H1128" s="86" t="n">
        <v>149.9</v>
      </c>
      <c r="I1128" s="86" t="n">
        <v>62.49</v>
      </c>
      <c r="J1128" s="56" t="inlineStr">
        <is>
          <t>SIM</t>
        </is>
      </c>
      <c r="K1128" s="86" t="n">
        <v>62.49</v>
      </c>
      <c r="L1128" s="87" t="n">
        <v>62.49</v>
      </c>
      <c r="M1128" s="88" t="n">
        <v>50</v>
      </c>
      <c r="N1128" s="89" t="n">
        <v>0.59</v>
      </c>
      <c r="O1128" s="89">
        <f>ROUND(M1128*N1128,2)</f>
        <v/>
      </c>
      <c r="P1128" s="90">
        <f>IF($O1128="","",L1128-O1128-(L1128*IF(L1128&lt;=79.99,20%,14%)+IF(L1128&lt;=79.99,4,IF(L1128&lt;=99.99,16,IF(L1128&lt;=199.99,20,IF(L1128&lt;=499.99,26,28)))))-L1128*1.3%-L1128*6%-(L1128-O1128)*9.25%-L1128*3%-L1128*3%-1)</f>
        <v/>
      </c>
      <c r="Q1128" s="58" t="n">
        <v>0.583</v>
      </c>
      <c r="R1128" s="54" t="inlineStr">
        <is>
          <t>478840979931317, 488524742865093</t>
        </is>
      </c>
      <c r="S1128" s="59" t="n">
        <v>46248</v>
      </c>
      <c r="T1128" s="59" t="n">
        <v>46248.99930555555</v>
      </c>
      <c r="U1128" s="54" t="n">
        <v>101253</v>
      </c>
      <c r="V1128" t="inlineStr">
        <is>
          <t>213998</t>
        </is>
      </c>
      <c r="W1128" t="inlineStr">
        <is>
          <t>venda casada (430 pedidos) · custo do KIT 214014 (50× 213998)</t>
        </is>
      </c>
      <c r="X1128" t="n">
        <v>430</v>
      </c>
      <c r="Y1128" t="inlineStr">
        <is>
          <t>ok</t>
        </is>
      </c>
    </row>
    <row r="1129" ht="18" customHeight="1">
      <c r="A1129" s="60" t="inlineStr">
        <is>
          <t>Donacor</t>
        </is>
      </c>
      <c r="B1129" s="60" t="inlineStr">
        <is>
          <t>Kit Cabides Veludo De Roupa Cinza/Preto/Bege/Branco Antideslizante Slim Adulto</t>
        </is>
      </c>
      <c r="C1129" s="60" t="inlineStr">
        <is>
          <t>PRETO,100 PEÇAS</t>
        </is>
      </c>
      <c r="D1129" s="60" t="inlineStr">
        <is>
          <t>CABIDE VELUDO-100UN-PRETO</t>
        </is>
      </c>
      <c r="E1129" s="60" t="n">
        <v>22193732225</v>
      </c>
      <c r="F1129" s="60" t="n">
        <v>119722643970</v>
      </c>
      <c r="G1129" s="60" t="inlineStr">
        <is>
          <t>NORMAL</t>
        </is>
      </c>
      <c r="H1129" s="91" t="n">
        <v>239.9</v>
      </c>
      <c r="I1129" s="91" t="n">
        <v>134.98</v>
      </c>
      <c r="J1129" s="65" t="inlineStr">
        <is>
          <t>SIM</t>
        </is>
      </c>
      <c r="K1129" s="91" t="n">
        <v>134.98</v>
      </c>
      <c r="L1129" s="87" t="n">
        <v>134.98</v>
      </c>
      <c r="M1129" s="88" t="n">
        <v>100</v>
      </c>
      <c r="N1129" s="89" t="n">
        <v>0.59</v>
      </c>
      <c r="O1129" s="89">
        <f>ROUND(M1129*N1129,2)</f>
        <v/>
      </c>
      <c r="P1129" s="92">
        <f>IF($O1129="","",L1129-O1129-(L1129*IF(L1129&lt;=79.99,20%,14%)+IF(L1129&lt;=79.99,4,IF(L1129&lt;=99.99,16,IF(L1129&lt;=199.99,20,IF(L1129&lt;=499.99,26,28)))))-L1129*1.3%-L1129*6%-(L1129-O1129)*9.25%-L1129*3%-L1129*3%-1)</f>
        <v/>
      </c>
      <c r="Q1129" s="67" t="n">
        <v>0.437</v>
      </c>
      <c r="R1129" s="60" t="inlineStr">
        <is>
          <t>478840979931317, 488524742865093</t>
        </is>
      </c>
      <c r="S1129" s="68" t="n">
        <v>46248</v>
      </c>
      <c r="T1129" s="68" t="n">
        <v>46248.99930555555</v>
      </c>
      <c r="U1129" s="60" t="n">
        <v>101253</v>
      </c>
      <c r="V1129" t="inlineStr">
        <is>
          <t>213997</t>
        </is>
      </c>
      <c r="W1129" t="inlineStr">
        <is>
          <t>venda casada (148 pedidos) · custo do KIT 214017 (100× 213997)</t>
        </is>
      </c>
      <c r="X1129" t="n">
        <v>148</v>
      </c>
      <c r="Y1129" t="inlineStr">
        <is>
          <t>ok</t>
        </is>
      </c>
    </row>
    <row r="1130" ht="18" customHeight="1">
      <c r="A1130" s="54" t="inlineStr">
        <is>
          <t>Donacor</t>
        </is>
      </c>
      <c r="B1130" s="54" t="inlineStr">
        <is>
          <t>Kit Cabides Veludo De Roupa Cinza/Preto/Bege/Branco Antideslizante Slim Adulto</t>
        </is>
      </c>
      <c r="C1130" s="54" t="inlineStr">
        <is>
          <t>PRETO,30 PEÇAS</t>
        </is>
      </c>
      <c r="D1130" s="54" t="inlineStr">
        <is>
          <t>CABIDE VELUDO-30UN-PRETO</t>
        </is>
      </c>
      <c r="E1130" s="54" t="n">
        <v>22193732225</v>
      </c>
      <c r="F1130" s="54" t="n">
        <v>119722643968</v>
      </c>
      <c r="G1130" s="54" t="inlineStr">
        <is>
          <t>NORMAL</t>
        </is>
      </c>
      <c r="H1130" s="86" t="n">
        <v>109.9</v>
      </c>
      <c r="I1130" s="86" t="n">
        <v>44.89</v>
      </c>
      <c r="J1130" s="56" t="inlineStr">
        <is>
          <t>SIM</t>
        </is>
      </c>
      <c r="K1130" s="86" t="n">
        <v>44.89</v>
      </c>
      <c r="L1130" s="87" t="n">
        <v>44.89</v>
      </c>
      <c r="M1130" s="88" t="n">
        <v>30</v>
      </c>
      <c r="N1130" s="89" t="n">
        <v>0.59</v>
      </c>
      <c r="O1130" s="89">
        <f>ROUND(M1130*N1130,2)</f>
        <v/>
      </c>
      <c r="P1130" s="90">
        <f>IF($O1130="","",L1130-O1130-(L1130*IF(L1130&lt;=79.99,20%,14%)+IF(L1130&lt;=79.99,4,IF(L1130&lt;=99.99,16,IF(L1130&lt;=199.99,20,IF(L1130&lt;=499.99,26,28)))))-L1130*1.3%-L1130*6%-(L1130-O1130)*9.25%-L1130*3%-L1130*3%-1)</f>
        <v/>
      </c>
      <c r="Q1130" s="58" t="n">
        <v>0.592</v>
      </c>
      <c r="R1130" s="54" t="n">
        <v>478840979931317</v>
      </c>
      <c r="S1130" s="59" t="n">
        <v>46248</v>
      </c>
      <c r="T1130" s="59" t="n">
        <v>46248.99930555555</v>
      </c>
      <c r="U1130" s="54" t="n">
        <v>101253</v>
      </c>
      <c r="V1130" t="inlineStr">
        <is>
          <t>213997</t>
        </is>
      </c>
      <c r="W1130" t="inlineStr">
        <is>
          <t>venda casada (238 pedidos) · custo do KIT 214009 (30× 213997)</t>
        </is>
      </c>
      <c r="X1130" t="n">
        <v>238</v>
      </c>
      <c r="Y1130" t="inlineStr">
        <is>
          <t>ok</t>
        </is>
      </c>
    </row>
    <row r="1131" ht="18" customHeight="1">
      <c r="A1131" s="60" t="inlineStr">
        <is>
          <t>Donacor</t>
        </is>
      </c>
      <c r="B1131" s="60" t="inlineStr">
        <is>
          <t>Kit Cabides Veludo De Roupa Cinza/Preto/Bege/Branco Antideslizante Slim Adulto</t>
        </is>
      </c>
      <c r="C1131" s="60" t="inlineStr">
        <is>
          <t>PRETO,50 PEÇAS</t>
        </is>
      </c>
      <c r="D1131" s="60" t="inlineStr">
        <is>
          <t>CABIDE VELUDO-50UN-PRETO</t>
        </is>
      </c>
      <c r="E1131" s="60" t="n">
        <v>22193732225</v>
      </c>
      <c r="F1131" s="60" t="n">
        <v>119722643969</v>
      </c>
      <c r="G1131" s="60" t="inlineStr">
        <is>
          <t>NORMAL</t>
        </is>
      </c>
      <c r="H1131" s="91" t="n">
        <v>149.9</v>
      </c>
      <c r="I1131" s="91" t="n">
        <v>62.49</v>
      </c>
      <c r="J1131" s="65" t="inlineStr">
        <is>
          <t>SIM</t>
        </is>
      </c>
      <c r="K1131" s="91" t="n">
        <v>62.49</v>
      </c>
      <c r="L1131" s="87" t="n">
        <v>62.49</v>
      </c>
      <c r="M1131" s="88" t="n">
        <v>50</v>
      </c>
      <c r="N1131" s="89" t="n">
        <v>0.59</v>
      </c>
      <c r="O1131" s="89">
        <f>ROUND(M1131*N1131,2)</f>
        <v/>
      </c>
      <c r="P1131" s="92">
        <f>IF($O1131="","",L1131-O1131-(L1131*IF(L1131&lt;=79.99,20%,14%)+IF(L1131&lt;=79.99,4,IF(L1131&lt;=99.99,16,IF(L1131&lt;=199.99,20,IF(L1131&lt;=499.99,26,28)))))-L1131*1.3%-L1131*6%-(L1131-O1131)*9.25%-L1131*3%-L1131*3%-1)</f>
        <v/>
      </c>
      <c r="Q1131" s="67" t="n">
        <v>0.583</v>
      </c>
      <c r="R1131" s="60" t="inlineStr">
        <is>
          <t>478840979931317, 488524742865093</t>
        </is>
      </c>
      <c r="S1131" s="68" t="n">
        <v>46248</v>
      </c>
      <c r="T1131" s="68" t="n">
        <v>46248.99930555555</v>
      </c>
      <c r="U1131" s="60" t="n">
        <v>101253</v>
      </c>
      <c r="V1131" t="inlineStr">
        <is>
          <t>213997</t>
        </is>
      </c>
      <c r="W1131" t="inlineStr">
        <is>
          <t>venda casada (471 pedidos) · custo do KIT 214013 (50× 213997)</t>
        </is>
      </c>
      <c r="X1131" t="n">
        <v>471</v>
      </c>
      <c r="Y1131" t="inlineStr">
        <is>
          <t>ok</t>
        </is>
      </c>
    </row>
    <row r="1132" ht="18" customHeight="1">
      <c r="A1132" s="54" t="inlineStr">
        <is>
          <t>Donacor</t>
        </is>
      </c>
      <c r="B1132" s="54" t="inlineStr">
        <is>
          <t>Kit Cabides Veludo Para Roupas Adulto 30 Unidades Fino Resistente</t>
        </is>
      </c>
      <c r="C1132" s="54" t="inlineStr">
        <is>
          <t>Bege</t>
        </is>
      </c>
      <c r="D1132" s="54" t="inlineStr">
        <is>
          <t>CABIDE VELUDO-30UN-BEGE</t>
        </is>
      </c>
      <c r="E1132" s="54" t="n">
        <v>23693886568</v>
      </c>
      <c r="F1132" s="54" t="n">
        <v>206113003009</v>
      </c>
      <c r="G1132" s="54" t="inlineStr">
        <is>
          <t>NORMAL</t>
        </is>
      </c>
      <c r="H1132" s="86" t="n">
        <v>99.90000000000001</v>
      </c>
      <c r="I1132" s="86" t="n">
        <v>99.90000000000001</v>
      </c>
      <c r="J1132" s="69" t="inlineStr">
        <is>
          <t>NÃO</t>
        </is>
      </c>
      <c r="K1132" s="54" t="n"/>
      <c r="L1132" s="87" t="n">
        <v>99.90000000000001</v>
      </c>
      <c r="M1132" s="88" t="n">
        <v>30</v>
      </c>
      <c r="N1132" s="89" t="n">
        <v>0.59</v>
      </c>
      <c r="O1132" s="89">
        <f>ROUND(M1132*N1132,2)</f>
        <v/>
      </c>
      <c r="P1132" s="90">
        <f>IF($O1132="","",L1132-O1132-(L1132*IF(L1132&lt;=79.99,20%,14%)+IF(L1132&lt;=79.99,4,IF(L1132&lt;=99.99,16,IF(L1132&lt;=199.99,20,IF(L1132&lt;=499.99,26,28)))))-L1132*1.3%-L1132*6%-(L1132-O1132)*9.25%-L1132*3%-L1132*3%-1)</f>
        <v/>
      </c>
      <c r="Q1132" s="54">
        <f>IF(AND(K1132&lt;&gt;"",H1132&gt;0),(H1132-K1132)/H1132,"")</f>
        <v/>
      </c>
      <c r="R1132" s="54" t="n"/>
      <c r="S1132" s="54" t="n"/>
      <c r="T1132" s="54" t="n"/>
      <c r="U1132" s="54" t="n">
        <v>101253</v>
      </c>
      <c r="V1132" t="inlineStr">
        <is>
          <t>213999</t>
        </is>
      </c>
      <c r="W1132" t="inlineStr">
        <is>
          <t>SKU do de-para · custo do KIT 214011 (30× 213999)</t>
        </is>
      </c>
      <c r="X1132" t="n">
        <v>96</v>
      </c>
      <c r="Y1132" t="inlineStr">
        <is>
          <t>ok</t>
        </is>
      </c>
    </row>
    <row r="1133" ht="18" customHeight="1">
      <c r="A1133" s="60" t="inlineStr">
        <is>
          <t>Donacor</t>
        </is>
      </c>
      <c r="B1133" s="60" t="inlineStr">
        <is>
          <t>Kit Cabides Veludo Para Roupas Adulto 30 Unidades Fino Resistente</t>
        </is>
      </c>
      <c r="C1133" s="60" t="inlineStr">
        <is>
          <t>Branco</t>
        </is>
      </c>
      <c r="D1133" s="60" t="inlineStr">
        <is>
          <t>CABIDE VELUDO-30UN-BRANCO</t>
        </is>
      </c>
      <c r="E1133" s="60" t="n">
        <v>23693886568</v>
      </c>
      <c r="F1133" s="60" t="n">
        <v>206113003010</v>
      </c>
      <c r="G1133" s="60" t="inlineStr">
        <is>
          <t>NORMAL</t>
        </is>
      </c>
      <c r="H1133" s="91" t="n">
        <v>99.90000000000001</v>
      </c>
      <c r="I1133" s="91" t="n">
        <v>99.90000000000001</v>
      </c>
      <c r="J1133" s="62" t="inlineStr">
        <is>
          <t>NÃO</t>
        </is>
      </c>
      <c r="K1133" s="60" t="inlineStr">
        <is>
          <t> </t>
        </is>
      </c>
      <c r="L1133" s="87" t="n">
        <v>99.90000000000001</v>
      </c>
      <c r="M1133" s="88" t="n">
        <v>30</v>
      </c>
      <c r="N1133" s="89" t="n">
        <v>0.59</v>
      </c>
      <c r="O1133" s="89">
        <f>ROUND(M1133*N1133,2)</f>
        <v/>
      </c>
      <c r="P1133" s="92">
        <f>IF($O1133="","",L1133-O1133-(L1133*IF(L1133&lt;=79.99,20%,14%)+IF(L1133&lt;=79.99,4,IF(L1133&lt;=99.99,16,IF(L1133&lt;=199.99,20,IF(L1133&lt;=499.99,26,28)))))-L1133*1.3%-L1133*6%-(L1133-O1133)*9.25%-L1133*3%-L1133*3%-1)</f>
        <v/>
      </c>
      <c r="Q1133" s="60" t="inlineStr">
        <is>
          <t> </t>
        </is>
      </c>
      <c r="R1133" s="60" t="inlineStr">
        <is>
          <t> </t>
        </is>
      </c>
      <c r="S1133" s="60" t="inlineStr">
        <is>
          <t> </t>
        </is>
      </c>
      <c r="T1133" s="60" t="inlineStr">
        <is>
          <t> </t>
        </is>
      </c>
      <c r="U1133" s="60" t="n">
        <v>101253</v>
      </c>
      <c r="V1133" t="inlineStr">
        <is>
          <t>214000</t>
        </is>
      </c>
      <c r="W1133" t="inlineStr">
        <is>
          <t>SKU do de-para · custo do KIT 214012 (30× 214000)</t>
        </is>
      </c>
      <c r="X1133" t="n">
        <v>44</v>
      </c>
      <c r="Y1133" t="inlineStr">
        <is>
          <t>ok</t>
        </is>
      </c>
    </row>
    <row r="1134" ht="18" customHeight="1">
      <c r="A1134" s="54" t="inlineStr">
        <is>
          <t>Donacor</t>
        </is>
      </c>
      <c r="B1134" s="54" t="inlineStr">
        <is>
          <t>Kit Cabides Veludo Para Roupas Adulto 30 Unidades Fino Resistente</t>
        </is>
      </c>
      <c r="C1134" s="54" t="inlineStr">
        <is>
          <t>Cinza</t>
        </is>
      </c>
      <c r="D1134" s="54" t="inlineStr">
        <is>
          <t>CABIDE VELUDO-30UN-CINZA</t>
        </is>
      </c>
      <c r="E1134" s="54" t="n">
        <v>23693886568</v>
      </c>
      <c r="F1134" s="54" t="n">
        <v>198549523600</v>
      </c>
      <c r="G1134" s="54" t="inlineStr">
        <is>
          <t>NORMAL</t>
        </is>
      </c>
      <c r="H1134" s="86" t="n">
        <v>99.90000000000001</v>
      </c>
      <c r="I1134" s="86" t="n">
        <v>44.49</v>
      </c>
      <c r="J1134" s="56" t="inlineStr">
        <is>
          <t>SIM</t>
        </is>
      </c>
      <c r="K1134" s="86" t="n">
        <v>44.49</v>
      </c>
      <c r="L1134" s="87" t="n">
        <v>44.49</v>
      </c>
      <c r="M1134" s="88" t="n">
        <v>30</v>
      </c>
      <c r="N1134" s="89" t="n">
        <v>0.59</v>
      </c>
      <c r="O1134" s="89">
        <f>ROUND(M1134*N1134,2)</f>
        <v/>
      </c>
      <c r="P1134" s="90">
        <f>IF($O1134="","",L1134-O1134-(L1134*IF(L1134&lt;=79.99,20%,14%)+IF(L1134&lt;=79.99,4,IF(L1134&lt;=99.99,16,IF(L1134&lt;=199.99,20,IF(L1134&lt;=499.99,26,28)))))-L1134*1.3%-L1134*6%-(L1134-O1134)*9.25%-L1134*3%-L1134*3%-1)</f>
        <v/>
      </c>
      <c r="Q1134" s="58" t="n">
        <v>0.555</v>
      </c>
      <c r="R1134" s="54" t="n">
        <v>484945860710786</v>
      </c>
      <c r="S1134" s="59" t="n">
        <v>46227.73958333334</v>
      </c>
      <c r="T1134" s="59" t="n">
        <v>46405.45833333334</v>
      </c>
      <c r="U1134" s="54" t="n">
        <v>101253</v>
      </c>
      <c r="V1134" t="inlineStr">
        <is>
          <t>213998</t>
        </is>
      </c>
      <c r="W1134" t="inlineStr">
        <is>
          <t>venda casada (1 pedido) · custo do KIT 214010 (30× 213998)</t>
        </is>
      </c>
      <c r="X1134" t="n">
        <v>1</v>
      </c>
      <c r="Y1134" t="inlineStr">
        <is>
          <t>⚠ evidência fraca (1 pedido)</t>
        </is>
      </c>
    </row>
    <row r="1135" ht="18" customHeight="1">
      <c r="A1135" s="60" t="inlineStr">
        <is>
          <t>Donacor</t>
        </is>
      </c>
      <c r="B1135" s="60" t="inlineStr">
        <is>
          <t>Kit Cabides Veludo Para Roupas Adulto 30 Unidades Fino Resistente</t>
        </is>
      </c>
      <c r="C1135" s="60" t="inlineStr">
        <is>
          <t>KIT 20 CABIDES,Bege</t>
        </is>
      </c>
      <c r="D1135" s="60" t="inlineStr">
        <is>
          <t>CABIDE VELUDO-20UN-BEGE</t>
        </is>
      </c>
      <c r="E1135" s="60" t="n">
        <v>18598129374</v>
      </c>
      <c r="F1135" s="60" t="n">
        <v>295321748332</v>
      </c>
      <c r="G1135" s="60" t="inlineStr">
        <is>
          <t>NORMAL</t>
        </is>
      </c>
      <c r="H1135" s="91" t="n">
        <v>78.90000000000001</v>
      </c>
      <c r="I1135" s="91" t="n">
        <v>78.90000000000001</v>
      </c>
      <c r="J1135" s="62" t="inlineStr">
        <is>
          <t>NÃO</t>
        </is>
      </c>
      <c r="K1135" s="60" t="inlineStr">
        <is>
          <t> </t>
        </is>
      </c>
      <c r="L1135" s="87" t="n">
        <v>78.90000000000001</v>
      </c>
      <c r="P1135" s="92">
        <f>IF($O1135="","",L1135-O1135-(L1135*IF(L1135&lt;=79.99,20%,14%)+IF(L1135&lt;=79.99,4,IF(L1135&lt;=99.99,16,IF(L1135&lt;=199.99,20,IF(L1135&lt;=499.99,26,28)))))-L1135*1.3%-L1135*6%-(L1135-O1135)*9.25%-L1135*3%-L1135*3%-1)</f>
        <v/>
      </c>
      <c r="Q1135" s="60" t="inlineStr">
        <is>
          <t> </t>
        </is>
      </c>
      <c r="R1135" s="60" t="inlineStr">
        <is>
          <t> </t>
        </is>
      </c>
      <c r="S1135" s="60" t="inlineStr">
        <is>
          <t> </t>
        </is>
      </c>
      <c r="T1135" s="60" t="inlineStr">
        <is>
          <t> </t>
        </is>
      </c>
      <c r="U1135" s="60" t="n">
        <v>101253</v>
      </c>
      <c r="W1135" t="inlineStr">
        <is>
          <t>ambíguo: 213999 (62%) vs 214000</t>
        </is>
      </c>
      <c r="X1135" t="n">
        <v>8</v>
      </c>
      <c r="Y1135" t="inlineStr"/>
    </row>
    <row r="1136" ht="18" customHeight="1">
      <c r="A1136" s="54" t="inlineStr">
        <is>
          <t>Donacor</t>
        </is>
      </c>
      <c r="B1136" s="54" t="inlineStr">
        <is>
          <t>Kit Cabides Veludo Para Roupas Adulto 30 Unidades Fino Resistente</t>
        </is>
      </c>
      <c r="C1136" s="54" t="inlineStr">
        <is>
          <t>KIT 20 CABIDES,Branco</t>
        </is>
      </c>
      <c r="D1136" s="54" t="inlineStr">
        <is>
          <t>CABIDE VELUDO-20UN-BRANCO</t>
        </is>
      </c>
      <c r="E1136" s="54" t="n">
        <v>18598129374</v>
      </c>
      <c r="F1136" s="54" t="n">
        <v>295321748333</v>
      </c>
      <c r="G1136" s="54" t="inlineStr">
        <is>
          <t>NORMAL</t>
        </is>
      </c>
      <c r="H1136" s="86" t="n">
        <v>78.90000000000001</v>
      </c>
      <c r="I1136" s="86" t="n">
        <v>78.90000000000001</v>
      </c>
      <c r="J1136" s="69" t="inlineStr">
        <is>
          <t>NÃO</t>
        </is>
      </c>
      <c r="K1136" s="54" t="n"/>
      <c r="L1136" s="87" t="n">
        <v>78.90000000000001</v>
      </c>
      <c r="M1136" s="88" t="n">
        <v>20</v>
      </c>
      <c r="N1136" s="89" t="n">
        <v>0.59</v>
      </c>
      <c r="O1136" s="89">
        <f>ROUND(M1136*N1136,2)</f>
        <v/>
      </c>
      <c r="P1136" s="90">
        <f>IF($O1136="","",L1136-O1136-(L1136*IF(L1136&lt;=79.99,20%,14%)+IF(L1136&lt;=79.99,4,IF(L1136&lt;=99.99,16,IF(L1136&lt;=199.99,20,IF(L1136&lt;=499.99,26,28)))))-L1136*1.3%-L1136*6%-(L1136-O1136)*9.25%-L1136*3%-L1136*3%-1)</f>
        <v/>
      </c>
      <c r="Q1136" s="54">
        <f>IF(AND(K1136&lt;&gt;"",H1136&gt;0),(H1136-K1136)/H1136,"")</f>
        <v/>
      </c>
      <c r="R1136" s="54" t="n"/>
      <c r="S1136" s="54" t="n"/>
      <c r="T1136" s="54" t="n"/>
      <c r="U1136" s="54" t="n">
        <v>101253</v>
      </c>
      <c r="V1136" t="inlineStr">
        <is>
          <t>214000</t>
        </is>
      </c>
      <c r="W1136" t="inlineStr">
        <is>
          <t>venda casada (18 pedidos) · custo do KIT 214008 (20× 214000)</t>
        </is>
      </c>
      <c r="X1136" t="n">
        <v>18</v>
      </c>
      <c r="Y1136" t="inlineStr">
        <is>
          <t>ok</t>
        </is>
      </c>
    </row>
    <row r="1137" ht="18" customHeight="1">
      <c r="A1137" s="60" t="inlineStr">
        <is>
          <t>Donacor</t>
        </is>
      </c>
      <c r="B1137" s="60" t="inlineStr">
        <is>
          <t>Kit Cabides Veludo Para Roupas Adulto 30 Unidades Fino Resistente</t>
        </is>
      </c>
      <c r="C1137" s="60" t="inlineStr">
        <is>
          <t>KIT 20 CABIDES,Cinza</t>
        </is>
      </c>
      <c r="D1137" s="60" t="inlineStr">
        <is>
          <t>CABIDE VELUDO-20UN-CINZA</t>
        </is>
      </c>
      <c r="E1137" s="60" t="n">
        <v>18598129374</v>
      </c>
      <c r="F1137" s="60" t="n">
        <v>295321748331</v>
      </c>
      <c r="G1137" s="60" t="inlineStr">
        <is>
          <t>NORMAL</t>
        </is>
      </c>
      <c r="H1137" s="91" t="n">
        <v>78.90000000000001</v>
      </c>
      <c r="I1137" s="91" t="n">
        <v>34.49</v>
      </c>
      <c r="J1137" s="65" t="inlineStr">
        <is>
          <t>SIM</t>
        </is>
      </c>
      <c r="K1137" s="91" t="n">
        <v>34.49</v>
      </c>
      <c r="L1137" s="87" t="n">
        <v>34.49</v>
      </c>
      <c r="M1137" s="88" t="n">
        <v>20</v>
      </c>
      <c r="N1137" s="89" t="n">
        <v>0.59</v>
      </c>
      <c r="O1137" s="89">
        <f>ROUND(M1137*N1137,2)</f>
        <v/>
      </c>
      <c r="P1137" s="92">
        <f>IF($O1137="","",L1137-O1137-(L1137*IF(L1137&lt;=79.99,20%,14%)+IF(L1137&lt;=79.99,4,IF(L1137&lt;=99.99,16,IF(L1137&lt;=199.99,20,IF(L1137&lt;=499.99,26,28)))))-L1137*1.3%-L1137*6%-(L1137-O1137)*9.25%-L1137*3%-L1137*3%-1)</f>
        <v/>
      </c>
      <c r="Q1137" s="67" t="n">
        <v>0.5629999999999999</v>
      </c>
      <c r="R1137" s="60" t="inlineStr">
        <is>
          <t>478840979931317, 492080438919432</t>
        </is>
      </c>
      <c r="S1137" s="68" t="n">
        <v>46248</v>
      </c>
      <c r="T1137" s="68" t="n">
        <v>46248.99930555555</v>
      </c>
      <c r="U1137" s="60" t="n">
        <v>101253</v>
      </c>
      <c r="V1137" t="inlineStr">
        <is>
          <t>213998</t>
        </is>
      </c>
      <c r="W1137" t="inlineStr">
        <is>
          <t>venda casada (90 pedidos) · custo do KIT 214006 (20× 213998)</t>
        </is>
      </c>
      <c r="X1137" t="n">
        <v>90</v>
      </c>
      <c r="Y1137" t="inlineStr">
        <is>
          <t>ok</t>
        </is>
      </c>
    </row>
    <row r="1138" ht="18" customHeight="1">
      <c r="A1138" s="54" t="inlineStr">
        <is>
          <t>Donacor</t>
        </is>
      </c>
      <c r="B1138" s="54" t="inlineStr">
        <is>
          <t>Kit Cabides Veludo Para Roupas Adulto 30 Unidades Fino Resistente</t>
        </is>
      </c>
      <c r="C1138" s="54" t="inlineStr">
        <is>
          <t>KIT 20 CABIDES,Preto</t>
        </is>
      </c>
      <c r="D1138" s="54" t="inlineStr">
        <is>
          <t>CABIDE VELUDO-20UN-PRETO</t>
        </is>
      </c>
      <c r="E1138" s="54" t="n">
        <v>18598129374</v>
      </c>
      <c r="F1138" s="54" t="n">
        <v>295321748330</v>
      </c>
      <c r="G1138" s="54" t="inlineStr">
        <is>
          <t>NORMAL</t>
        </is>
      </c>
      <c r="H1138" s="86" t="n">
        <v>78.90000000000001</v>
      </c>
      <c r="I1138" s="86" t="n">
        <v>34.49</v>
      </c>
      <c r="J1138" s="56" t="inlineStr">
        <is>
          <t>SIM</t>
        </is>
      </c>
      <c r="K1138" s="86" t="n">
        <v>34.49</v>
      </c>
      <c r="L1138" s="87" t="n">
        <v>34.49</v>
      </c>
      <c r="M1138" s="88" t="n">
        <v>20</v>
      </c>
      <c r="N1138" s="89" t="n">
        <v>0.59</v>
      </c>
      <c r="O1138" s="89">
        <f>ROUND(M1138*N1138,2)</f>
        <v/>
      </c>
      <c r="P1138" s="90">
        <f>IF($O1138="","",L1138-O1138-(L1138*IF(L1138&lt;=79.99,20%,14%)+IF(L1138&lt;=79.99,4,IF(L1138&lt;=99.99,16,IF(L1138&lt;=199.99,20,IF(L1138&lt;=499.99,26,28)))))-L1138*1.3%-L1138*6%-(L1138-O1138)*9.25%-L1138*3%-L1138*3%-1)</f>
        <v/>
      </c>
      <c r="Q1138" s="58" t="n">
        <v>0.5629999999999999</v>
      </c>
      <c r="R1138" s="54" t="inlineStr">
        <is>
          <t>478840979931317, 492080438919432</t>
        </is>
      </c>
      <c r="S1138" s="59" t="n">
        <v>46248</v>
      </c>
      <c r="T1138" s="59" t="n">
        <v>46248.99930555555</v>
      </c>
      <c r="U1138" s="54" t="n">
        <v>101253</v>
      </c>
      <c r="V1138" t="inlineStr">
        <is>
          <t>213997</t>
        </is>
      </c>
      <c r="W1138" t="inlineStr">
        <is>
          <t>venda casada (268 pedidos) · custo do KIT 214005 (20× 213997)</t>
        </is>
      </c>
      <c r="X1138" t="n">
        <v>268</v>
      </c>
      <c r="Y1138" t="inlineStr">
        <is>
          <t>ok</t>
        </is>
      </c>
    </row>
    <row r="1139" ht="18" customHeight="1">
      <c r="A1139" s="60" t="inlineStr">
        <is>
          <t>Donacor</t>
        </is>
      </c>
      <c r="B1139" s="60" t="inlineStr">
        <is>
          <t>Kit Cabides Veludo Para Roupas Adulto 30 Unidades Fino Resistente</t>
        </is>
      </c>
      <c r="C1139" s="60" t="inlineStr">
        <is>
          <t>KIT 30 CABIDES,Bege</t>
        </is>
      </c>
      <c r="D1139" s="60" t="inlineStr">
        <is>
          <t>CABIDE VELUDO-30UN-BEGE</t>
        </is>
      </c>
      <c r="E1139" s="60" t="n">
        <v>18598129374</v>
      </c>
      <c r="F1139" s="60" t="n">
        <v>295321748336</v>
      </c>
      <c r="G1139" s="60" t="inlineStr">
        <is>
          <t>NORMAL</t>
        </is>
      </c>
      <c r="H1139" s="91" t="n">
        <v>99.90000000000001</v>
      </c>
      <c r="I1139" s="91" t="n">
        <v>99.90000000000001</v>
      </c>
      <c r="J1139" s="62" t="inlineStr">
        <is>
          <t>NÃO</t>
        </is>
      </c>
      <c r="K1139" s="60" t="inlineStr">
        <is>
          <t> </t>
        </is>
      </c>
      <c r="L1139" s="87" t="n">
        <v>99.90000000000001</v>
      </c>
      <c r="P1139" s="92">
        <f>IF($O1139="","",L1139-O1139-(L1139*IF(L1139&lt;=79.99,20%,14%)+IF(L1139&lt;=79.99,4,IF(L1139&lt;=99.99,16,IF(L1139&lt;=199.99,20,IF(L1139&lt;=499.99,26,28)))))-L1139*1.3%-L1139*6%-(L1139-O1139)*9.25%-L1139*3%-L1139*3%-1)</f>
        <v/>
      </c>
      <c r="Q1139" s="60" t="inlineStr">
        <is>
          <t> </t>
        </is>
      </c>
      <c r="R1139" s="60" t="inlineStr">
        <is>
          <t> </t>
        </is>
      </c>
      <c r="S1139" s="60" t="inlineStr">
        <is>
          <t> </t>
        </is>
      </c>
      <c r="T1139" s="60" t="inlineStr">
        <is>
          <t> </t>
        </is>
      </c>
      <c r="U1139" s="60" t="n">
        <v>101253</v>
      </c>
      <c r="W1139" t="inlineStr">
        <is>
          <t>ambíguo: 213999 (74%) vs 214000</t>
        </is>
      </c>
      <c r="X1139" t="n">
        <v>31</v>
      </c>
      <c r="Y1139" t="inlineStr"/>
    </row>
    <row r="1140" ht="18" customHeight="1">
      <c r="A1140" s="54" t="inlineStr">
        <is>
          <t>Donacor</t>
        </is>
      </c>
      <c r="B1140" s="54" t="inlineStr">
        <is>
          <t>Kit Cabides Veludo Para Roupas Adulto 30 Unidades Fino Resistente</t>
        </is>
      </c>
      <c r="C1140" s="54" t="inlineStr">
        <is>
          <t>KIT 30 CABIDES,Branco</t>
        </is>
      </c>
      <c r="D1140" s="54" t="inlineStr">
        <is>
          <t>CABIDE VELUDO-30UN-BRANCO</t>
        </is>
      </c>
      <c r="E1140" s="54" t="n">
        <v>18598129374</v>
      </c>
      <c r="F1140" s="54" t="n">
        <v>295321748337</v>
      </c>
      <c r="G1140" s="54" t="inlineStr">
        <is>
          <t>NORMAL</t>
        </is>
      </c>
      <c r="H1140" s="86" t="n">
        <v>99.90000000000001</v>
      </c>
      <c r="I1140" s="86" t="n">
        <v>99.90000000000001</v>
      </c>
      <c r="J1140" s="69" t="inlineStr">
        <is>
          <t>NÃO</t>
        </is>
      </c>
      <c r="K1140" s="54" t="n"/>
      <c r="L1140" s="87" t="n">
        <v>99.90000000000001</v>
      </c>
      <c r="M1140" s="88" t="n">
        <v>30</v>
      </c>
      <c r="N1140" s="89" t="n">
        <v>0.59</v>
      </c>
      <c r="O1140" s="89">
        <f>ROUND(M1140*N1140,2)</f>
        <v/>
      </c>
      <c r="P1140" s="90">
        <f>IF($O1140="","",L1140-O1140-(L1140*IF(L1140&lt;=79.99,20%,14%)+IF(L1140&lt;=79.99,4,IF(L1140&lt;=99.99,16,IF(L1140&lt;=199.99,20,IF(L1140&lt;=499.99,26,28)))))-L1140*1.3%-L1140*6%-(L1140-O1140)*9.25%-L1140*3%-L1140*3%-1)</f>
        <v/>
      </c>
      <c r="Q1140" s="54">
        <f>IF(AND(K1140&lt;&gt;"",H1140&gt;0),(H1140-K1140)/H1140,"")</f>
        <v/>
      </c>
      <c r="R1140" s="54" t="n"/>
      <c r="S1140" s="54" t="n"/>
      <c r="T1140" s="54" t="n"/>
      <c r="U1140" s="54" t="n">
        <v>101253</v>
      </c>
      <c r="V1140" t="inlineStr">
        <is>
          <t>214000</t>
        </is>
      </c>
      <c r="W1140" t="inlineStr">
        <is>
          <t>venda casada (19 pedidos) · custo do KIT 214012 (30× 214000)</t>
        </is>
      </c>
      <c r="X1140" t="n">
        <v>19</v>
      </c>
      <c r="Y1140" t="inlineStr">
        <is>
          <t>ok</t>
        </is>
      </c>
    </row>
    <row r="1141" ht="18" customHeight="1">
      <c r="A1141" s="60" t="inlineStr">
        <is>
          <t>Donacor</t>
        </is>
      </c>
      <c r="B1141" s="60" t="inlineStr">
        <is>
          <t>Kit Cabides Veludo Para Roupas Adulto 30 Unidades Fino Resistente</t>
        </is>
      </c>
      <c r="C1141" s="60" t="inlineStr">
        <is>
          <t>KIT 30 CABIDES,Cinza</t>
        </is>
      </c>
      <c r="D1141" s="60" t="inlineStr">
        <is>
          <t>CABIDE VELUDO-30UN-CINZA</t>
        </is>
      </c>
      <c r="E1141" s="60" t="n">
        <v>18598129374</v>
      </c>
      <c r="F1141" s="60" t="n">
        <v>295321748335</v>
      </c>
      <c r="G1141" s="60" t="inlineStr">
        <is>
          <t>NORMAL</t>
        </is>
      </c>
      <c r="H1141" s="91" t="n">
        <v>99.90000000000001</v>
      </c>
      <c r="I1141" s="91" t="n">
        <v>44.49</v>
      </c>
      <c r="J1141" s="65" t="inlineStr">
        <is>
          <t>SIM</t>
        </is>
      </c>
      <c r="K1141" s="91" t="n">
        <v>44.49</v>
      </c>
      <c r="L1141" s="87" t="n">
        <v>44.49</v>
      </c>
      <c r="M1141" s="88" t="n">
        <v>30</v>
      </c>
      <c r="N1141" s="89" t="n">
        <v>0.59</v>
      </c>
      <c r="O1141" s="89">
        <f>ROUND(M1141*N1141,2)</f>
        <v/>
      </c>
      <c r="P1141" s="92">
        <f>IF($O1141="","",L1141-O1141-(L1141*IF(L1141&lt;=79.99,20%,14%)+IF(L1141&lt;=79.99,4,IF(L1141&lt;=99.99,16,IF(L1141&lt;=199.99,20,IF(L1141&lt;=499.99,26,28)))))-L1141*1.3%-L1141*6%-(L1141-O1141)*9.25%-L1141*3%-L1141*3%-1)</f>
        <v/>
      </c>
      <c r="Q1141" s="67" t="n">
        <v>0.555</v>
      </c>
      <c r="R1141" s="60" t="n">
        <v>484945860710786</v>
      </c>
      <c r="S1141" s="68" t="n">
        <v>46227.73958333334</v>
      </c>
      <c r="T1141" s="68" t="n">
        <v>46405.45833333334</v>
      </c>
      <c r="U1141" s="60" t="n">
        <v>101253</v>
      </c>
      <c r="V1141" t="inlineStr">
        <is>
          <t>213998</t>
        </is>
      </c>
      <c r="W1141" t="inlineStr">
        <is>
          <t>venda casada (105 pedidos) · custo do KIT 214010 (30× 213998)</t>
        </is>
      </c>
      <c r="X1141" t="n">
        <v>105</v>
      </c>
      <c r="Y1141" t="inlineStr">
        <is>
          <t>ok</t>
        </is>
      </c>
    </row>
    <row r="1142" ht="18" customHeight="1">
      <c r="A1142" s="54" t="inlineStr">
        <is>
          <t>Donacor</t>
        </is>
      </c>
      <c r="B1142" s="54" t="inlineStr">
        <is>
          <t>Kit Cabides Veludo Para Roupas Adulto 30 Unidades Fino Resistente</t>
        </is>
      </c>
      <c r="C1142" s="54" t="inlineStr">
        <is>
          <t>KIT 30 CABIDES,Preto</t>
        </is>
      </c>
      <c r="D1142" s="54" t="inlineStr">
        <is>
          <t>CABIDE VELUDO-30UN-PRETO</t>
        </is>
      </c>
      <c r="E1142" s="54" t="n">
        <v>18598129374</v>
      </c>
      <c r="F1142" s="54" t="n">
        <v>295321748334</v>
      </c>
      <c r="G1142" s="54" t="inlineStr">
        <is>
          <t>NORMAL</t>
        </is>
      </c>
      <c r="H1142" s="86" t="n">
        <v>99.90000000000001</v>
      </c>
      <c r="I1142" s="86" t="n">
        <v>44.49</v>
      </c>
      <c r="J1142" s="56" t="inlineStr">
        <is>
          <t>SIM</t>
        </is>
      </c>
      <c r="K1142" s="86" t="n">
        <v>44.49</v>
      </c>
      <c r="L1142" s="87" t="n">
        <v>44.49</v>
      </c>
      <c r="M1142" s="88" t="n">
        <v>30</v>
      </c>
      <c r="N1142" s="89" t="n">
        <v>0.59</v>
      </c>
      <c r="O1142" s="89">
        <f>ROUND(M1142*N1142,2)</f>
        <v/>
      </c>
      <c r="P1142" s="90">
        <f>IF($O1142="","",L1142-O1142-(L1142*IF(L1142&lt;=79.99,20%,14%)+IF(L1142&lt;=79.99,4,IF(L1142&lt;=99.99,16,IF(L1142&lt;=199.99,20,IF(L1142&lt;=499.99,26,28)))))-L1142*1.3%-L1142*6%-(L1142-O1142)*9.25%-L1142*3%-L1142*3%-1)</f>
        <v/>
      </c>
      <c r="Q1142" s="58" t="n">
        <v>0.555</v>
      </c>
      <c r="R1142" s="54" t="n">
        <v>484945860710786</v>
      </c>
      <c r="S1142" s="59" t="n">
        <v>46227.73958333334</v>
      </c>
      <c r="T1142" s="59" t="n">
        <v>46405.45833333334</v>
      </c>
      <c r="U1142" s="54" t="n">
        <v>101253</v>
      </c>
      <c r="V1142" t="inlineStr">
        <is>
          <t>213997</t>
        </is>
      </c>
      <c r="W1142" t="inlineStr">
        <is>
          <t>venda casada (262 pedidos) · custo do KIT 214009 (30× 213997)</t>
        </is>
      </c>
      <c r="X1142" t="n">
        <v>262</v>
      </c>
      <c r="Y1142" t="inlineStr">
        <is>
          <t>ok</t>
        </is>
      </c>
    </row>
    <row r="1143" ht="18" customHeight="1">
      <c r="A1143" s="60" t="inlineStr">
        <is>
          <t>Donacor</t>
        </is>
      </c>
      <c r="B1143" s="60" t="inlineStr">
        <is>
          <t>Kit Cabides Veludo Para Roupas Adulto 30 Unidades Fino Resistente</t>
        </is>
      </c>
      <c r="C1143" s="60" t="inlineStr">
        <is>
          <t>Preto</t>
        </is>
      </c>
      <c r="D1143" s="60" t="inlineStr">
        <is>
          <t>CABIDE VELUDO-30UN-PRETO</t>
        </is>
      </c>
      <c r="E1143" s="60" t="n">
        <v>23693886568</v>
      </c>
      <c r="F1143" s="60" t="n">
        <v>198549523599</v>
      </c>
      <c r="G1143" s="60" t="inlineStr">
        <is>
          <t>NORMAL</t>
        </is>
      </c>
      <c r="H1143" s="91" t="n">
        <v>99.90000000000001</v>
      </c>
      <c r="I1143" s="91" t="n">
        <v>44.49</v>
      </c>
      <c r="J1143" s="65" t="inlineStr">
        <is>
          <t>SIM</t>
        </is>
      </c>
      <c r="K1143" s="91" t="n">
        <v>44.49</v>
      </c>
      <c r="L1143" s="87" t="n">
        <v>44.49</v>
      </c>
      <c r="M1143" s="88" t="n">
        <v>30</v>
      </c>
      <c r="N1143" s="89" t="n">
        <v>0.59</v>
      </c>
      <c r="O1143" s="89">
        <f>ROUND(M1143*N1143,2)</f>
        <v/>
      </c>
      <c r="P1143" s="92">
        <f>IF($O1143="","",L1143-O1143-(L1143*IF(L1143&lt;=79.99,20%,14%)+IF(L1143&lt;=79.99,4,IF(L1143&lt;=99.99,16,IF(L1143&lt;=199.99,20,IF(L1143&lt;=499.99,26,28)))))-L1143*1.3%-L1143*6%-(L1143-O1143)*9.25%-L1143*3%-L1143*3%-1)</f>
        <v/>
      </c>
      <c r="Q1143" s="67" t="n">
        <v>0.555</v>
      </c>
      <c r="R1143" s="60" t="n">
        <v>484945860710786</v>
      </c>
      <c r="S1143" s="68" t="n">
        <v>46227.73958333334</v>
      </c>
      <c r="T1143" s="68" t="n">
        <v>46405.45833333334</v>
      </c>
      <c r="U1143" s="60" t="n">
        <v>101253</v>
      </c>
      <c r="V1143" t="inlineStr">
        <is>
          <t>213997</t>
        </is>
      </c>
      <c r="W1143" t="inlineStr">
        <is>
          <t>venda casada (1 pedido) · custo do KIT 214009 (30× 213997)</t>
        </is>
      </c>
      <c r="X1143" t="n">
        <v>1</v>
      </c>
      <c r="Y1143" t="inlineStr">
        <is>
          <t>⚠ evidência fraca (1 pedido)</t>
        </is>
      </c>
    </row>
    <row r="1144" ht="18" customHeight="1">
      <c r="A1144" s="54" t="inlineStr">
        <is>
          <t>Donacor</t>
        </is>
      </c>
      <c r="B1144" s="54" t="inlineStr">
        <is>
          <t>Kit Com 10 Cuecas Boxer Box Microfibra Sem Costura Original Lupo</t>
        </is>
      </c>
      <c r="C1144" s="54" t="inlineStr">
        <is>
          <t>Multicolor sem Branca,G</t>
        </is>
      </c>
      <c r="D1144" s="54" t="inlineStr">
        <is>
          <t>KIT10-CUECAS-LUPO-BRANCO/PRETO-G</t>
        </is>
      </c>
      <c r="E1144" s="54" t="n">
        <v>22594022799</v>
      </c>
      <c r="F1144" s="54" t="n">
        <v>159546247910</v>
      </c>
      <c r="G1144" s="54" t="inlineStr">
        <is>
          <t>NORMAL</t>
        </is>
      </c>
      <c r="H1144" s="86" t="n">
        <v>269.9</v>
      </c>
      <c r="I1144" s="86" t="n">
        <v>269.9</v>
      </c>
      <c r="J1144" s="69" t="inlineStr">
        <is>
          <t>NÃO</t>
        </is>
      </c>
      <c r="K1144" s="54" t="n"/>
      <c r="L1144" s="87" t="n">
        <v>269.9</v>
      </c>
      <c r="P1144" s="90">
        <f>IF($O1144="","",L1144-O1144-(L1144*IF(L1144&lt;=79.99,20%,14%)+IF(L1144&lt;=79.99,4,IF(L1144&lt;=99.99,16,IF(L1144&lt;=199.99,20,IF(L1144&lt;=499.99,26,28)))))-L1144*1.3%-L1144*6%-(L1144-O1144)*9.25%-L1144*3%-L1144*3%-1)</f>
        <v/>
      </c>
      <c r="Q1144" s="54">
        <f>IF(AND(K1144&lt;&gt;"",H1144&gt;0),(H1144-K1144)/H1144,"")</f>
        <v/>
      </c>
      <c r="R1144" s="54" t="n"/>
      <c r="S1144" s="54" t="n"/>
      <c r="T1144" s="54" t="n"/>
      <c r="U1144" s="54" t="n">
        <v>100247</v>
      </c>
      <c r="W1144" t="inlineStr">
        <is>
          <t>sem correspondência</t>
        </is>
      </c>
      <c r="Y1144" t="inlineStr"/>
    </row>
    <row r="1145" ht="18" customHeight="1">
      <c r="A1145" s="60" t="inlineStr">
        <is>
          <t>Donacor</t>
        </is>
      </c>
      <c r="B1145" s="60" t="inlineStr">
        <is>
          <t>Kit Com 10 Cuecas Boxer Box Microfibra Sem Costura Original Lupo</t>
        </is>
      </c>
      <c r="C1145" s="60" t="inlineStr">
        <is>
          <t>Multicolor sem Branca,GG</t>
        </is>
      </c>
      <c r="D1145" s="60" t="inlineStr">
        <is>
          <t>KIT10-CUECAS-LUPO-BRANCO/PRETO-GG</t>
        </is>
      </c>
      <c r="E1145" s="60" t="n">
        <v>22594022799</v>
      </c>
      <c r="F1145" s="60" t="n">
        <v>159546247911</v>
      </c>
      <c r="G1145" s="60" t="inlineStr">
        <is>
          <t>NORMAL</t>
        </is>
      </c>
      <c r="H1145" s="91" t="n">
        <v>269.9</v>
      </c>
      <c r="I1145" s="91" t="n">
        <v>269.9</v>
      </c>
      <c r="J1145" s="62" t="inlineStr">
        <is>
          <t>NÃO</t>
        </is>
      </c>
      <c r="K1145" s="60" t="inlineStr">
        <is>
          <t> </t>
        </is>
      </c>
      <c r="L1145" s="87" t="n">
        <v>269.9</v>
      </c>
      <c r="P1145" s="92">
        <f>IF($O1145="","",L1145-O1145-(L1145*IF(L1145&lt;=79.99,20%,14%)+IF(L1145&lt;=79.99,4,IF(L1145&lt;=99.99,16,IF(L1145&lt;=199.99,20,IF(L1145&lt;=499.99,26,28)))))-L1145*1.3%-L1145*6%-(L1145-O1145)*9.25%-L1145*3%-L1145*3%-1)</f>
        <v/>
      </c>
      <c r="Q1145" s="60" t="inlineStr">
        <is>
          <t> </t>
        </is>
      </c>
      <c r="R1145" s="60" t="inlineStr">
        <is>
          <t> </t>
        </is>
      </c>
      <c r="S1145" s="60" t="inlineStr">
        <is>
          <t> </t>
        </is>
      </c>
      <c r="T1145" s="60" t="inlineStr">
        <is>
          <t> </t>
        </is>
      </c>
      <c r="U1145" s="60" t="n">
        <v>100247</v>
      </c>
      <c r="W1145" t="inlineStr">
        <is>
          <t>sem correspondência</t>
        </is>
      </c>
      <c r="Y1145" t="inlineStr"/>
    </row>
    <row r="1146" ht="18" customHeight="1">
      <c r="A1146" s="54" t="inlineStr">
        <is>
          <t>Donacor</t>
        </is>
      </c>
      <c r="B1146" s="54" t="inlineStr">
        <is>
          <t>Kit Com 10 Cuecas Boxer Box Microfibra Sem Costura Original Lupo</t>
        </is>
      </c>
      <c r="C1146" s="54" t="inlineStr">
        <is>
          <t>Multicolor sem Branca,M</t>
        </is>
      </c>
      <c r="D1146" s="54" t="inlineStr">
        <is>
          <t>KIT10-CUECAS-LUPO-BRANCO/PRETO-M</t>
        </is>
      </c>
      <c r="E1146" s="54" t="n">
        <v>22594022799</v>
      </c>
      <c r="F1146" s="54" t="n">
        <v>159546247917</v>
      </c>
      <c r="G1146" s="54" t="inlineStr">
        <is>
          <t>NORMAL</t>
        </is>
      </c>
      <c r="H1146" s="86" t="n">
        <v>269.9</v>
      </c>
      <c r="I1146" s="86" t="n">
        <v>269.9</v>
      </c>
      <c r="J1146" s="69" t="inlineStr">
        <is>
          <t>NÃO</t>
        </is>
      </c>
      <c r="K1146" s="54" t="n"/>
      <c r="L1146" s="87" t="n">
        <v>269.9</v>
      </c>
      <c r="P1146" s="90">
        <f>IF($O1146="","",L1146-O1146-(L1146*IF(L1146&lt;=79.99,20%,14%)+IF(L1146&lt;=79.99,4,IF(L1146&lt;=99.99,16,IF(L1146&lt;=199.99,20,IF(L1146&lt;=499.99,26,28)))))-L1146*1.3%-L1146*6%-(L1146-O1146)*9.25%-L1146*3%-L1146*3%-1)</f>
        <v/>
      </c>
      <c r="Q1146" s="54">
        <f>IF(AND(K1146&lt;&gt;"",H1146&gt;0),(H1146-K1146)/H1146,"")</f>
        <v/>
      </c>
      <c r="R1146" s="54" t="n"/>
      <c r="S1146" s="54" t="n"/>
      <c r="T1146" s="54" t="n"/>
      <c r="U1146" s="54" t="n">
        <v>100247</v>
      </c>
      <c r="W1146" t="inlineStr">
        <is>
          <t>sem correspondência</t>
        </is>
      </c>
      <c r="Y1146" t="inlineStr"/>
    </row>
    <row r="1147" ht="18" customHeight="1">
      <c r="A1147" s="60" t="inlineStr">
        <is>
          <t>Donacor</t>
        </is>
      </c>
      <c r="B1147" s="60" t="inlineStr">
        <is>
          <t>Kit Com 10 Cuecas Boxer Box Microfibra Sem Costura Original Lupo</t>
        </is>
      </c>
      <c r="C1147" s="60" t="inlineStr">
        <is>
          <t>Multicolor sem Branca,P</t>
        </is>
      </c>
      <c r="D1147" s="60" t="inlineStr">
        <is>
          <t>KIT10-CUECAS-LUPO-BRANCO/PRETO-P</t>
        </is>
      </c>
      <c r="E1147" s="60" t="n">
        <v>22594022799</v>
      </c>
      <c r="F1147" s="60" t="n">
        <v>159546247916</v>
      </c>
      <c r="G1147" s="60" t="inlineStr">
        <is>
          <t>NORMAL</t>
        </is>
      </c>
      <c r="H1147" s="91" t="n">
        <v>269.9</v>
      </c>
      <c r="I1147" s="91" t="n">
        <v>269.9</v>
      </c>
      <c r="J1147" s="62" t="inlineStr">
        <is>
          <t>NÃO</t>
        </is>
      </c>
      <c r="K1147" s="60" t="inlineStr">
        <is>
          <t> </t>
        </is>
      </c>
      <c r="L1147" s="87" t="n">
        <v>269.9</v>
      </c>
      <c r="P1147" s="92">
        <f>IF($O1147="","",L1147-O1147-(L1147*IF(L1147&lt;=79.99,20%,14%)+IF(L1147&lt;=79.99,4,IF(L1147&lt;=99.99,16,IF(L1147&lt;=199.99,20,IF(L1147&lt;=499.99,26,28)))))-L1147*1.3%-L1147*6%-(L1147-O1147)*9.25%-L1147*3%-L1147*3%-1)</f>
        <v/>
      </c>
      <c r="Q1147" s="60" t="inlineStr">
        <is>
          <t> </t>
        </is>
      </c>
      <c r="R1147" s="60" t="inlineStr">
        <is>
          <t> </t>
        </is>
      </c>
      <c r="S1147" s="60" t="inlineStr">
        <is>
          <t> </t>
        </is>
      </c>
      <c r="T1147" s="60" t="inlineStr">
        <is>
          <t> </t>
        </is>
      </c>
      <c r="U1147" s="60" t="n">
        <v>100247</v>
      </c>
      <c r="W1147" t="inlineStr">
        <is>
          <t>sem correspondência</t>
        </is>
      </c>
      <c r="Y1147" t="inlineStr"/>
    </row>
    <row r="1148" ht="18" customHeight="1">
      <c r="A1148" s="54" t="inlineStr">
        <is>
          <t>Donacor</t>
        </is>
      </c>
      <c r="B1148" s="54" t="inlineStr">
        <is>
          <t>Kit Com 10 Cuecas Boxer Box Microfibra Sem Costura Original Lupo</t>
        </is>
      </c>
      <c r="C1148" s="54" t="inlineStr">
        <is>
          <t>Multicolor,G</t>
        </is>
      </c>
      <c r="D1148" s="54" t="inlineStr">
        <is>
          <t>KIT10-CUECAS-LUPO-AZUL/PRETO-G</t>
        </is>
      </c>
      <c r="E1148" s="54" t="n">
        <v>22594022799</v>
      </c>
      <c r="F1148" s="54" t="n">
        <v>159546247914</v>
      </c>
      <c r="G1148" s="54" t="inlineStr">
        <is>
          <t>NORMAL</t>
        </is>
      </c>
      <c r="H1148" s="86" t="n">
        <v>269.9</v>
      </c>
      <c r="I1148" s="86" t="n">
        <v>269.9</v>
      </c>
      <c r="J1148" s="69" t="inlineStr">
        <is>
          <t>NÃO</t>
        </is>
      </c>
      <c r="K1148" s="54" t="n"/>
      <c r="L1148" s="87" t="n">
        <v>269.9</v>
      </c>
      <c r="P1148" s="90">
        <f>IF($O1148="","",L1148-O1148-(L1148*IF(L1148&lt;=79.99,20%,14%)+IF(L1148&lt;=79.99,4,IF(L1148&lt;=99.99,16,IF(L1148&lt;=199.99,20,IF(L1148&lt;=499.99,26,28)))))-L1148*1.3%-L1148*6%-(L1148-O1148)*9.25%-L1148*3%-L1148*3%-1)</f>
        <v/>
      </c>
      <c r="Q1148" s="54">
        <f>IF(AND(K1148&lt;&gt;"",H1148&gt;0),(H1148-K1148)/H1148,"")</f>
        <v/>
      </c>
      <c r="R1148" s="54" t="n"/>
      <c r="S1148" s="54" t="n"/>
      <c r="T1148" s="54" t="n"/>
      <c r="U1148" s="54" t="n">
        <v>100247</v>
      </c>
      <c r="W1148" t="inlineStr">
        <is>
          <t>sem correspondência</t>
        </is>
      </c>
      <c r="Y1148" t="inlineStr"/>
    </row>
    <row r="1149" ht="18" customHeight="1">
      <c r="A1149" s="60" t="inlineStr">
        <is>
          <t>Donacor</t>
        </is>
      </c>
      <c r="B1149" s="60" t="inlineStr">
        <is>
          <t>Kit Com 10 Cuecas Boxer Box Microfibra Sem Costura Original Lupo</t>
        </is>
      </c>
      <c r="C1149" s="60" t="inlineStr">
        <is>
          <t>Multicolor,GG</t>
        </is>
      </c>
      <c r="D1149" s="60" t="inlineStr">
        <is>
          <t>KIT10-CUECAS-LUPO-AZUL/PRETO-GG</t>
        </is>
      </c>
      <c r="E1149" s="60" t="n">
        <v>22594022799</v>
      </c>
      <c r="F1149" s="60" t="n">
        <v>159546247915</v>
      </c>
      <c r="G1149" s="60" t="inlineStr">
        <is>
          <t>NORMAL</t>
        </is>
      </c>
      <c r="H1149" s="91" t="n">
        <v>269.9</v>
      </c>
      <c r="I1149" s="91" t="n">
        <v>269.9</v>
      </c>
      <c r="J1149" s="62" t="inlineStr">
        <is>
          <t>NÃO</t>
        </is>
      </c>
      <c r="K1149" s="60" t="inlineStr">
        <is>
          <t> </t>
        </is>
      </c>
      <c r="L1149" s="87" t="n">
        <v>269.9</v>
      </c>
      <c r="P1149" s="92">
        <f>IF($O1149="","",L1149-O1149-(L1149*IF(L1149&lt;=79.99,20%,14%)+IF(L1149&lt;=79.99,4,IF(L1149&lt;=99.99,16,IF(L1149&lt;=199.99,20,IF(L1149&lt;=499.99,26,28)))))-L1149*1.3%-L1149*6%-(L1149-O1149)*9.25%-L1149*3%-L1149*3%-1)</f>
        <v/>
      </c>
      <c r="Q1149" s="60" t="inlineStr">
        <is>
          <t> </t>
        </is>
      </c>
      <c r="R1149" s="60" t="inlineStr">
        <is>
          <t> </t>
        </is>
      </c>
      <c r="S1149" s="60" t="inlineStr">
        <is>
          <t> </t>
        </is>
      </c>
      <c r="T1149" s="60" t="inlineStr">
        <is>
          <t> </t>
        </is>
      </c>
      <c r="U1149" s="60" t="n">
        <v>100247</v>
      </c>
      <c r="W1149" t="inlineStr">
        <is>
          <t>sem correspondência</t>
        </is>
      </c>
      <c r="Y1149" t="inlineStr"/>
    </row>
    <row r="1150" ht="18" customHeight="1">
      <c r="A1150" s="54" t="inlineStr">
        <is>
          <t>Donacor</t>
        </is>
      </c>
      <c r="B1150" s="54" t="inlineStr">
        <is>
          <t>Kit Com 10 Cuecas Boxer Box Microfibra Sem Costura Original Lupo</t>
        </is>
      </c>
      <c r="C1150" s="54" t="inlineStr">
        <is>
          <t>Multicolor,M</t>
        </is>
      </c>
      <c r="D1150" s="54" t="inlineStr">
        <is>
          <t>KIT10-CUECAS-LUPO-AZUL/PRETO-M</t>
        </is>
      </c>
      <c r="E1150" s="54" t="n">
        <v>22594022799</v>
      </c>
      <c r="F1150" s="54" t="n">
        <v>159546247913</v>
      </c>
      <c r="G1150" s="54" t="inlineStr">
        <is>
          <t>NORMAL</t>
        </is>
      </c>
      <c r="H1150" s="86" t="n">
        <v>269.9</v>
      </c>
      <c r="I1150" s="86" t="n">
        <v>269.9</v>
      </c>
      <c r="J1150" s="69" t="inlineStr">
        <is>
          <t>NÃO</t>
        </is>
      </c>
      <c r="K1150" s="54" t="n"/>
      <c r="L1150" s="87" t="n">
        <v>269.9</v>
      </c>
      <c r="P1150" s="90">
        <f>IF($O1150="","",L1150-O1150-(L1150*IF(L1150&lt;=79.99,20%,14%)+IF(L1150&lt;=79.99,4,IF(L1150&lt;=99.99,16,IF(L1150&lt;=199.99,20,IF(L1150&lt;=499.99,26,28)))))-L1150*1.3%-L1150*6%-(L1150-O1150)*9.25%-L1150*3%-L1150*3%-1)</f>
        <v/>
      </c>
      <c r="Q1150" s="54">
        <f>IF(AND(K1150&lt;&gt;"",H1150&gt;0),(H1150-K1150)/H1150,"")</f>
        <v/>
      </c>
      <c r="R1150" s="54" t="n"/>
      <c r="S1150" s="54" t="n"/>
      <c r="T1150" s="54" t="n"/>
      <c r="U1150" s="54" t="n">
        <v>100247</v>
      </c>
      <c r="W1150" t="inlineStr">
        <is>
          <t>sem correspondência</t>
        </is>
      </c>
      <c r="Y1150" t="inlineStr"/>
    </row>
    <row r="1151" ht="18" customHeight="1">
      <c r="A1151" s="60" t="inlineStr">
        <is>
          <t>Donacor</t>
        </is>
      </c>
      <c r="B1151" s="60" t="inlineStr">
        <is>
          <t>Kit Com 10 Cuecas Boxer Box Microfibra Sem Costura Original Lupo</t>
        </is>
      </c>
      <c r="C1151" s="60" t="inlineStr">
        <is>
          <t>Multicolor,P</t>
        </is>
      </c>
      <c r="D1151" s="60" t="inlineStr">
        <is>
          <t>KIT10-CUECAS-LUPO-AZUL/PRETO-P</t>
        </is>
      </c>
      <c r="E1151" s="60" t="n">
        <v>22594022799</v>
      </c>
      <c r="F1151" s="60" t="n">
        <v>159546247912</v>
      </c>
      <c r="G1151" s="60" t="inlineStr">
        <is>
          <t>NORMAL</t>
        </is>
      </c>
      <c r="H1151" s="91" t="n">
        <v>269.9</v>
      </c>
      <c r="I1151" s="91" t="n">
        <v>269.9</v>
      </c>
      <c r="J1151" s="62" t="inlineStr">
        <is>
          <t>NÃO</t>
        </is>
      </c>
      <c r="K1151" s="60" t="inlineStr">
        <is>
          <t> </t>
        </is>
      </c>
      <c r="L1151" s="87" t="n">
        <v>269.9</v>
      </c>
      <c r="P1151" s="92">
        <f>IF($O1151="","",L1151-O1151-(L1151*IF(L1151&lt;=79.99,20%,14%)+IF(L1151&lt;=79.99,4,IF(L1151&lt;=99.99,16,IF(L1151&lt;=199.99,20,IF(L1151&lt;=499.99,26,28)))))-L1151*1.3%-L1151*6%-(L1151-O1151)*9.25%-L1151*3%-L1151*3%-1)</f>
        <v/>
      </c>
      <c r="Q1151" s="60" t="inlineStr">
        <is>
          <t> </t>
        </is>
      </c>
      <c r="R1151" s="60" t="inlineStr">
        <is>
          <t> </t>
        </is>
      </c>
      <c r="S1151" s="60" t="inlineStr">
        <is>
          <t> </t>
        </is>
      </c>
      <c r="T1151" s="60" t="inlineStr">
        <is>
          <t> </t>
        </is>
      </c>
      <c r="U1151" s="60" t="n">
        <v>100247</v>
      </c>
      <c r="W1151" t="inlineStr">
        <is>
          <t>sem correspondência</t>
        </is>
      </c>
      <c r="Y1151" t="inlineStr"/>
    </row>
    <row r="1152" ht="18" customHeight="1">
      <c r="A1152" s="54" t="inlineStr">
        <is>
          <t>Donacor</t>
        </is>
      </c>
      <c r="B1152" s="54" t="inlineStr">
        <is>
          <t>Kit Com 10 Cuecas Boxer Box Microfibra Sem Costura Original Lupo</t>
        </is>
      </c>
      <c r="C1152" s="54" t="inlineStr">
        <is>
          <t>PRETO/AZUL ESCURO,G</t>
        </is>
      </c>
      <c r="D1152" s="54" t="inlineStr">
        <is>
          <t>KIT10-CUECAS-S/COSTURA-PRETO/AZUL-G</t>
        </is>
      </c>
      <c r="E1152" s="54" t="n">
        <v>55152657269</v>
      </c>
      <c r="F1152" s="54" t="n">
        <v>400256050299</v>
      </c>
      <c r="G1152" s="54" t="inlineStr">
        <is>
          <t>NORMAL</t>
        </is>
      </c>
      <c r="H1152" s="86" t="n">
        <v>299.9</v>
      </c>
      <c r="I1152" s="86" t="n">
        <v>299.9</v>
      </c>
      <c r="J1152" s="69" t="inlineStr">
        <is>
          <t>NÃO</t>
        </is>
      </c>
      <c r="K1152" s="54" t="n"/>
      <c r="L1152" s="87" t="n">
        <v>299.9</v>
      </c>
      <c r="P1152" s="90">
        <f>IF($O1152="","",L1152-O1152-(L1152*IF(L1152&lt;=79.99,20%,14%)+IF(L1152&lt;=79.99,4,IF(L1152&lt;=99.99,16,IF(L1152&lt;=199.99,20,IF(L1152&lt;=499.99,26,28)))))-L1152*1.3%-L1152*6%-(L1152-O1152)*9.25%-L1152*3%-L1152*3%-1)</f>
        <v/>
      </c>
      <c r="Q1152" s="54">
        <f>IF(AND(K1152&lt;&gt;"",H1152&gt;0),(H1152-K1152)/H1152,"")</f>
        <v/>
      </c>
      <c r="R1152" s="54" t="n"/>
      <c r="S1152" s="54" t="n"/>
      <c r="T1152" s="54" t="n"/>
      <c r="U1152" s="54" t="n">
        <v>100247</v>
      </c>
      <c r="V1152" t="inlineStr">
        <is>
          <t>KIT10-CUECAS-S/COSTURA-PRETO/AZUL-G</t>
        </is>
      </c>
      <c r="W1152" t="inlineStr">
        <is>
          <t>SKU idêntico na Olist · CUSTO ZERADO na Olist (conferido hoje)</t>
        </is>
      </c>
      <c r="Y1152" t="inlineStr">
        <is>
          <t>ok</t>
        </is>
      </c>
    </row>
    <row r="1153" ht="18" customHeight="1">
      <c r="A1153" s="60" t="inlineStr">
        <is>
          <t>Donacor</t>
        </is>
      </c>
      <c r="B1153" s="60" t="inlineStr">
        <is>
          <t>Kit Com 10 Cuecas Boxer Box Microfibra Sem Costura Original Lupo</t>
        </is>
      </c>
      <c r="C1153" s="60" t="inlineStr">
        <is>
          <t>PRETO/AZUL ESCURO,GG</t>
        </is>
      </c>
      <c r="D1153" s="60" t="inlineStr">
        <is>
          <t>KIT10-CUECAS-S/COSTURA-PRETO/AZUL-GG</t>
        </is>
      </c>
      <c r="E1153" s="60" t="n">
        <v>55152657269</v>
      </c>
      <c r="F1153" s="60" t="n">
        <v>400256050300</v>
      </c>
      <c r="G1153" s="60" t="inlineStr">
        <is>
          <t>NORMAL</t>
        </is>
      </c>
      <c r="H1153" s="91" t="n">
        <v>299.9</v>
      </c>
      <c r="I1153" s="91" t="n">
        <v>299.9</v>
      </c>
      <c r="J1153" s="62" t="inlineStr">
        <is>
          <t>NÃO</t>
        </is>
      </c>
      <c r="K1153" s="60" t="inlineStr">
        <is>
          <t> </t>
        </is>
      </c>
      <c r="L1153" s="87" t="n">
        <v>299.9</v>
      </c>
      <c r="P1153" s="92">
        <f>IF($O1153="","",L1153-O1153-(L1153*IF(L1153&lt;=79.99,20%,14%)+IF(L1153&lt;=79.99,4,IF(L1153&lt;=99.99,16,IF(L1153&lt;=199.99,20,IF(L1153&lt;=499.99,26,28)))))-L1153*1.3%-L1153*6%-(L1153-O1153)*9.25%-L1153*3%-L1153*3%-1)</f>
        <v/>
      </c>
      <c r="Q1153" s="60" t="inlineStr">
        <is>
          <t> </t>
        </is>
      </c>
      <c r="R1153" s="60" t="inlineStr">
        <is>
          <t> </t>
        </is>
      </c>
      <c r="S1153" s="60" t="inlineStr">
        <is>
          <t> </t>
        </is>
      </c>
      <c r="T1153" s="60" t="inlineStr">
        <is>
          <t> </t>
        </is>
      </c>
      <c r="U1153" s="60" t="n">
        <v>100247</v>
      </c>
      <c r="W1153" t="inlineStr">
        <is>
          <t>sem correspondência</t>
        </is>
      </c>
      <c r="Y1153" t="inlineStr"/>
    </row>
    <row r="1154" ht="18" customHeight="1">
      <c r="A1154" s="54" t="inlineStr">
        <is>
          <t>Donacor</t>
        </is>
      </c>
      <c r="B1154" s="54" t="inlineStr">
        <is>
          <t>Kit Com 10 Cuecas Boxer Box Microfibra Sem Costura Original Lupo</t>
        </is>
      </c>
      <c r="C1154" s="54" t="inlineStr">
        <is>
          <t>PRETO/AZUL ESCURO,M</t>
        </is>
      </c>
      <c r="D1154" s="54" t="inlineStr">
        <is>
          <t>KIT10-CUECAS-S/COSTURA-PRETO/AZUL-M</t>
        </is>
      </c>
      <c r="E1154" s="54" t="n">
        <v>55152657269</v>
      </c>
      <c r="F1154" s="54" t="n">
        <v>400256050298</v>
      </c>
      <c r="G1154" s="54" t="inlineStr">
        <is>
          <t>NORMAL</t>
        </is>
      </c>
      <c r="H1154" s="86" t="n">
        <v>299.9</v>
      </c>
      <c r="I1154" s="86" t="n">
        <v>216.9</v>
      </c>
      <c r="J1154" s="56" t="inlineStr">
        <is>
          <t>SIM</t>
        </is>
      </c>
      <c r="K1154" s="86" t="n">
        <v>216.9</v>
      </c>
      <c r="L1154" s="87" t="n">
        <v>216.9</v>
      </c>
      <c r="M1154" s="88" t="n">
        <v>5</v>
      </c>
      <c r="N1154" s="89" t="n">
        <v>35.5</v>
      </c>
      <c r="O1154" s="89">
        <f>ROUND(M1154*N1154,2)</f>
        <v/>
      </c>
      <c r="P1154" s="90">
        <f>IF($O1154="","",L1154-O1154-(L1154*IF(L1154&lt;=79.99,20%,14%)+IF(L1154&lt;=79.99,4,IF(L1154&lt;=99.99,16,IF(L1154&lt;=199.99,20,IF(L1154&lt;=499.99,26,28)))))-L1154*1.3%-L1154*6%-(L1154-O1154)*9.25%-L1154*3%-L1154*3%-1)</f>
        <v/>
      </c>
      <c r="Q1154" s="58" t="n">
        <v>0.277</v>
      </c>
      <c r="R1154" s="54" t="n">
        <v>484945860710786</v>
      </c>
      <c r="S1154" s="59" t="n">
        <v>46227.73958333334</v>
      </c>
      <c r="T1154" s="59" t="n">
        <v>46405.45833333334</v>
      </c>
      <c r="U1154" s="54" t="n">
        <v>100247</v>
      </c>
      <c r="V1154" t="inlineStr">
        <is>
          <t>214563</t>
        </is>
      </c>
      <c r="W1154" t="inlineStr">
        <is>
          <t>venda casada (10 pedidos) · custo do KIT 214574 (5× 214563)</t>
        </is>
      </c>
      <c r="X1154" t="n">
        <v>10</v>
      </c>
      <c r="Y1154" t="inlineStr">
        <is>
          <t>ok</t>
        </is>
      </c>
    </row>
    <row r="1155" ht="18" customHeight="1">
      <c r="A1155" s="60" t="inlineStr">
        <is>
          <t>Donacor</t>
        </is>
      </c>
      <c r="B1155" s="60" t="inlineStr">
        <is>
          <t>Kit Com 10 Cuecas Boxer Box Microfibra Sem Costura Original Lupo</t>
        </is>
      </c>
      <c r="C1155" s="60" t="inlineStr">
        <is>
          <t>PRETO/AZUL ESCURO,P</t>
        </is>
      </c>
      <c r="D1155" s="60" t="inlineStr">
        <is>
          <t>KIT10-CUECAS-S/COSTURA-PRETO/AZUL-P</t>
        </is>
      </c>
      <c r="E1155" s="60" t="n">
        <v>55152657269</v>
      </c>
      <c r="F1155" s="60" t="n">
        <v>400256050297</v>
      </c>
      <c r="G1155" s="60" t="inlineStr">
        <is>
          <t>NORMAL</t>
        </is>
      </c>
      <c r="H1155" s="91" t="n">
        <v>299.9</v>
      </c>
      <c r="I1155" s="91" t="n">
        <v>216.9</v>
      </c>
      <c r="J1155" s="65" t="inlineStr">
        <is>
          <t>SIM</t>
        </is>
      </c>
      <c r="K1155" s="91" t="n">
        <v>216.9</v>
      </c>
      <c r="L1155" s="87" t="n">
        <v>216.9</v>
      </c>
      <c r="M1155" s="88" t="n">
        <v>5</v>
      </c>
      <c r="N1155" s="89" t="n">
        <v>35.5</v>
      </c>
      <c r="O1155" s="89">
        <f>ROUND(M1155*N1155,2)</f>
        <v/>
      </c>
      <c r="P1155" s="92">
        <f>IF($O1155="","",L1155-O1155-(L1155*IF(L1155&lt;=79.99,20%,14%)+IF(L1155&lt;=79.99,4,IF(L1155&lt;=99.99,16,IF(L1155&lt;=199.99,20,IF(L1155&lt;=499.99,26,28)))))-L1155*1.3%-L1155*6%-(L1155-O1155)*9.25%-L1155*3%-L1155*3%-1)</f>
        <v/>
      </c>
      <c r="Q1155" s="67" t="n">
        <v>0.277</v>
      </c>
      <c r="R1155" s="60" t="n">
        <v>484945860710786</v>
      </c>
      <c r="S1155" s="68" t="n">
        <v>46227.73958333334</v>
      </c>
      <c r="T1155" s="68" t="n">
        <v>46405.45833333334</v>
      </c>
      <c r="U1155" s="60" t="n">
        <v>100247</v>
      </c>
      <c r="V1155" t="inlineStr">
        <is>
          <t>214562</t>
        </is>
      </c>
      <c r="W1155" t="inlineStr">
        <is>
          <t>venda casada (7 pedidos) · custo do KIT 214570 (5× 214562)</t>
        </is>
      </c>
      <c r="X1155" t="n">
        <v>7</v>
      </c>
      <c r="Y1155" t="inlineStr">
        <is>
          <t>ok</t>
        </is>
      </c>
    </row>
    <row r="1156" ht="18" customHeight="1">
      <c r="A1156" s="54" t="inlineStr">
        <is>
          <t>Donacor</t>
        </is>
      </c>
      <c r="B1156" s="54" t="inlineStr">
        <is>
          <t>Kit Com 10 Cuecas Boxer Box Microfibra Sem Costura Original Lupo</t>
        </is>
      </c>
      <c r="C1156" s="54" t="inlineStr">
        <is>
          <t>PRETO/AZUL NÁUTICO,G</t>
        </is>
      </c>
      <c r="D1156" s="54" t="inlineStr">
        <is>
          <t>KIT10-CUECAS-S/COSTURA-PRETO/AZUL-NAUTICO-G</t>
        </is>
      </c>
      <c r="E1156" s="54" t="n">
        <v>55152657269</v>
      </c>
      <c r="F1156" s="54" t="n">
        <v>400256050307</v>
      </c>
      <c r="G1156" s="54" t="inlineStr">
        <is>
          <t>NORMAL</t>
        </is>
      </c>
      <c r="H1156" s="86" t="n">
        <v>299.9</v>
      </c>
      <c r="I1156" s="86" t="n">
        <v>299.9</v>
      </c>
      <c r="J1156" s="69" t="inlineStr">
        <is>
          <t>NÃO</t>
        </is>
      </c>
      <c r="K1156" s="54" t="n"/>
      <c r="L1156" s="87" t="n">
        <v>299.9</v>
      </c>
      <c r="M1156" s="88" t="n">
        <v>5</v>
      </c>
      <c r="N1156" s="89" t="n">
        <v>35.5</v>
      </c>
      <c r="O1156" s="89">
        <f>ROUND(M1156*N1156,2)</f>
        <v/>
      </c>
      <c r="P1156" s="90">
        <f>IF($O1156="","",L1156-O1156-(L1156*IF(L1156&lt;=79.99,20%,14%)+IF(L1156&lt;=79.99,4,IF(L1156&lt;=99.99,16,IF(L1156&lt;=199.99,20,IF(L1156&lt;=499.99,26,28)))))-L1156*1.3%-L1156*6%-(L1156-O1156)*9.25%-L1156*3%-L1156*3%-1)</f>
        <v/>
      </c>
      <c r="Q1156" s="54">
        <f>IF(AND(K1156&lt;&gt;"",H1156&gt;0),(H1156-K1156)/H1156,"")</f>
        <v/>
      </c>
      <c r="R1156" s="54" t="n"/>
      <c r="S1156" s="54" t="n"/>
      <c r="T1156" s="54" t="n"/>
      <c r="U1156" s="54" t="n">
        <v>100247</v>
      </c>
      <c r="V1156" t="inlineStr">
        <is>
          <t>214556</t>
        </is>
      </c>
      <c r="W1156" t="inlineStr">
        <is>
          <t>venda casada (2 pedidos) · custo do KIT 214576 (5× 214556)</t>
        </is>
      </c>
      <c r="X1156" t="n">
        <v>2</v>
      </c>
      <c r="Y1156" t="inlineStr">
        <is>
          <t>ok</t>
        </is>
      </c>
    </row>
    <row r="1157" ht="18" customHeight="1">
      <c r="A1157" s="60" t="inlineStr">
        <is>
          <t>Donacor</t>
        </is>
      </c>
      <c r="B1157" s="60" t="inlineStr">
        <is>
          <t>Kit Com 10 Cuecas Boxer Box Microfibra Sem Costura Original Lupo</t>
        </is>
      </c>
      <c r="C1157" s="60" t="inlineStr">
        <is>
          <t>PRETO/AZUL NÁUTICO,GG</t>
        </is>
      </c>
      <c r="D1157" s="60" t="inlineStr">
        <is>
          <t>KIT10-CUECAS-S/COSTURA-PRETO/AZUL-NAUTICO-GG</t>
        </is>
      </c>
      <c r="E1157" s="60" t="n">
        <v>55152657269</v>
      </c>
      <c r="F1157" s="60" t="n">
        <v>400256050308</v>
      </c>
      <c r="G1157" s="60" t="inlineStr">
        <is>
          <t>NORMAL</t>
        </is>
      </c>
      <c r="H1157" s="91" t="n">
        <v>299.9</v>
      </c>
      <c r="I1157" s="91" t="n">
        <v>299.9</v>
      </c>
      <c r="J1157" s="62" t="inlineStr">
        <is>
          <t>NÃO</t>
        </is>
      </c>
      <c r="K1157" s="60" t="inlineStr">
        <is>
          <t> </t>
        </is>
      </c>
      <c r="L1157" s="87" t="n">
        <v>299.9</v>
      </c>
      <c r="P1157" s="92">
        <f>IF($O1157="","",L1157-O1157-(L1157*IF(L1157&lt;=79.99,20%,14%)+IF(L1157&lt;=79.99,4,IF(L1157&lt;=99.99,16,IF(L1157&lt;=199.99,20,IF(L1157&lt;=499.99,26,28)))))-L1157*1.3%-L1157*6%-(L1157-O1157)*9.25%-L1157*3%-L1157*3%-1)</f>
        <v/>
      </c>
      <c r="Q1157" s="60" t="inlineStr">
        <is>
          <t> </t>
        </is>
      </c>
      <c r="R1157" s="60" t="inlineStr">
        <is>
          <t> </t>
        </is>
      </c>
      <c r="S1157" s="60" t="inlineStr">
        <is>
          <t> </t>
        </is>
      </c>
      <c r="T1157" s="60" t="inlineStr">
        <is>
          <t> </t>
        </is>
      </c>
      <c r="U1157" s="60" t="n">
        <v>100247</v>
      </c>
      <c r="V1157" t="inlineStr">
        <is>
          <t>KIT10-CUECAS-S/COSTURA-PRETO/AZUL-NAUTICO-GG</t>
        </is>
      </c>
      <c r="W1157" t="inlineStr">
        <is>
          <t>SKU idêntico na Olist · CUSTO ZERADO na Olist (conferido hoje)</t>
        </is>
      </c>
      <c r="Y1157" t="inlineStr">
        <is>
          <t>ok</t>
        </is>
      </c>
    </row>
    <row r="1158" ht="18" customHeight="1">
      <c r="A1158" s="54" t="inlineStr">
        <is>
          <t>Donacor</t>
        </is>
      </c>
      <c r="B1158" s="54" t="inlineStr">
        <is>
          <t>Kit Com 10 Cuecas Boxer Box Microfibra Sem Costura Original Lupo</t>
        </is>
      </c>
      <c r="C1158" s="54" t="inlineStr">
        <is>
          <t>PRETO/AZUL NÁUTICO,M</t>
        </is>
      </c>
      <c r="D1158" s="54" t="inlineStr">
        <is>
          <t>KIT10-CUECAS-S/COSTURA-PRETO/AZUL-NAUTICO-M</t>
        </is>
      </c>
      <c r="E1158" s="54" t="n">
        <v>55152657269</v>
      </c>
      <c r="F1158" s="54" t="n">
        <v>400256050306</v>
      </c>
      <c r="G1158" s="54" t="inlineStr">
        <is>
          <t>NORMAL</t>
        </is>
      </c>
      <c r="H1158" s="86" t="n">
        <v>299.9</v>
      </c>
      <c r="I1158" s="86" t="n">
        <v>299.9</v>
      </c>
      <c r="J1158" s="69" t="inlineStr">
        <is>
          <t>NÃO</t>
        </is>
      </c>
      <c r="K1158" s="54" t="n"/>
      <c r="L1158" s="87" t="n">
        <v>299.9</v>
      </c>
      <c r="P1158" s="90">
        <f>IF($O1158="","",L1158-O1158-(L1158*IF(L1158&lt;=79.99,20%,14%)+IF(L1158&lt;=79.99,4,IF(L1158&lt;=99.99,16,IF(L1158&lt;=199.99,20,IF(L1158&lt;=499.99,26,28)))))-L1158*1.3%-L1158*6%-(L1158-O1158)*9.25%-L1158*3%-L1158*3%-1)</f>
        <v/>
      </c>
      <c r="Q1158" s="54">
        <f>IF(AND(K1158&lt;&gt;"",H1158&gt;0),(H1158-K1158)/H1158,"")</f>
        <v/>
      </c>
      <c r="R1158" s="54" t="n"/>
      <c r="S1158" s="54" t="n"/>
      <c r="T1158" s="54" t="n"/>
      <c r="U1158" s="54" t="n">
        <v>100247</v>
      </c>
      <c r="W1158" t="inlineStr">
        <is>
          <t>sem correspondência</t>
        </is>
      </c>
      <c r="Y1158" t="inlineStr"/>
    </row>
    <row r="1159" ht="18" customHeight="1">
      <c r="A1159" s="60" t="inlineStr">
        <is>
          <t>Donacor</t>
        </is>
      </c>
      <c r="B1159" s="60" t="inlineStr">
        <is>
          <t>Kit Com 10 Cuecas Boxer Box Microfibra Sem Costura Original Lupo</t>
        </is>
      </c>
      <c r="C1159" s="60" t="inlineStr">
        <is>
          <t>PRETO/AZUL NÁUTICO,P</t>
        </is>
      </c>
      <c r="D1159" s="60" t="inlineStr">
        <is>
          <t>KIT10-CUECAS-S/COSTURA-PRETO/AZUL-NAUTICO-P</t>
        </is>
      </c>
      <c r="E1159" s="60" t="n">
        <v>55152657269</v>
      </c>
      <c r="F1159" s="60" t="n">
        <v>400256050305</v>
      </c>
      <c r="G1159" s="60" t="inlineStr">
        <is>
          <t>NORMAL</t>
        </is>
      </c>
      <c r="H1159" s="91" t="n">
        <v>299.9</v>
      </c>
      <c r="I1159" s="91" t="n">
        <v>299.9</v>
      </c>
      <c r="J1159" s="62" t="inlineStr">
        <is>
          <t>NÃO</t>
        </is>
      </c>
      <c r="K1159" s="60" t="inlineStr">
        <is>
          <t> </t>
        </is>
      </c>
      <c r="L1159" s="87" t="n">
        <v>299.9</v>
      </c>
      <c r="P1159" s="92">
        <f>IF($O1159="","",L1159-O1159-(L1159*IF(L1159&lt;=79.99,20%,14%)+IF(L1159&lt;=79.99,4,IF(L1159&lt;=99.99,16,IF(L1159&lt;=199.99,20,IF(L1159&lt;=499.99,26,28)))))-L1159*1.3%-L1159*6%-(L1159-O1159)*9.25%-L1159*3%-L1159*3%-1)</f>
        <v/>
      </c>
      <c r="Q1159" s="60" t="inlineStr">
        <is>
          <t> </t>
        </is>
      </c>
      <c r="R1159" s="60" t="inlineStr">
        <is>
          <t> </t>
        </is>
      </c>
      <c r="S1159" s="60" t="inlineStr">
        <is>
          <t> </t>
        </is>
      </c>
      <c r="T1159" s="60" t="inlineStr">
        <is>
          <t> </t>
        </is>
      </c>
      <c r="U1159" s="60" t="n">
        <v>100247</v>
      </c>
      <c r="W1159" t="inlineStr">
        <is>
          <t>sem correspondência</t>
        </is>
      </c>
      <c r="Y1159" t="inlineStr"/>
    </row>
    <row r="1160" ht="18" customHeight="1">
      <c r="A1160" s="54" t="inlineStr">
        <is>
          <t>Donacor</t>
        </is>
      </c>
      <c r="B1160" s="54" t="inlineStr">
        <is>
          <t>Kit Com 10 Cuecas Boxer Box Microfibra Sem Costura Original Lupo</t>
        </is>
      </c>
      <c r="C1160" s="54" t="inlineStr">
        <is>
          <t>PRETO/BRANCO,G</t>
        </is>
      </c>
      <c r="D1160" s="54" t="inlineStr">
        <is>
          <t>KIT10-CUECAS-S/COSTURA-PRETO/BRANCO-G</t>
        </is>
      </c>
      <c r="E1160" s="54" t="n">
        <v>55152657269</v>
      </c>
      <c r="F1160" s="54" t="n">
        <v>400256050295</v>
      </c>
      <c r="G1160" s="54" t="inlineStr">
        <is>
          <t>NORMAL</t>
        </is>
      </c>
      <c r="H1160" s="86" t="n">
        <v>299.9</v>
      </c>
      <c r="I1160" s="86" t="n">
        <v>299.9</v>
      </c>
      <c r="J1160" s="69" t="inlineStr">
        <is>
          <t>NÃO</t>
        </is>
      </c>
      <c r="K1160" s="54" t="n"/>
      <c r="L1160" s="87" t="n">
        <v>299.9</v>
      </c>
      <c r="M1160" s="88" t="n">
        <v>5</v>
      </c>
      <c r="N1160" s="89" t="n">
        <v>35.5</v>
      </c>
      <c r="O1160" s="89">
        <f>ROUND(M1160*N1160,2)</f>
        <v/>
      </c>
      <c r="P1160" s="90">
        <f>IF($O1160="","",L1160-O1160-(L1160*IF(L1160&lt;=79.99,20%,14%)+IF(L1160&lt;=79.99,4,IF(L1160&lt;=99.99,16,IF(L1160&lt;=199.99,20,IF(L1160&lt;=499.99,26,28)))))-L1160*1.3%-L1160*6%-(L1160-O1160)*9.25%-L1160*3%-L1160*3%-1)</f>
        <v/>
      </c>
      <c r="Q1160" s="54">
        <f>IF(AND(K1160&lt;&gt;"",H1160&gt;0),(H1160-K1160)/H1160,"")</f>
        <v/>
      </c>
      <c r="R1160" s="54" t="n"/>
      <c r="S1160" s="54" t="n"/>
      <c r="T1160" s="54" t="n"/>
      <c r="U1160" s="54" t="n">
        <v>100247</v>
      </c>
      <c r="V1160" t="inlineStr">
        <is>
          <t>214552</t>
        </is>
      </c>
      <c r="W1160" t="inlineStr">
        <is>
          <t>venda casada (1 pedido) · custo do KIT 214575 (5× 214552)</t>
        </is>
      </c>
      <c r="X1160" t="n">
        <v>1</v>
      </c>
      <c r="Y1160" t="inlineStr">
        <is>
          <t>⚠ evidência fraca (1 pedido)</t>
        </is>
      </c>
    </row>
    <row r="1161" ht="18" customHeight="1">
      <c r="A1161" s="60" t="inlineStr">
        <is>
          <t>Donacor</t>
        </is>
      </c>
      <c r="B1161" s="60" t="inlineStr">
        <is>
          <t>Kit Com 10 Cuecas Boxer Box Microfibra Sem Costura Original Lupo</t>
        </is>
      </c>
      <c r="C1161" s="60" t="inlineStr">
        <is>
          <t>PRETO/BRANCO,GG</t>
        </is>
      </c>
      <c r="D1161" s="60" t="inlineStr">
        <is>
          <t>KIT10-CUECAS-S/COSTURA-PRETO/BRANCO-GG</t>
        </is>
      </c>
      <c r="E1161" s="60" t="n">
        <v>55152657269</v>
      </c>
      <c r="F1161" s="60" t="n">
        <v>400256050296</v>
      </c>
      <c r="G1161" s="60" t="inlineStr">
        <is>
          <t>NORMAL</t>
        </is>
      </c>
      <c r="H1161" s="91" t="n">
        <v>299.9</v>
      </c>
      <c r="I1161" s="91" t="n">
        <v>299.9</v>
      </c>
      <c r="J1161" s="62" t="inlineStr">
        <is>
          <t>NÃO</t>
        </is>
      </c>
      <c r="K1161" s="60" t="inlineStr">
        <is>
          <t> </t>
        </is>
      </c>
      <c r="L1161" s="87" t="n">
        <v>299.9</v>
      </c>
      <c r="M1161" s="88" t="n">
        <v>5</v>
      </c>
      <c r="N1161" s="89" t="n">
        <v>35.5</v>
      </c>
      <c r="O1161" s="89">
        <f>ROUND(M1161*N1161,2)</f>
        <v/>
      </c>
      <c r="P1161" s="92">
        <f>IF($O1161="","",L1161-O1161-(L1161*IF(L1161&lt;=79.99,20%,14%)+IF(L1161&lt;=79.99,4,IF(L1161&lt;=99.99,16,IF(L1161&lt;=199.99,20,IF(L1161&lt;=499.99,26,28)))))-L1161*1.3%-L1161*6%-(L1161-O1161)*9.25%-L1161*3%-L1161*3%-1)</f>
        <v/>
      </c>
      <c r="Q1161" s="60" t="inlineStr">
        <is>
          <t> </t>
        </is>
      </c>
      <c r="R1161" s="60" t="inlineStr">
        <is>
          <t> </t>
        </is>
      </c>
      <c r="S1161" s="60" t="inlineStr">
        <is>
          <t> </t>
        </is>
      </c>
      <c r="T1161" s="60" t="inlineStr">
        <is>
          <t> </t>
        </is>
      </c>
      <c r="U1161" s="60" t="n">
        <v>100247</v>
      </c>
      <c r="V1161" t="inlineStr">
        <is>
          <t>214553</t>
        </is>
      </c>
      <c r="W1161" t="inlineStr">
        <is>
          <t>venda casada (1 pedido) · custo do KIT 214579 (5× 214553)</t>
        </is>
      </c>
      <c r="X1161" t="n">
        <v>1</v>
      </c>
      <c r="Y1161" t="inlineStr">
        <is>
          <t>⚠ evidência fraca (1 pedido)</t>
        </is>
      </c>
    </row>
    <row r="1162" ht="18" customHeight="1">
      <c r="A1162" s="54" t="inlineStr">
        <is>
          <t>Donacor</t>
        </is>
      </c>
      <c r="B1162" s="54" t="inlineStr">
        <is>
          <t>Kit Com 10 Cuecas Boxer Box Microfibra Sem Costura Original Lupo</t>
        </is>
      </c>
      <c r="C1162" s="54" t="inlineStr">
        <is>
          <t>PRETO/BRANCO,M</t>
        </is>
      </c>
      <c r="D1162" s="54" t="inlineStr">
        <is>
          <t>KIT10-CUECAS-S/COSTURA-PRETO/BRANCO-M</t>
        </is>
      </c>
      <c r="E1162" s="54" t="n">
        <v>55152657269</v>
      </c>
      <c r="F1162" s="54" t="n">
        <v>400256050294</v>
      </c>
      <c r="G1162" s="54" t="inlineStr">
        <is>
          <t>NORMAL</t>
        </is>
      </c>
      <c r="H1162" s="86" t="n">
        <v>299.9</v>
      </c>
      <c r="I1162" s="86" t="n">
        <v>299.9</v>
      </c>
      <c r="J1162" s="69" t="inlineStr">
        <is>
          <t>NÃO</t>
        </is>
      </c>
      <c r="K1162" s="54" t="n"/>
      <c r="L1162" s="87" t="n">
        <v>299.9</v>
      </c>
      <c r="M1162" s="88" t="n">
        <v>5</v>
      </c>
      <c r="N1162" s="89" t="n">
        <v>35.5</v>
      </c>
      <c r="O1162" s="89">
        <f>ROUND(M1162*N1162,2)</f>
        <v/>
      </c>
      <c r="P1162" s="90">
        <f>IF($O1162="","",L1162-O1162-(L1162*IF(L1162&lt;=79.99,20%,14%)+IF(L1162&lt;=79.99,4,IF(L1162&lt;=99.99,16,IF(L1162&lt;=199.99,20,IF(L1162&lt;=499.99,26,28)))))-L1162*1.3%-L1162*6%-(L1162-O1162)*9.25%-L1162*3%-L1162*3%-1)</f>
        <v/>
      </c>
      <c r="Q1162" s="54">
        <f>IF(AND(K1162&lt;&gt;"",H1162&gt;0),(H1162-K1162)/H1162,"")</f>
        <v/>
      </c>
      <c r="R1162" s="54" t="n"/>
      <c r="S1162" s="54" t="n"/>
      <c r="T1162" s="54" t="n"/>
      <c r="U1162" s="54" t="n">
        <v>100247</v>
      </c>
      <c r="V1162" t="inlineStr">
        <is>
          <t>214551</t>
        </is>
      </c>
      <c r="W1162" t="inlineStr">
        <is>
          <t>venda casada (4 pedidos) · custo do KIT 214571 (5× 214551)</t>
        </is>
      </c>
      <c r="X1162" t="n">
        <v>4</v>
      </c>
      <c r="Y1162" t="inlineStr">
        <is>
          <t>ok</t>
        </is>
      </c>
    </row>
    <row r="1163" ht="18" customHeight="1">
      <c r="A1163" s="60" t="inlineStr">
        <is>
          <t>Donacor</t>
        </is>
      </c>
      <c r="B1163" s="60" t="inlineStr">
        <is>
          <t>Kit Com 10 Cuecas Boxer Box Microfibra Sem Costura Original Lupo</t>
        </is>
      </c>
      <c r="C1163" s="60" t="inlineStr">
        <is>
          <t>PRETO/BRANCO,P</t>
        </is>
      </c>
      <c r="D1163" s="60" t="inlineStr">
        <is>
          <t>KIT10-CUECAS-S/COSTURA-PRETO/BRANCO-P</t>
        </is>
      </c>
      <c r="E1163" s="60" t="n">
        <v>55152657269</v>
      </c>
      <c r="F1163" s="60" t="n">
        <v>400256050293</v>
      </c>
      <c r="G1163" s="60" t="inlineStr">
        <is>
          <t>NORMAL</t>
        </is>
      </c>
      <c r="H1163" s="91" t="n">
        <v>299.9</v>
      </c>
      <c r="I1163" s="91" t="n">
        <v>299.9</v>
      </c>
      <c r="J1163" s="62" t="inlineStr">
        <is>
          <t>NÃO</t>
        </is>
      </c>
      <c r="K1163" s="60" t="inlineStr">
        <is>
          <t> </t>
        </is>
      </c>
      <c r="L1163" s="87" t="n">
        <v>299.9</v>
      </c>
      <c r="P1163" s="92">
        <f>IF($O1163="","",L1163-O1163-(L1163*IF(L1163&lt;=79.99,20%,14%)+IF(L1163&lt;=79.99,4,IF(L1163&lt;=99.99,16,IF(L1163&lt;=199.99,20,IF(L1163&lt;=499.99,26,28)))))-L1163*1.3%-L1163*6%-(L1163-O1163)*9.25%-L1163*3%-L1163*3%-1)</f>
        <v/>
      </c>
      <c r="Q1163" s="60" t="inlineStr">
        <is>
          <t> </t>
        </is>
      </c>
      <c r="R1163" s="60" t="inlineStr">
        <is>
          <t> </t>
        </is>
      </c>
      <c r="S1163" s="60" t="inlineStr">
        <is>
          <t> </t>
        </is>
      </c>
      <c r="T1163" s="60" t="inlineStr">
        <is>
          <t> </t>
        </is>
      </c>
      <c r="U1163" s="60" t="n">
        <v>100247</v>
      </c>
      <c r="V1163" t="inlineStr">
        <is>
          <t>KIT10-CUECAS-S/COSTURA-PRETO/BRANCO-P</t>
        </is>
      </c>
      <c r="W1163" t="inlineStr">
        <is>
          <t>SKU idêntico na Olist · CUSTO ZERADO na Olist (conferido hoje)</t>
        </is>
      </c>
      <c r="Y1163" t="inlineStr">
        <is>
          <t>ok</t>
        </is>
      </c>
    </row>
    <row r="1164" ht="18" customHeight="1">
      <c r="A1164" s="54" t="inlineStr">
        <is>
          <t>Donacor</t>
        </is>
      </c>
      <c r="B1164" s="54" t="inlineStr">
        <is>
          <t>Kit Com 10 Cuecas Boxer Box Microfibra Sem Costura Original Lupo</t>
        </is>
      </c>
      <c r="C1164" s="54" t="inlineStr">
        <is>
          <t>PRETO/VINHO,G</t>
        </is>
      </c>
      <c r="D1164" s="54" t="inlineStr">
        <is>
          <t>KIT10-CUECAS-S/COSTURA-PRETO/VINHO-G</t>
        </is>
      </c>
      <c r="E1164" s="54" t="n">
        <v>55152657269</v>
      </c>
      <c r="F1164" s="54" t="n">
        <v>400256050303</v>
      </c>
      <c r="G1164" s="54" t="inlineStr">
        <is>
          <t>NORMAL</t>
        </is>
      </c>
      <c r="H1164" s="86" t="n">
        <v>299.9</v>
      </c>
      <c r="I1164" s="86" t="n">
        <v>216.9</v>
      </c>
      <c r="J1164" s="56" t="inlineStr">
        <is>
          <t>SIM</t>
        </is>
      </c>
      <c r="K1164" s="86" t="n">
        <v>216.9</v>
      </c>
      <c r="L1164" s="87" t="n">
        <v>216.9</v>
      </c>
      <c r="M1164" s="88" t="n">
        <v>5</v>
      </c>
      <c r="N1164" s="89" t="n">
        <v>35.5</v>
      </c>
      <c r="O1164" s="89">
        <f>ROUND(M1164*N1164,2)</f>
        <v/>
      </c>
      <c r="P1164" s="90">
        <f>IF($O1164="","",L1164-O1164-(L1164*IF(L1164&lt;=79.99,20%,14%)+IF(L1164&lt;=79.99,4,IF(L1164&lt;=99.99,16,IF(L1164&lt;=199.99,20,IF(L1164&lt;=499.99,26,28)))))-L1164*1.3%-L1164*6%-(L1164-O1164)*9.25%-L1164*3%-L1164*3%-1)</f>
        <v/>
      </c>
      <c r="Q1164" s="58" t="n">
        <v>0.277</v>
      </c>
      <c r="R1164" s="54" t="n">
        <v>484945860710786</v>
      </c>
      <c r="S1164" s="59" t="n">
        <v>46227.73958333334</v>
      </c>
      <c r="T1164" s="59" t="n">
        <v>46405.45833333334</v>
      </c>
      <c r="U1164" s="54" t="n">
        <v>100247</v>
      </c>
      <c r="V1164" t="inlineStr">
        <is>
          <t>214560</t>
        </is>
      </c>
      <c r="W1164" t="inlineStr">
        <is>
          <t>venda casada (6 pedidos) · custo do KIT 214577 (5× 214560)</t>
        </is>
      </c>
      <c r="X1164" t="n">
        <v>6</v>
      </c>
      <c r="Y1164" t="inlineStr">
        <is>
          <t>ok</t>
        </is>
      </c>
    </row>
    <row r="1165" ht="18" customHeight="1">
      <c r="A1165" s="60" t="inlineStr">
        <is>
          <t>Donacor</t>
        </is>
      </c>
      <c r="B1165" s="60" t="inlineStr">
        <is>
          <t>Kit Com 10 Cuecas Boxer Box Microfibra Sem Costura Original Lupo</t>
        </is>
      </c>
      <c r="C1165" s="60" t="inlineStr">
        <is>
          <t>PRETO/VINHO,GG</t>
        </is>
      </c>
      <c r="D1165" s="60" t="inlineStr">
        <is>
          <t>KIT10-CUECAS-S/COSTURA-PRETO/VINHO-GG</t>
        </is>
      </c>
      <c r="E1165" s="60" t="n">
        <v>55152657269</v>
      </c>
      <c r="F1165" s="60" t="n">
        <v>400256050304</v>
      </c>
      <c r="G1165" s="60" t="inlineStr">
        <is>
          <t>NORMAL</t>
        </is>
      </c>
      <c r="H1165" s="91" t="n">
        <v>299.9</v>
      </c>
      <c r="I1165" s="91" t="n">
        <v>299.9</v>
      </c>
      <c r="J1165" s="62" t="inlineStr">
        <is>
          <t>NÃO</t>
        </is>
      </c>
      <c r="K1165" s="60" t="inlineStr">
        <is>
          <t> </t>
        </is>
      </c>
      <c r="L1165" s="87" t="n">
        <v>299.9</v>
      </c>
      <c r="P1165" s="92">
        <f>IF($O1165="","",L1165-O1165-(L1165*IF(L1165&lt;=79.99,20%,14%)+IF(L1165&lt;=79.99,4,IF(L1165&lt;=99.99,16,IF(L1165&lt;=199.99,20,IF(L1165&lt;=499.99,26,28)))))-L1165*1.3%-L1165*6%-(L1165-O1165)*9.25%-L1165*3%-L1165*3%-1)</f>
        <v/>
      </c>
      <c r="Q1165" s="60" t="inlineStr">
        <is>
          <t> </t>
        </is>
      </c>
      <c r="R1165" s="60" t="inlineStr">
        <is>
          <t> </t>
        </is>
      </c>
      <c r="S1165" s="60" t="inlineStr">
        <is>
          <t> </t>
        </is>
      </c>
      <c r="T1165" s="60" t="inlineStr">
        <is>
          <t> </t>
        </is>
      </c>
      <c r="U1165" s="60" t="n">
        <v>100247</v>
      </c>
      <c r="W1165" t="inlineStr">
        <is>
          <t>sem correspondência</t>
        </is>
      </c>
      <c r="Y1165" t="inlineStr"/>
    </row>
    <row r="1166" ht="18" customHeight="1">
      <c r="A1166" s="54" t="inlineStr">
        <is>
          <t>Donacor</t>
        </is>
      </c>
      <c r="B1166" s="54" t="inlineStr">
        <is>
          <t>Kit Com 10 Cuecas Boxer Box Microfibra Sem Costura Original Lupo</t>
        </is>
      </c>
      <c r="C1166" s="54" t="inlineStr">
        <is>
          <t>PRETO/VINHO,M</t>
        </is>
      </c>
      <c r="D1166" s="54" t="inlineStr">
        <is>
          <t>KIT10-CUECAS-S/COSTURA-PRETO/VINHO-M</t>
        </is>
      </c>
      <c r="E1166" s="54" t="n">
        <v>55152657269</v>
      </c>
      <c r="F1166" s="54" t="n">
        <v>400256050302</v>
      </c>
      <c r="G1166" s="54" t="inlineStr">
        <is>
          <t>NORMAL</t>
        </is>
      </c>
      <c r="H1166" s="86" t="n">
        <v>299.9</v>
      </c>
      <c r="I1166" s="86" t="n">
        <v>216.9</v>
      </c>
      <c r="J1166" s="56" t="inlineStr">
        <is>
          <t>SIM</t>
        </is>
      </c>
      <c r="K1166" s="86" t="n">
        <v>216.9</v>
      </c>
      <c r="L1166" s="87" t="n">
        <v>216.9</v>
      </c>
      <c r="M1166" s="88" t="n">
        <v>5</v>
      </c>
      <c r="N1166" s="89" t="n">
        <v>35.5</v>
      </c>
      <c r="O1166" s="89">
        <f>ROUND(M1166*N1166,2)</f>
        <v/>
      </c>
      <c r="P1166" s="90">
        <f>IF($O1166="","",L1166-O1166-(L1166*IF(L1166&lt;=79.99,20%,14%)+IF(L1166&lt;=79.99,4,IF(L1166&lt;=99.99,16,IF(L1166&lt;=199.99,20,IF(L1166&lt;=499.99,26,28)))))-L1166*1.3%-L1166*6%-(L1166-O1166)*9.25%-L1166*3%-L1166*3%-1)</f>
        <v/>
      </c>
      <c r="Q1166" s="58" t="n">
        <v>0.277</v>
      </c>
      <c r="R1166" s="54" t="inlineStr">
        <is>
          <t>478840979931317, 484945860710786</t>
        </is>
      </c>
      <c r="S1166" s="59" t="n">
        <v>46227.73958333334</v>
      </c>
      <c r="T1166" s="59" t="n">
        <v>46248.99930555555</v>
      </c>
      <c r="U1166" s="54" t="n">
        <v>100247</v>
      </c>
      <c r="V1166" t="inlineStr">
        <is>
          <t>214559</t>
        </is>
      </c>
      <c r="W1166" t="inlineStr">
        <is>
          <t>venda casada (10 pedidos) · custo do KIT 214573 (5× 214559)</t>
        </is>
      </c>
      <c r="X1166" t="n">
        <v>10</v>
      </c>
      <c r="Y1166" t="inlineStr">
        <is>
          <t>ok</t>
        </is>
      </c>
    </row>
    <row r="1167" ht="18" customHeight="1">
      <c r="A1167" s="60" t="inlineStr">
        <is>
          <t>Donacor</t>
        </is>
      </c>
      <c r="B1167" s="60" t="inlineStr">
        <is>
          <t>Kit Com 10 Cuecas Boxer Box Microfibra Sem Costura Original Lupo</t>
        </is>
      </c>
      <c r="C1167" s="60" t="inlineStr">
        <is>
          <t>PRETO/VINHO,P</t>
        </is>
      </c>
      <c r="D1167" s="60" t="inlineStr">
        <is>
          <t>KIT10-CUECAS-S/COSTURA-PRETO/VINHO-P</t>
        </is>
      </c>
      <c r="E1167" s="60" t="n">
        <v>55152657269</v>
      </c>
      <c r="F1167" s="60" t="n">
        <v>400256050301</v>
      </c>
      <c r="G1167" s="60" t="inlineStr">
        <is>
          <t>NORMAL</t>
        </is>
      </c>
      <c r="H1167" s="91" t="n">
        <v>299.9</v>
      </c>
      <c r="I1167" s="91" t="n">
        <v>299.9</v>
      </c>
      <c r="J1167" s="62" t="inlineStr">
        <is>
          <t>NÃO</t>
        </is>
      </c>
      <c r="K1167" s="60" t="inlineStr">
        <is>
          <t> </t>
        </is>
      </c>
      <c r="L1167" s="87" t="n">
        <v>299.9</v>
      </c>
      <c r="M1167" s="88" t="n">
        <v>5</v>
      </c>
      <c r="N1167" s="89" t="n">
        <v>35.5</v>
      </c>
      <c r="O1167" s="89">
        <f>ROUND(M1167*N1167,2)</f>
        <v/>
      </c>
      <c r="P1167" s="92">
        <f>IF($O1167="","",L1167-O1167-(L1167*IF(L1167&lt;=79.99,20%,14%)+IF(L1167&lt;=79.99,4,IF(L1167&lt;=99.99,16,IF(L1167&lt;=199.99,20,IF(L1167&lt;=499.99,26,28)))))-L1167*1.3%-L1167*6%-(L1167-O1167)*9.25%-L1167*3%-L1167*3%-1)</f>
        <v/>
      </c>
      <c r="Q1167" s="60" t="inlineStr">
        <is>
          <t> </t>
        </is>
      </c>
      <c r="R1167" s="60" t="inlineStr">
        <is>
          <t> </t>
        </is>
      </c>
      <c r="S1167" s="60" t="inlineStr">
        <is>
          <t> </t>
        </is>
      </c>
      <c r="T1167" s="60" t="inlineStr">
        <is>
          <t> </t>
        </is>
      </c>
      <c r="U1167" s="60" t="n">
        <v>100247</v>
      </c>
      <c r="V1167" t="inlineStr">
        <is>
          <t>214558</t>
        </is>
      </c>
      <c r="W1167" t="inlineStr">
        <is>
          <t>venda casada (1 pedido) · custo do KIT 214569 (5× 214558)</t>
        </is>
      </c>
      <c r="X1167" t="n">
        <v>1</v>
      </c>
      <c r="Y1167" t="inlineStr">
        <is>
          <t>⚠ evidência fraca (1 pedido)</t>
        </is>
      </c>
    </row>
    <row r="1168" ht="18" customHeight="1">
      <c r="A1168" s="54" t="inlineStr">
        <is>
          <t>Donacor</t>
        </is>
      </c>
      <c r="B1168" s="54" t="inlineStr">
        <is>
          <t>Kit Com 6 Cuecas Boxer Box Microfibra Sem Costura Original Lupo</t>
        </is>
      </c>
      <c r="C1168" s="54" t="inlineStr">
        <is>
          <t>PRETO/AZUL ESCURO,G</t>
        </is>
      </c>
      <c r="D1168" s="54" t="inlineStr">
        <is>
          <t>KIT6-CUECAS-S/COSTURA-PRETO/AZUL-G</t>
        </is>
      </c>
      <c r="E1168" s="54" t="n">
        <v>23697559595</v>
      </c>
      <c r="F1168" s="54" t="n">
        <v>262231298159</v>
      </c>
      <c r="G1168" s="54" t="inlineStr">
        <is>
          <t>NORMAL</t>
        </is>
      </c>
      <c r="H1168" s="86" t="n">
        <v>299.9</v>
      </c>
      <c r="I1168" s="86" t="n">
        <v>299.9</v>
      </c>
      <c r="J1168" s="69" t="inlineStr">
        <is>
          <t>NÃO</t>
        </is>
      </c>
      <c r="K1168" s="54" t="n"/>
      <c r="L1168" s="87" t="n">
        <v>299.9</v>
      </c>
      <c r="P1168" s="90">
        <f>IF($O1168="","",L1168-O1168-(L1168*IF(L1168&lt;=79.99,20%,14%)+IF(L1168&lt;=79.99,4,IF(L1168&lt;=99.99,16,IF(L1168&lt;=199.99,20,IF(L1168&lt;=499.99,26,28)))))-L1168*1.3%-L1168*6%-(L1168-O1168)*9.25%-L1168*3%-L1168*3%-1)</f>
        <v/>
      </c>
      <c r="Q1168" s="54">
        <f>IF(AND(K1168&lt;&gt;"",H1168&gt;0),(H1168-K1168)/H1168,"")</f>
        <v/>
      </c>
      <c r="R1168" s="54" t="n"/>
      <c r="S1168" s="54" t="n"/>
      <c r="T1168" s="54" t="n"/>
      <c r="U1168" s="54" t="n">
        <v>100247</v>
      </c>
      <c r="W1168" t="inlineStr">
        <is>
          <t>sem correspondência</t>
        </is>
      </c>
      <c r="Y1168" t="inlineStr"/>
    </row>
    <row r="1169" ht="18" customHeight="1">
      <c r="A1169" s="60" t="inlineStr">
        <is>
          <t>Donacor</t>
        </is>
      </c>
      <c r="B1169" s="60" t="inlineStr">
        <is>
          <t>Kit Com 6 Cuecas Boxer Box Microfibra Sem Costura Original Lupo</t>
        </is>
      </c>
      <c r="C1169" s="60" t="inlineStr">
        <is>
          <t>PRETO/AZUL ESCURO,GG</t>
        </is>
      </c>
      <c r="D1169" s="60" t="inlineStr">
        <is>
          <t>KIT6-CUECAS-S/COSTURA-PRETO/AZUL-GG</t>
        </is>
      </c>
      <c r="E1169" s="60" t="n">
        <v>23697559595</v>
      </c>
      <c r="F1169" s="60" t="n">
        <v>262231298160</v>
      </c>
      <c r="G1169" s="60" t="inlineStr">
        <is>
          <t>NORMAL</t>
        </is>
      </c>
      <c r="H1169" s="91" t="n">
        <v>299.9</v>
      </c>
      <c r="I1169" s="91" t="n">
        <v>299.9</v>
      </c>
      <c r="J1169" s="62" t="inlineStr">
        <is>
          <t>NÃO</t>
        </is>
      </c>
      <c r="K1169" s="60" t="inlineStr">
        <is>
          <t> </t>
        </is>
      </c>
      <c r="L1169" s="87" t="n">
        <v>299.9</v>
      </c>
      <c r="P1169" s="92">
        <f>IF($O1169="","",L1169-O1169-(L1169*IF(L1169&lt;=79.99,20%,14%)+IF(L1169&lt;=79.99,4,IF(L1169&lt;=99.99,16,IF(L1169&lt;=199.99,20,IF(L1169&lt;=499.99,26,28)))))-L1169*1.3%-L1169*6%-(L1169-O1169)*9.25%-L1169*3%-L1169*3%-1)</f>
        <v/>
      </c>
      <c r="Q1169" s="60" t="inlineStr">
        <is>
          <t> </t>
        </is>
      </c>
      <c r="R1169" s="60" t="inlineStr">
        <is>
          <t> </t>
        </is>
      </c>
      <c r="S1169" s="60" t="inlineStr">
        <is>
          <t> </t>
        </is>
      </c>
      <c r="T1169" s="60" t="inlineStr">
        <is>
          <t> </t>
        </is>
      </c>
      <c r="U1169" s="60" t="n">
        <v>100247</v>
      </c>
      <c r="W1169" t="inlineStr">
        <is>
          <t>sem correspondência</t>
        </is>
      </c>
      <c r="Y1169" t="inlineStr"/>
    </row>
    <row r="1170" ht="18" customHeight="1">
      <c r="A1170" s="54" t="inlineStr">
        <is>
          <t>Donacor</t>
        </is>
      </c>
      <c r="B1170" s="54" t="inlineStr">
        <is>
          <t>Kit Com 6 Cuecas Boxer Box Microfibra Sem Costura Original Lupo</t>
        </is>
      </c>
      <c r="C1170" s="54" t="inlineStr">
        <is>
          <t>PRETO/AZUL ESCURO,M</t>
        </is>
      </c>
      <c r="D1170" s="54" t="inlineStr">
        <is>
          <t>KIT6-CUECAS-S/COSTURA-PRETO/AZUL-M</t>
        </is>
      </c>
      <c r="E1170" s="54" t="n">
        <v>23697559595</v>
      </c>
      <c r="F1170" s="54" t="n">
        <v>262231298158</v>
      </c>
      <c r="G1170" s="54" t="inlineStr">
        <is>
          <t>NORMAL</t>
        </is>
      </c>
      <c r="H1170" s="86" t="n">
        <v>299.9</v>
      </c>
      <c r="I1170" s="86" t="n">
        <v>299.9</v>
      </c>
      <c r="J1170" s="69" t="inlineStr">
        <is>
          <t>NÃO</t>
        </is>
      </c>
      <c r="K1170" s="54" t="n"/>
      <c r="L1170" s="87" t="n">
        <v>299.9</v>
      </c>
      <c r="P1170" s="90">
        <f>IF($O1170="","",L1170-O1170-(L1170*IF(L1170&lt;=79.99,20%,14%)+IF(L1170&lt;=79.99,4,IF(L1170&lt;=99.99,16,IF(L1170&lt;=199.99,20,IF(L1170&lt;=499.99,26,28)))))-L1170*1.3%-L1170*6%-(L1170-O1170)*9.25%-L1170*3%-L1170*3%-1)</f>
        <v/>
      </c>
      <c r="Q1170" s="54">
        <f>IF(AND(K1170&lt;&gt;"",H1170&gt;0),(H1170-K1170)/H1170,"")</f>
        <v/>
      </c>
      <c r="R1170" s="54" t="n"/>
      <c r="S1170" s="54" t="n"/>
      <c r="T1170" s="54" t="n"/>
      <c r="U1170" s="54" t="n">
        <v>100247</v>
      </c>
      <c r="W1170" t="inlineStr">
        <is>
          <t>sem correspondência</t>
        </is>
      </c>
      <c r="Y1170" t="inlineStr"/>
    </row>
    <row r="1171" ht="18" customHeight="1">
      <c r="A1171" s="60" t="inlineStr">
        <is>
          <t>Donacor</t>
        </is>
      </c>
      <c r="B1171" s="60" t="inlineStr">
        <is>
          <t>Kit Com 6 Cuecas Boxer Box Microfibra Sem Costura Original Lupo</t>
        </is>
      </c>
      <c r="C1171" s="60" t="inlineStr">
        <is>
          <t>PRETO/AZUL ESCURO,P</t>
        </is>
      </c>
      <c r="D1171" s="60" t="inlineStr">
        <is>
          <t>KIT6-CUECAS-S/COSTURA-PRETO/AZUL-P</t>
        </is>
      </c>
      <c r="E1171" s="60" t="n">
        <v>23697559595</v>
      </c>
      <c r="F1171" s="60" t="n">
        <v>262231298157</v>
      </c>
      <c r="G1171" s="60" t="inlineStr">
        <is>
          <t>NORMAL</t>
        </is>
      </c>
      <c r="H1171" s="91" t="n">
        <v>299.9</v>
      </c>
      <c r="I1171" s="91" t="n">
        <v>299.9</v>
      </c>
      <c r="J1171" s="62" t="inlineStr">
        <is>
          <t>NÃO</t>
        </is>
      </c>
      <c r="K1171" s="60" t="inlineStr">
        <is>
          <t> </t>
        </is>
      </c>
      <c r="L1171" s="87" t="n">
        <v>299.9</v>
      </c>
      <c r="P1171" s="92">
        <f>IF($O1171="","",L1171-O1171-(L1171*IF(L1171&lt;=79.99,20%,14%)+IF(L1171&lt;=79.99,4,IF(L1171&lt;=99.99,16,IF(L1171&lt;=199.99,20,IF(L1171&lt;=499.99,26,28)))))-L1171*1.3%-L1171*6%-(L1171-O1171)*9.25%-L1171*3%-L1171*3%-1)</f>
        <v/>
      </c>
      <c r="Q1171" s="60" t="inlineStr">
        <is>
          <t> </t>
        </is>
      </c>
      <c r="R1171" s="60" t="inlineStr">
        <is>
          <t> </t>
        </is>
      </c>
      <c r="S1171" s="60" t="inlineStr">
        <is>
          <t> </t>
        </is>
      </c>
      <c r="T1171" s="60" t="inlineStr">
        <is>
          <t> </t>
        </is>
      </c>
      <c r="U1171" s="60" t="n">
        <v>100247</v>
      </c>
      <c r="W1171" t="inlineStr">
        <is>
          <t>sem correspondência</t>
        </is>
      </c>
      <c r="Y1171" t="inlineStr"/>
    </row>
    <row r="1172" ht="18" customHeight="1">
      <c r="A1172" s="54" t="inlineStr">
        <is>
          <t>Donacor</t>
        </is>
      </c>
      <c r="B1172" s="54" t="inlineStr">
        <is>
          <t>Kit Com 6 Cuecas Boxer Box Microfibra Sem Costura Original Lupo</t>
        </is>
      </c>
      <c r="C1172" s="54" t="inlineStr">
        <is>
          <t>PRETO/AZUL NÁUTICO,G</t>
        </is>
      </c>
      <c r="D1172" s="54" t="inlineStr">
        <is>
          <t>KIT6-CUECAS-S/COSTURA-PRETO/AZUL-NAUTICO-G</t>
        </is>
      </c>
      <c r="E1172" s="54" t="n">
        <v>23697559595</v>
      </c>
      <c r="F1172" s="54" t="n">
        <v>277231078030</v>
      </c>
      <c r="G1172" s="54" t="inlineStr">
        <is>
          <t>NORMAL</t>
        </is>
      </c>
      <c r="H1172" s="86" t="n">
        <v>299.9</v>
      </c>
      <c r="I1172" s="86" t="n">
        <v>299.9</v>
      </c>
      <c r="J1172" s="69" t="inlineStr">
        <is>
          <t>NÃO</t>
        </is>
      </c>
      <c r="K1172" s="54" t="n"/>
      <c r="L1172" s="87" t="n">
        <v>299.9</v>
      </c>
      <c r="P1172" s="90">
        <f>IF($O1172="","",L1172-O1172-(L1172*IF(L1172&lt;=79.99,20%,14%)+IF(L1172&lt;=79.99,4,IF(L1172&lt;=99.99,16,IF(L1172&lt;=199.99,20,IF(L1172&lt;=499.99,26,28)))))-L1172*1.3%-L1172*6%-(L1172-O1172)*9.25%-L1172*3%-L1172*3%-1)</f>
        <v/>
      </c>
      <c r="Q1172" s="54">
        <f>IF(AND(K1172&lt;&gt;"",H1172&gt;0),(H1172-K1172)/H1172,"")</f>
        <v/>
      </c>
      <c r="R1172" s="54" t="n"/>
      <c r="S1172" s="54" t="n"/>
      <c r="T1172" s="54" t="n"/>
      <c r="U1172" s="54" t="n">
        <v>100247</v>
      </c>
      <c r="W1172" t="inlineStr">
        <is>
          <t>sem correspondência</t>
        </is>
      </c>
      <c r="Y1172" t="inlineStr"/>
    </row>
    <row r="1173" ht="18" customHeight="1">
      <c r="A1173" s="60" t="inlineStr">
        <is>
          <t>Donacor</t>
        </is>
      </c>
      <c r="B1173" s="60" t="inlineStr">
        <is>
          <t>Kit Com 6 Cuecas Boxer Box Microfibra Sem Costura Original Lupo</t>
        </is>
      </c>
      <c r="C1173" s="60" t="inlineStr">
        <is>
          <t>PRETO/AZUL NÁUTICO,GG</t>
        </is>
      </c>
      <c r="D1173" s="60" t="inlineStr">
        <is>
          <t>KIT6-CUECAS-S/COSTURA-PRETO/AZUL-NAUTICO-GG</t>
        </is>
      </c>
      <c r="E1173" s="60" t="n">
        <v>23697559595</v>
      </c>
      <c r="F1173" s="60" t="n">
        <v>277231078031</v>
      </c>
      <c r="G1173" s="60" t="inlineStr">
        <is>
          <t>NORMAL</t>
        </is>
      </c>
      <c r="H1173" s="91" t="n">
        <v>299.9</v>
      </c>
      <c r="I1173" s="91" t="n">
        <v>299.9</v>
      </c>
      <c r="J1173" s="62" t="inlineStr">
        <is>
          <t>NÃO</t>
        </is>
      </c>
      <c r="K1173" s="60" t="inlineStr">
        <is>
          <t> </t>
        </is>
      </c>
      <c r="L1173" s="87" t="n">
        <v>299.9</v>
      </c>
      <c r="P1173" s="92">
        <f>IF($O1173="","",L1173-O1173-(L1173*IF(L1173&lt;=79.99,20%,14%)+IF(L1173&lt;=79.99,4,IF(L1173&lt;=99.99,16,IF(L1173&lt;=199.99,20,IF(L1173&lt;=499.99,26,28)))))-L1173*1.3%-L1173*6%-(L1173-O1173)*9.25%-L1173*3%-L1173*3%-1)</f>
        <v/>
      </c>
      <c r="Q1173" s="60" t="inlineStr">
        <is>
          <t> </t>
        </is>
      </c>
      <c r="R1173" s="60" t="inlineStr">
        <is>
          <t> </t>
        </is>
      </c>
      <c r="S1173" s="60" t="inlineStr">
        <is>
          <t> </t>
        </is>
      </c>
      <c r="T1173" s="60" t="inlineStr">
        <is>
          <t> </t>
        </is>
      </c>
      <c r="U1173" s="60" t="n">
        <v>100247</v>
      </c>
      <c r="W1173" t="inlineStr">
        <is>
          <t>sem correspondência</t>
        </is>
      </c>
      <c r="Y1173" t="inlineStr"/>
    </row>
    <row r="1174" ht="18" customHeight="1">
      <c r="A1174" s="54" t="inlineStr">
        <is>
          <t>Donacor</t>
        </is>
      </c>
      <c r="B1174" s="54" t="inlineStr">
        <is>
          <t>Kit Com 6 Cuecas Boxer Box Microfibra Sem Costura Original Lupo</t>
        </is>
      </c>
      <c r="C1174" s="54" t="inlineStr">
        <is>
          <t>PRETO/AZUL NÁUTICO,M</t>
        </is>
      </c>
      <c r="D1174" s="54" t="inlineStr">
        <is>
          <t>KIT6-CUECAS-S/COSTURA-PRETO/AZUL-NAUTICO-M</t>
        </is>
      </c>
      <c r="E1174" s="54" t="n">
        <v>23697559595</v>
      </c>
      <c r="F1174" s="54" t="n">
        <v>277231078029</v>
      </c>
      <c r="G1174" s="54" t="inlineStr">
        <is>
          <t>NORMAL</t>
        </is>
      </c>
      <c r="H1174" s="86" t="n">
        <v>299.9</v>
      </c>
      <c r="I1174" s="86" t="n">
        <v>299.9</v>
      </c>
      <c r="J1174" s="69" t="inlineStr">
        <is>
          <t>NÃO</t>
        </is>
      </c>
      <c r="K1174" s="54" t="n"/>
      <c r="L1174" s="87" t="n">
        <v>299.9</v>
      </c>
      <c r="M1174" s="88" t="n">
        <v>3</v>
      </c>
      <c r="N1174" s="89" t="n">
        <v>35.5</v>
      </c>
      <c r="O1174" s="89">
        <f>ROUND(M1174*N1174,2)</f>
        <v/>
      </c>
      <c r="P1174" s="90">
        <f>IF($O1174="","",L1174-O1174-(L1174*IF(L1174&lt;=79.99,20%,14%)+IF(L1174&lt;=79.99,4,IF(L1174&lt;=99.99,16,IF(L1174&lt;=199.99,20,IF(L1174&lt;=499.99,26,28)))))-L1174*1.3%-L1174*6%-(L1174-O1174)*9.25%-L1174*3%-L1174*3%-1)</f>
        <v/>
      </c>
      <c r="Q1174" s="54">
        <f>IF(AND(K1174&lt;&gt;"",H1174&gt;0),(H1174-K1174)/H1174,"")</f>
        <v/>
      </c>
      <c r="R1174" s="54" t="n"/>
      <c r="S1174" s="54" t="n"/>
      <c r="T1174" s="54" t="n"/>
      <c r="U1174" s="54" t="n">
        <v>100247</v>
      </c>
      <c r="V1174" t="inlineStr">
        <is>
          <t>214555</t>
        </is>
      </c>
      <c r="W1174" t="inlineStr">
        <is>
          <t>venda casada (1 pedido)</t>
        </is>
      </c>
      <c r="X1174" t="n">
        <v>1</v>
      </c>
      <c r="Y1174" t="inlineStr">
        <is>
          <t>⚠ evidência fraca (1 pedido)</t>
        </is>
      </c>
    </row>
    <row r="1175" ht="18" customHeight="1">
      <c r="A1175" s="60" t="inlineStr">
        <is>
          <t>Donacor</t>
        </is>
      </c>
      <c r="B1175" s="60" t="inlineStr">
        <is>
          <t>Kit Com 6 Cuecas Boxer Box Microfibra Sem Costura Original Lupo</t>
        </is>
      </c>
      <c r="C1175" s="60" t="inlineStr">
        <is>
          <t>PRETO/AZUL NÁUTICO,P</t>
        </is>
      </c>
      <c r="D1175" s="60" t="inlineStr">
        <is>
          <t>KIT6-CUECAS-S/COSTURA-PRETO/AZUL-NAUTICO-P</t>
        </is>
      </c>
      <c r="E1175" s="60" t="n">
        <v>23697559595</v>
      </c>
      <c r="F1175" s="60" t="n">
        <v>277231078028</v>
      </c>
      <c r="G1175" s="60" t="inlineStr">
        <is>
          <t>NORMAL</t>
        </is>
      </c>
      <c r="H1175" s="91" t="n">
        <v>299.9</v>
      </c>
      <c r="I1175" s="91" t="n">
        <v>299.9</v>
      </c>
      <c r="J1175" s="62" t="inlineStr">
        <is>
          <t>NÃO</t>
        </is>
      </c>
      <c r="K1175" s="60" t="inlineStr">
        <is>
          <t> </t>
        </is>
      </c>
      <c r="L1175" s="87" t="n">
        <v>299.9</v>
      </c>
      <c r="P1175" s="92">
        <f>IF($O1175="","",L1175-O1175-(L1175*IF(L1175&lt;=79.99,20%,14%)+IF(L1175&lt;=79.99,4,IF(L1175&lt;=99.99,16,IF(L1175&lt;=199.99,20,IF(L1175&lt;=499.99,26,28)))))-L1175*1.3%-L1175*6%-(L1175-O1175)*9.25%-L1175*3%-L1175*3%-1)</f>
        <v/>
      </c>
      <c r="Q1175" s="60" t="inlineStr">
        <is>
          <t> </t>
        </is>
      </c>
      <c r="R1175" s="60" t="inlineStr">
        <is>
          <t> </t>
        </is>
      </c>
      <c r="S1175" s="60" t="inlineStr">
        <is>
          <t> </t>
        </is>
      </c>
      <c r="T1175" s="60" t="inlineStr">
        <is>
          <t> </t>
        </is>
      </c>
      <c r="U1175" s="60" t="n">
        <v>100247</v>
      </c>
      <c r="V1175" t="inlineStr">
        <is>
          <t>KIT6-CUECAS-S/COSTURA-PRETO/AZUL-NAUTICO-P</t>
        </is>
      </c>
      <c r="W1175" t="inlineStr">
        <is>
          <t>SKU idêntico na Olist · CUSTO ZERADO na Olist (conferido hoje)</t>
        </is>
      </c>
      <c r="Y1175" t="inlineStr">
        <is>
          <t>ok</t>
        </is>
      </c>
    </row>
    <row r="1176" ht="18" customHeight="1">
      <c r="A1176" s="54" t="inlineStr">
        <is>
          <t>Donacor</t>
        </is>
      </c>
      <c r="B1176" s="54" t="inlineStr">
        <is>
          <t>Kit Com 6 Cuecas Boxer Box Microfibra Sem Costura Original Lupo</t>
        </is>
      </c>
      <c r="C1176" s="54" t="inlineStr">
        <is>
          <t>PRETO/BRANCO,G</t>
        </is>
      </c>
      <c r="D1176" s="54" t="inlineStr">
        <is>
          <t>KIT6-CUECAS-S/COSTURA-PRETO/BRANCO-G</t>
        </is>
      </c>
      <c r="E1176" s="54" t="n">
        <v>23697559595</v>
      </c>
      <c r="F1176" s="54" t="n">
        <v>262231298155</v>
      </c>
      <c r="G1176" s="54" t="inlineStr">
        <is>
          <t>NORMAL</t>
        </is>
      </c>
      <c r="H1176" s="86" t="n">
        <v>299.9</v>
      </c>
      <c r="I1176" s="86" t="n">
        <v>299.9</v>
      </c>
      <c r="J1176" s="69" t="inlineStr">
        <is>
          <t>NÃO</t>
        </is>
      </c>
      <c r="K1176" s="54" t="n"/>
      <c r="L1176" s="87" t="n">
        <v>299.9</v>
      </c>
      <c r="P1176" s="90">
        <f>IF($O1176="","",L1176-O1176-(L1176*IF(L1176&lt;=79.99,20%,14%)+IF(L1176&lt;=79.99,4,IF(L1176&lt;=99.99,16,IF(L1176&lt;=199.99,20,IF(L1176&lt;=499.99,26,28)))))-L1176*1.3%-L1176*6%-(L1176-O1176)*9.25%-L1176*3%-L1176*3%-1)</f>
        <v/>
      </c>
      <c r="Q1176" s="54">
        <f>IF(AND(K1176&lt;&gt;"",H1176&gt;0),(H1176-K1176)/H1176,"")</f>
        <v/>
      </c>
      <c r="R1176" s="54" t="n"/>
      <c r="S1176" s="54" t="n"/>
      <c r="T1176" s="54" t="n"/>
      <c r="U1176" s="54" t="n">
        <v>100247</v>
      </c>
      <c r="W1176" t="inlineStr">
        <is>
          <t>sem correspondência</t>
        </is>
      </c>
      <c r="Y1176" t="inlineStr"/>
    </row>
    <row r="1177" ht="18" customHeight="1">
      <c r="A1177" s="60" t="inlineStr">
        <is>
          <t>Donacor</t>
        </is>
      </c>
      <c r="B1177" s="60" t="inlineStr">
        <is>
          <t>Kit Com 6 Cuecas Boxer Box Microfibra Sem Costura Original Lupo</t>
        </is>
      </c>
      <c r="C1177" s="60" t="inlineStr">
        <is>
          <t>PRETO/BRANCO,GG</t>
        </is>
      </c>
      <c r="D1177" s="60" t="inlineStr">
        <is>
          <t>KIT6-CUECAS-S/COSTURA-PRETO/BRANCO-GG</t>
        </is>
      </c>
      <c r="E1177" s="60" t="n">
        <v>23697559595</v>
      </c>
      <c r="F1177" s="60" t="n">
        <v>262231298156</v>
      </c>
      <c r="G1177" s="60" t="inlineStr">
        <is>
          <t>NORMAL</t>
        </is>
      </c>
      <c r="H1177" s="91" t="n">
        <v>299.9</v>
      </c>
      <c r="I1177" s="91" t="n">
        <v>299.9</v>
      </c>
      <c r="J1177" s="62" t="inlineStr">
        <is>
          <t>NÃO</t>
        </is>
      </c>
      <c r="K1177" s="60" t="inlineStr">
        <is>
          <t> </t>
        </is>
      </c>
      <c r="L1177" s="87" t="n">
        <v>299.9</v>
      </c>
      <c r="P1177" s="92">
        <f>IF($O1177="","",L1177-O1177-(L1177*IF(L1177&lt;=79.99,20%,14%)+IF(L1177&lt;=79.99,4,IF(L1177&lt;=99.99,16,IF(L1177&lt;=199.99,20,IF(L1177&lt;=499.99,26,28)))))-L1177*1.3%-L1177*6%-(L1177-O1177)*9.25%-L1177*3%-L1177*3%-1)</f>
        <v/>
      </c>
      <c r="Q1177" s="60" t="inlineStr">
        <is>
          <t> </t>
        </is>
      </c>
      <c r="R1177" s="60" t="inlineStr">
        <is>
          <t> </t>
        </is>
      </c>
      <c r="S1177" s="60" t="inlineStr">
        <is>
          <t> </t>
        </is>
      </c>
      <c r="T1177" s="60" t="inlineStr">
        <is>
          <t> </t>
        </is>
      </c>
      <c r="U1177" s="60" t="n">
        <v>100247</v>
      </c>
      <c r="W1177" t="inlineStr">
        <is>
          <t>sem correspondência</t>
        </is>
      </c>
      <c r="Y1177" t="inlineStr"/>
    </row>
    <row r="1178" ht="18" customHeight="1">
      <c r="A1178" s="54" t="inlineStr">
        <is>
          <t>Donacor</t>
        </is>
      </c>
      <c r="B1178" s="54" t="inlineStr">
        <is>
          <t>Kit Com 6 Cuecas Boxer Box Microfibra Sem Costura Original Lupo</t>
        </is>
      </c>
      <c r="C1178" s="54" t="inlineStr">
        <is>
          <t>PRETO/BRANCO,M</t>
        </is>
      </c>
      <c r="D1178" s="54" t="inlineStr">
        <is>
          <t>KIT6-CUECAS-S/COSTURA-PRETO/BRANCO-M</t>
        </is>
      </c>
      <c r="E1178" s="54" t="n">
        <v>23697559595</v>
      </c>
      <c r="F1178" s="54" t="n">
        <v>262231298154</v>
      </c>
      <c r="G1178" s="54" t="inlineStr">
        <is>
          <t>NORMAL</t>
        </is>
      </c>
      <c r="H1178" s="86" t="n">
        <v>299.9</v>
      </c>
      <c r="I1178" s="86" t="n">
        <v>299.9</v>
      </c>
      <c r="J1178" s="69" t="inlineStr">
        <is>
          <t>NÃO</t>
        </is>
      </c>
      <c r="K1178" s="54" t="n"/>
      <c r="L1178" s="87" t="n">
        <v>299.9</v>
      </c>
      <c r="P1178" s="90">
        <f>IF($O1178="","",L1178-O1178-(L1178*IF(L1178&lt;=79.99,20%,14%)+IF(L1178&lt;=79.99,4,IF(L1178&lt;=99.99,16,IF(L1178&lt;=199.99,20,IF(L1178&lt;=499.99,26,28)))))-L1178*1.3%-L1178*6%-(L1178-O1178)*9.25%-L1178*3%-L1178*3%-1)</f>
        <v/>
      </c>
      <c r="Q1178" s="54">
        <f>IF(AND(K1178&lt;&gt;"",H1178&gt;0),(H1178-K1178)/H1178,"")</f>
        <v/>
      </c>
      <c r="R1178" s="54" t="n"/>
      <c r="S1178" s="54" t="n"/>
      <c r="T1178" s="54" t="n"/>
      <c r="U1178" s="54" t="n">
        <v>100247</v>
      </c>
      <c r="W1178" t="inlineStr">
        <is>
          <t>sem correspondência</t>
        </is>
      </c>
      <c r="Y1178" t="inlineStr"/>
    </row>
    <row r="1179" ht="18" customHeight="1">
      <c r="A1179" s="60" t="inlineStr">
        <is>
          <t>Donacor</t>
        </is>
      </c>
      <c r="B1179" s="60" t="inlineStr">
        <is>
          <t>Kit Com 6 Cuecas Boxer Box Microfibra Sem Costura Original Lupo</t>
        </is>
      </c>
      <c r="C1179" s="60" t="inlineStr">
        <is>
          <t>PRETO/BRANCO,P</t>
        </is>
      </c>
      <c r="D1179" s="60" t="inlineStr">
        <is>
          <t>KIT6-CUECAS-S/COSTURA-PRETO/BRANCO-P</t>
        </is>
      </c>
      <c r="E1179" s="60" t="n">
        <v>23697559595</v>
      </c>
      <c r="F1179" s="60" t="n">
        <v>262231298153</v>
      </c>
      <c r="G1179" s="60" t="inlineStr">
        <is>
          <t>NORMAL</t>
        </is>
      </c>
      <c r="H1179" s="91" t="n">
        <v>299.9</v>
      </c>
      <c r="I1179" s="91" t="n">
        <v>299.9</v>
      </c>
      <c r="J1179" s="62" t="inlineStr">
        <is>
          <t>NÃO</t>
        </is>
      </c>
      <c r="K1179" s="60" t="inlineStr">
        <is>
          <t> </t>
        </is>
      </c>
      <c r="L1179" s="87" t="n">
        <v>299.9</v>
      </c>
      <c r="P1179" s="92">
        <f>IF($O1179="","",L1179-O1179-(L1179*IF(L1179&lt;=79.99,20%,14%)+IF(L1179&lt;=79.99,4,IF(L1179&lt;=99.99,16,IF(L1179&lt;=199.99,20,IF(L1179&lt;=499.99,26,28)))))-L1179*1.3%-L1179*6%-(L1179-O1179)*9.25%-L1179*3%-L1179*3%-1)</f>
        <v/>
      </c>
      <c r="Q1179" s="60" t="inlineStr">
        <is>
          <t> </t>
        </is>
      </c>
      <c r="R1179" s="60" t="inlineStr">
        <is>
          <t> </t>
        </is>
      </c>
      <c r="S1179" s="60" t="inlineStr">
        <is>
          <t> </t>
        </is>
      </c>
      <c r="T1179" s="60" t="inlineStr">
        <is>
          <t> </t>
        </is>
      </c>
      <c r="U1179" s="60" t="n">
        <v>100247</v>
      </c>
      <c r="W1179" t="inlineStr">
        <is>
          <t>sem correspondência</t>
        </is>
      </c>
      <c r="Y1179" t="inlineStr"/>
    </row>
    <row r="1180" ht="18" customHeight="1">
      <c r="A1180" s="54" t="inlineStr">
        <is>
          <t>Donacor</t>
        </is>
      </c>
      <c r="B1180" s="54" t="inlineStr">
        <is>
          <t>Kit Com 6 Cuecas Boxer Box Microfibra Sem Costura Original Lupo</t>
        </is>
      </c>
      <c r="C1180" s="54" t="inlineStr">
        <is>
          <t>PRETO/VINHO,G</t>
        </is>
      </c>
      <c r="D1180" s="54" t="inlineStr">
        <is>
          <t>KIT6-CUECAS-S/COSTURA-PRETO/VINHO-G</t>
        </is>
      </c>
      <c r="E1180" s="54" t="n">
        <v>23697559595</v>
      </c>
      <c r="F1180" s="54" t="n">
        <v>262231298163</v>
      </c>
      <c r="G1180" s="54" t="inlineStr">
        <is>
          <t>NORMAL</t>
        </is>
      </c>
      <c r="H1180" s="86" t="n">
        <v>299.9</v>
      </c>
      <c r="I1180" s="86" t="n">
        <v>299.9</v>
      </c>
      <c r="J1180" s="69" t="inlineStr">
        <is>
          <t>NÃO</t>
        </is>
      </c>
      <c r="K1180" s="54" t="n"/>
      <c r="L1180" s="87" t="n">
        <v>299.9</v>
      </c>
      <c r="P1180" s="90">
        <f>IF($O1180="","",L1180-O1180-(L1180*IF(L1180&lt;=79.99,20%,14%)+IF(L1180&lt;=79.99,4,IF(L1180&lt;=99.99,16,IF(L1180&lt;=199.99,20,IF(L1180&lt;=499.99,26,28)))))-L1180*1.3%-L1180*6%-(L1180-O1180)*9.25%-L1180*3%-L1180*3%-1)</f>
        <v/>
      </c>
      <c r="Q1180" s="54">
        <f>IF(AND(K1180&lt;&gt;"",H1180&gt;0),(H1180-K1180)/H1180,"")</f>
        <v/>
      </c>
      <c r="R1180" s="54" t="n"/>
      <c r="S1180" s="54" t="n"/>
      <c r="T1180" s="54" t="n"/>
      <c r="U1180" s="54" t="n">
        <v>100247</v>
      </c>
      <c r="W1180" t="inlineStr">
        <is>
          <t>sem correspondência</t>
        </is>
      </c>
      <c r="Y1180" t="inlineStr"/>
    </row>
    <row r="1181" ht="18" customHeight="1">
      <c r="A1181" s="60" t="inlineStr">
        <is>
          <t>Donacor</t>
        </is>
      </c>
      <c r="B1181" s="60" t="inlineStr">
        <is>
          <t>Kit Com 6 Cuecas Boxer Box Microfibra Sem Costura Original Lupo</t>
        </is>
      </c>
      <c r="C1181" s="60" t="inlineStr">
        <is>
          <t>PRETO/VINHO,GG</t>
        </is>
      </c>
      <c r="D1181" s="60" t="inlineStr">
        <is>
          <t>KIT6-CUECAS-S/COSTURA-PRETO/VINHO-GG</t>
        </is>
      </c>
      <c r="E1181" s="60" t="n">
        <v>23697559595</v>
      </c>
      <c r="F1181" s="60" t="n">
        <v>262231298164</v>
      </c>
      <c r="G1181" s="60" t="inlineStr">
        <is>
          <t>NORMAL</t>
        </is>
      </c>
      <c r="H1181" s="91" t="n">
        <v>299.9</v>
      </c>
      <c r="I1181" s="91" t="n">
        <v>299.9</v>
      </c>
      <c r="J1181" s="62" t="inlineStr">
        <is>
          <t>NÃO</t>
        </is>
      </c>
      <c r="K1181" s="60" t="inlineStr">
        <is>
          <t> </t>
        </is>
      </c>
      <c r="L1181" s="87" t="n">
        <v>299.9</v>
      </c>
      <c r="P1181" s="92">
        <f>IF($O1181="","",L1181-O1181-(L1181*IF(L1181&lt;=79.99,20%,14%)+IF(L1181&lt;=79.99,4,IF(L1181&lt;=99.99,16,IF(L1181&lt;=199.99,20,IF(L1181&lt;=499.99,26,28)))))-L1181*1.3%-L1181*6%-(L1181-O1181)*9.25%-L1181*3%-L1181*3%-1)</f>
        <v/>
      </c>
      <c r="Q1181" s="60" t="inlineStr">
        <is>
          <t> </t>
        </is>
      </c>
      <c r="R1181" s="60" t="inlineStr">
        <is>
          <t> </t>
        </is>
      </c>
      <c r="S1181" s="60" t="inlineStr">
        <is>
          <t> </t>
        </is>
      </c>
      <c r="T1181" s="60" t="inlineStr">
        <is>
          <t> </t>
        </is>
      </c>
      <c r="U1181" s="60" t="n">
        <v>100247</v>
      </c>
      <c r="W1181" t="inlineStr">
        <is>
          <t>sem correspondência</t>
        </is>
      </c>
      <c r="Y1181" t="inlineStr"/>
    </row>
    <row r="1182" ht="18" customHeight="1">
      <c r="A1182" s="54" t="inlineStr">
        <is>
          <t>Donacor</t>
        </is>
      </c>
      <c r="B1182" s="54" t="inlineStr">
        <is>
          <t>Kit Com 6 Cuecas Boxer Box Microfibra Sem Costura Original Lupo</t>
        </is>
      </c>
      <c r="C1182" s="54" t="inlineStr">
        <is>
          <t>PRETO/VINHO,M</t>
        </is>
      </c>
      <c r="D1182" s="54" t="inlineStr">
        <is>
          <t>KIT6-CUECAS-S/COSTURA-PRETO/VINHO-M</t>
        </is>
      </c>
      <c r="E1182" s="54" t="n">
        <v>23697559595</v>
      </c>
      <c r="F1182" s="54" t="n">
        <v>262231298162</v>
      </c>
      <c r="G1182" s="54" t="inlineStr">
        <is>
          <t>NORMAL</t>
        </is>
      </c>
      <c r="H1182" s="86" t="n">
        <v>299.9</v>
      </c>
      <c r="I1182" s="86" t="n">
        <v>299.9</v>
      </c>
      <c r="J1182" s="69" t="inlineStr">
        <is>
          <t>NÃO</t>
        </is>
      </c>
      <c r="K1182" s="54" t="n"/>
      <c r="L1182" s="87" t="n">
        <v>299.9</v>
      </c>
      <c r="P1182" s="90">
        <f>IF($O1182="","",L1182-O1182-(L1182*IF(L1182&lt;=79.99,20%,14%)+IF(L1182&lt;=79.99,4,IF(L1182&lt;=99.99,16,IF(L1182&lt;=199.99,20,IF(L1182&lt;=499.99,26,28)))))-L1182*1.3%-L1182*6%-(L1182-O1182)*9.25%-L1182*3%-L1182*3%-1)</f>
        <v/>
      </c>
      <c r="Q1182" s="54">
        <f>IF(AND(K1182&lt;&gt;"",H1182&gt;0),(H1182-K1182)/H1182,"")</f>
        <v/>
      </c>
      <c r="R1182" s="54" t="n"/>
      <c r="S1182" s="54" t="n"/>
      <c r="T1182" s="54" t="n"/>
      <c r="U1182" s="54" t="n">
        <v>100247</v>
      </c>
      <c r="W1182" t="inlineStr">
        <is>
          <t>sem correspondência</t>
        </is>
      </c>
      <c r="Y1182" t="inlineStr"/>
    </row>
    <row r="1183" ht="18" customHeight="1">
      <c r="A1183" s="60" t="inlineStr">
        <is>
          <t>Donacor</t>
        </is>
      </c>
      <c r="B1183" s="60" t="inlineStr">
        <is>
          <t>Kit Com 6 Cuecas Boxer Box Microfibra Sem Costura Original Lupo</t>
        </is>
      </c>
      <c r="C1183" s="60" t="inlineStr">
        <is>
          <t>PRETO/VINHO,P</t>
        </is>
      </c>
      <c r="D1183" s="60" t="inlineStr">
        <is>
          <t>KIT6-CUECAS-S/COSTURA-PRETO/VINHO-P</t>
        </is>
      </c>
      <c r="E1183" s="60" t="n">
        <v>23697559595</v>
      </c>
      <c r="F1183" s="60" t="n">
        <v>262231298161</v>
      </c>
      <c r="G1183" s="60" t="inlineStr">
        <is>
          <t>NORMAL</t>
        </is>
      </c>
      <c r="H1183" s="91" t="n">
        <v>299.9</v>
      </c>
      <c r="I1183" s="91" t="n">
        <v>299.9</v>
      </c>
      <c r="J1183" s="62" t="inlineStr">
        <is>
          <t>NÃO</t>
        </is>
      </c>
      <c r="K1183" s="60" t="inlineStr">
        <is>
          <t> </t>
        </is>
      </c>
      <c r="L1183" s="87" t="n">
        <v>299.9</v>
      </c>
      <c r="P1183" s="92">
        <f>IF($O1183="","",L1183-O1183-(L1183*IF(L1183&lt;=79.99,20%,14%)+IF(L1183&lt;=79.99,4,IF(L1183&lt;=99.99,16,IF(L1183&lt;=199.99,20,IF(L1183&lt;=499.99,26,28)))))-L1183*1.3%-L1183*6%-(L1183-O1183)*9.25%-L1183*3%-L1183*3%-1)</f>
        <v/>
      </c>
      <c r="Q1183" s="60" t="inlineStr">
        <is>
          <t> </t>
        </is>
      </c>
      <c r="R1183" s="60" t="inlineStr">
        <is>
          <t> </t>
        </is>
      </c>
      <c r="S1183" s="60" t="inlineStr">
        <is>
          <t> </t>
        </is>
      </c>
      <c r="T1183" s="60" t="inlineStr">
        <is>
          <t> </t>
        </is>
      </c>
      <c r="U1183" s="60" t="n">
        <v>100247</v>
      </c>
      <c r="V1183" t="inlineStr">
        <is>
          <t>KIT6-CUECAS-S/COSTURA-PRETO/VINHO-P</t>
        </is>
      </c>
      <c r="W1183" t="inlineStr">
        <is>
          <t>SKU idêntico na Olist · CUSTO ZERADO na Olist (conferido hoje)</t>
        </is>
      </c>
      <c r="Y1183" t="inlineStr">
        <is>
          <t>ok</t>
        </is>
      </c>
    </row>
    <row r="1184" ht="18" customHeight="1">
      <c r="A1184" s="54" t="inlineStr">
        <is>
          <t>Donacor</t>
        </is>
      </c>
      <c r="B1184" s="54" t="inlineStr">
        <is>
          <t>Kit Potes de Vidro 200/300/550/2000ml com Tampa de Bambu Hermético Mantimentos Condimentos Empilhaveis</t>
        </is>
      </c>
      <c r="C1184" s="54" t="inlineStr">
        <is>
          <t>200 Ml,1 Unidade</t>
        </is>
      </c>
      <c r="D1184" s="54" t="inlineStr">
        <is>
          <t>POTE-REDONDO-BAMBU-200ml-1UN</t>
        </is>
      </c>
      <c r="E1184" s="54" t="n">
        <v>44562647484</v>
      </c>
      <c r="F1184" s="54" t="n">
        <v>316096802883</v>
      </c>
      <c r="G1184" s="54" t="inlineStr">
        <is>
          <t>NORMAL</t>
        </is>
      </c>
      <c r="H1184" s="86" t="n">
        <v>39.9</v>
      </c>
      <c r="I1184" s="86" t="n">
        <v>8.9</v>
      </c>
      <c r="J1184" s="56" t="inlineStr">
        <is>
          <t>SIM</t>
        </is>
      </c>
      <c r="K1184" s="86" t="n">
        <v>8.9</v>
      </c>
      <c r="L1184" s="87" t="n">
        <v>8.9</v>
      </c>
      <c r="M1184" s="88" t="n">
        <v>1</v>
      </c>
      <c r="N1184" s="89" t="n">
        <v>2.13</v>
      </c>
      <c r="O1184" s="89">
        <f>ROUND(M1184*N1184,2)</f>
        <v/>
      </c>
      <c r="P1184" s="90">
        <f>IF($O1184="","",L1184-O1184-(L1184*IF(L1184&lt;=79.99,20%,14%)+IF(L1184&lt;=79.99,4,IF(L1184&lt;=99.99,16,IF(L1184&lt;=199.99,20,IF(L1184&lt;=499.99,26,28)))))-L1184*1.3%-L1184*6%-(L1184-O1184)*9.25%-L1184*3%-L1184*3%-1)</f>
        <v/>
      </c>
      <c r="Q1184" s="58" t="n">
        <v>0.777</v>
      </c>
      <c r="R1184" s="54" t="inlineStr">
        <is>
          <t>478840979931317, 492080438919432</t>
        </is>
      </c>
      <c r="S1184" s="59" t="n">
        <v>46248</v>
      </c>
      <c r="T1184" s="59" t="n">
        <v>46248.99930555555</v>
      </c>
      <c r="U1184" s="54" t="n">
        <v>101220</v>
      </c>
      <c r="V1184" t="inlineStr">
        <is>
          <t>214797</t>
        </is>
      </c>
      <c r="W1184" t="inlineStr">
        <is>
          <t>venda casada (95 pedidos) · custo do KIT 214805 (1× 214797)</t>
        </is>
      </c>
      <c r="X1184" t="n">
        <v>95</v>
      </c>
      <c r="Y1184" t="inlineStr">
        <is>
          <t>ok</t>
        </is>
      </c>
    </row>
    <row r="1185" ht="18" customHeight="1">
      <c r="A1185" s="60" t="inlineStr">
        <is>
          <t>Donacor</t>
        </is>
      </c>
      <c r="B1185" s="60" t="inlineStr">
        <is>
          <t>Kit Potes de Vidro 200/300/550/2000ml com Tampa de Bambu Hermético Mantimentos Condimentos Empilhaveis</t>
        </is>
      </c>
      <c r="C1185" s="60" t="inlineStr">
        <is>
          <t>200 Ml,2 Unidade</t>
        </is>
      </c>
      <c r="D1185" s="60" t="inlineStr">
        <is>
          <t>POTE-REDONDO-BAMBU-200ml-2UN</t>
        </is>
      </c>
      <c r="E1185" s="60" t="n">
        <v>44562647484</v>
      </c>
      <c r="F1185" s="60" t="n">
        <v>316096802884</v>
      </c>
      <c r="G1185" s="60" t="inlineStr">
        <is>
          <t>NORMAL</t>
        </is>
      </c>
      <c r="H1185" s="91" t="n">
        <v>64.90000000000001</v>
      </c>
      <c r="I1185" s="91" t="n">
        <v>15.9</v>
      </c>
      <c r="J1185" s="65" t="inlineStr">
        <is>
          <t>SIM</t>
        </is>
      </c>
      <c r="K1185" s="91" t="n">
        <v>15.9</v>
      </c>
      <c r="L1185" s="87" t="n">
        <v>15.9</v>
      </c>
      <c r="M1185" s="88" t="n">
        <v>2</v>
      </c>
      <c r="N1185" s="89" t="n">
        <v>2.13</v>
      </c>
      <c r="O1185" s="89">
        <f>ROUND(M1185*N1185,2)</f>
        <v/>
      </c>
      <c r="P1185" s="92">
        <f>IF($O1185="","",L1185-O1185-(L1185*IF(L1185&lt;=79.99,20%,14%)+IF(L1185&lt;=79.99,4,IF(L1185&lt;=99.99,16,IF(L1185&lt;=199.99,20,IF(L1185&lt;=499.99,26,28)))))-L1185*1.3%-L1185*6%-(L1185-O1185)*9.25%-L1185*3%-L1185*3%-1)</f>
        <v/>
      </c>
      <c r="Q1185" s="67" t="n">
        <v>0.755</v>
      </c>
      <c r="R1185" s="60" t="inlineStr">
        <is>
          <t>478840979931317, 492080438919432</t>
        </is>
      </c>
      <c r="S1185" s="68" t="n">
        <v>46248</v>
      </c>
      <c r="T1185" s="68" t="n">
        <v>46248.99930555555</v>
      </c>
      <c r="U1185" s="60" t="n">
        <v>101220</v>
      </c>
      <c r="V1185" t="inlineStr">
        <is>
          <t>214797</t>
        </is>
      </c>
      <c r="W1185" t="inlineStr">
        <is>
          <t>venda casada (158 pedidos) · custo do KIT 215802 (2× 214797)</t>
        </is>
      </c>
      <c r="X1185" t="n">
        <v>158</v>
      </c>
      <c r="Y1185" t="inlineStr">
        <is>
          <t>ok</t>
        </is>
      </c>
    </row>
    <row r="1186" ht="18" customHeight="1">
      <c r="A1186" s="54" t="inlineStr">
        <is>
          <t>Donacor</t>
        </is>
      </c>
      <c r="B1186" s="54" t="inlineStr">
        <is>
          <t>Kit Potes de Vidro 200/300/550/2000ml com Tampa de Bambu Hermético Mantimentos Condimentos Empilhaveis</t>
        </is>
      </c>
      <c r="C1186" s="54" t="inlineStr">
        <is>
          <t>200 Ml,3 Unidade</t>
        </is>
      </c>
      <c r="D1186" s="54" t="inlineStr">
        <is>
          <t>POTE-REDONDO-BAMBU-200ml-3UN</t>
        </is>
      </c>
      <c r="E1186" s="54" t="n">
        <v>44562647484</v>
      </c>
      <c r="F1186" s="54" t="n">
        <v>316096802885</v>
      </c>
      <c r="G1186" s="54" t="inlineStr">
        <is>
          <t>NORMAL</t>
        </is>
      </c>
      <c r="H1186" s="86" t="n">
        <v>86.90000000000001</v>
      </c>
      <c r="I1186" s="86" t="n">
        <v>27.9</v>
      </c>
      <c r="J1186" s="56" t="inlineStr">
        <is>
          <t>SIM</t>
        </is>
      </c>
      <c r="K1186" s="86" t="n">
        <v>27.9</v>
      </c>
      <c r="L1186" s="87" t="n">
        <v>27.9</v>
      </c>
      <c r="M1186" s="88" t="n">
        <v>3</v>
      </c>
      <c r="N1186" s="89" t="n">
        <v>2.13</v>
      </c>
      <c r="O1186" s="89">
        <f>ROUND(M1186*N1186,2)</f>
        <v/>
      </c>
      <c r="P1186" s="90">
        <f>IF($O1186="","",L1186-O1186-(L1186*IF(L1186&lt;=79.99,20%,14%)+IF(L1186&lt;=79.99,4,IF(L1186&lt;=99.99,16,IF(L1186&lt;=199.99,20,IF(L1186&lt;=499.99,26,28)))))-L1186*1.3%-L1186*6%-(L1186-O1186)*9.25%-L1186*3%-L1186*3%-1)</f>
        <v/>
      </c>
      <c r="Q1186" s="58" t="n">
        <v>0.679</v>
      </c>
      <c r="R1186" s="54" t="inlineStr">
        <is>
          <t>478840979931317, 492080438919432</t>
        </is>
      </c>
      <c r="S1186" s="59" t="n">
        <v>46248</v>
      </c>
      <c r="T1186" s="59" t="n">
        <v>46248.99930555555</v>
      </c>
      <c r="U1186" s="54" t="n">
        <v>101220</v>
      </c>
      <c r="V1186" t="inlineStr">
        <is>
          <t>214797</t>
        </is>
      </c>
      <c r="W1186" t="inlineStr">
        <is>
          <t>venda casada (46 pedidos) · custo do KIT 214807 (3× 214797)</t>
        </is>
      </c>
      <c r="X1186" t="n">
        <v>46</v>
      </c>
      <c r="Y1186" t="inlineStr">
        <is>
          <t>ok</t>
        </is>
      </c>
    </row>
    <row r="1187" ht="18" customHeight="1">
      <c r="A1187" s="60" t="inlineStr">
        <is>
          <t>Donacor</t>
        </is>
      </c>
      <c r="B1187" s="60" t="inlineStr">
        <is>
          <t>Kit Potes de Vidro 200/300/550/2000ml com Tampa de Bambu Hermético Mantimentos Condimentos Empilhaveis</t>
        </is>
      </c>
      <c r="C1187" s="60" t="inlineStr">
        <is>
          <t>2000 Ml,1 Unidade</t>
        </is>
      </c>
      <c r="D1187" s="60" t="inlineStr">
        <is>
          <t>POTE-REDONDO-BAMBU-2000ml-1UN</t>
        </is>
      </c>
      <c r="E1187" s="60" t="n">
        <v>44562647484</v>
      </c>
      <c r="F1187" s="60" t="n">
        <v>316096802892</v>
      </c>
      <c r="G1187" s="60" t="inlineStr">
        <is>
          <t>NORMAL</t>
        </is>
      </c>
      <c r="H1187" s="91" t="n">
        <v>69.90000000000001</v>
      </c>
      <c r="I1187" s="91" t="n">
        <v>39.9</v>
      </c>
      <c r="J1187" s="65" t="inlineStr">
        <is>
          <t>SIM</t>
        </is>
      </c>
      <c r="K1187" s="91" t="n">
        <v>39.9</v>
      </c>
      <c r="L1187" s="87" t="n">
        <v>39.9</v>
      </c>
      <c r="M1187" s="88" t="n">
        <v>1</v>
      </c>
      <c r="N1187" s="89" t="n">
        <v>8.83</v>
      </c>
      <c r="O1187" s="89">
        <f>ROUND(M1187*N1187,2)</f>
        <v/>
      </c>
      <c r="P1187" s="92">
        <f>IF($O1187="","",L1187-O1187-(L1187*IF(L1187&lt;=79.99,20%,14%)+IF(L1187&lt;=79.99,4,IF(L1187&lt;=99.99,16,IF(L1187&lt;=199.99,20,IF(L1187&lt;=499.99,26,28)))))-L1187*1.3%-L1187*6%-(L1187-O1187)*9.25%-L1187*3%-L1187*3%-1)</f>
        <v/>
      </c>
      <c r="Q1187" s="67" t="n">
        <v>0.429</v>
      </c>
      <c r="R1187" s="60" t="inlineStr">
        <is>
          <t>478840979931317, 492080438919432</t>
        </is>
      </c>
      <c r="S1187" s="68" t="n">
        <v>46248</v>
      </c>
      <c r="T1187" s="68" t="n">
        <v>46248.99930555555</v>
      </c>
      <c r="U1187" s="60" t="n">
        <v>101220</v>
      </c>
      <c r="V1187" t="inlineStr">
        <is>
          <t>214803</t>
        </is>
      </c>
      <c r="W1187" t="inlineStr">
        <is>
          <t>venda casada (22 pedidos) · custo do KIT 214841 (1× 214803)</t>
        </is>
      </c>
      <c r="X1187" t="n">
        <v>22</v>
      </c>
      <c r="Y1187" t="inlineStr">
        <is>
          <t>ok</t>
        </is>
      </c>
    </row>
    <row r="1188" ht="18" customHeight="1">
      <c r="A1188" s="54" t="inlineStr">
        <is>
          <t>Donacor</t>
        </is>
      </c>
      <c r="B1188" s="54" t="inlineStr">
        <is>
          <t>Kit Potes de Vidro 200/300/550/2000ml com Tampa de Bambu Hermético Mantimentos Condimentos Empilhaveis</t>
        </is>
      </c>
      <c r="C1188" s="54" t="inlineStr">
        <is>
          <t>2000 Ml,2 Unidade</t>
        </is>
      </c>
      <c r="D1188" s="54" t="inlineStr">
        <is>
          <t>POTE-REDONDO-BAMBU-2000ml-2UN</t>
        </is>
      </c>
      <c r="E1188" s="54" t="n">
        <v>44562647484</v>
      </c>
      <c r="F1188" s="54" t="n">
        <v>316096802893</v>
      </c>
      <c r="G1188" s="54" t="inlineStr">
        <is>
          <t>NORMAL</t>
        </is>
      </c>
      <c r="H1188" s="86" t="n">
        <v>129.9</v>
      </c>
      <c r="I1188" s="86" t="n">
        <v>74.90000000000001</v>
      </c>
      <c r="J1188" s="56" t="inlineStr">
        <is>
          <t>SIM</t>
        </is>
      </c>
      <c r="K1188" s="86" t="n">
        <v>74.90000000000001</v>
      </c>
      <c r="L1188" s="87" t="n">
        <v>74.90000000000001</v>
      </c>
      <c r="M1188" s="88" t="n">
        <v>2</v>
      </c>
      <c r="N1188" s="89" t="n">
        <v>8.83</v>
      </c>
      <c r="O1188" s="89">
        <f>ROUND(M1188*N1188,2)</f>
        <v/>
      </c>
      <c r="P1188" s="90">
        <f>IF($O1188="","",L1188-O1188-(L1188*IF(L1188&lt;=79.99,20%,14%)+IF(L1188&lt;=79.99,4,IF(L1188&lt;=99.99,16,IF(L1188&lt;=199.99,20,IF(L1188&lt;=499.99,26,28)))))-L1188*1.3%-L1188*6%-(L1188-O1188)*9.25%-L1188*3%-L1188*3%-1)</f>
        <v/>
      </c>
      <c r="Q1188" s="58" t="n">
        <v>0.423</v>
      </c>
      <c r="R1188" s="54" t="inlineStr">
        <is>
          <t>478840979931317, 492080438919432</t>
        </is>
      </c>
      <c r="S1188" s="59" t="n">
        <v>46248</v>
      </c>
      <c r="T1188" s="59" t="n">
        <v>46248.99930555555</v>
      </c>
      <c r="U1188" s="54" t="n">
        <v>101220</v>
      </c>
      <c r="V1188" t="inlineStr">
        <is>
          <t>214803</t>
        </is>
      </c>
      <c r="W1188" t="inlineStr">
        <is>
          <t>venda casada (8 pedidos) · custo do KIT 215808 (2× 214803)</t>
        </is>
      </c>
      <c r="X1188" t="n">
        <v>8</v>
      </c>
      <c r="Y1188" t="inlineStr">
        <is>
          <t>ok</t>
        </is>
      </c>
    </row>
    <row r="1189" ht="18" customHeight="1">
      <c r="A1189" s="60" t="inlineStr">
        <is>
          <t>Donacor</t>
        </is>
      </c>
      <c r="B1189" s="60" t="inlineStr">
        <is>
          <t>Kit Potes de Vidro 200/300/550/2000ml com Tampa de Bambu Hermético Mantimentos Condimentos Empilhaveis</t>
        </is>
      </c>
      <c r="C1189" s="60" t="inlineStr">
        <is>
          <t>2000 Ml,3 Unidade</t>
        </is>
      </c>
      <c r="D1189" s="60" t="inlineStr">
        <is>
          <t>POTE-REDONDO-BAMBU-2000ml-3UN</t>
        </is>
      </c>
      <c r="E1189" s="60" t="n">
        <v>44562647484</v>
      </c>
      <c r="F1189" s="60" t="n">
        <v>316096802894</v>
      </c>
      <c r="G1189" s="60" t="inlineStr">
        <is>
          <t>NORMAL</t>
        </is>
      </c>
      <c r="H1189" s="91" t="n">
        <v>149.9</v>
      </c>
      <c r="I1189" s="91" t="n">
        <v>104.9</v>
      </c>
      <c r="J1189" s="65" t="inlineStr">
        <is>
          <t>SIM</t>
        </is>
      </c>
      <c r="K1189" s="91" t="n">
        <v>104.9</v>
      </c>
      <c r="L1189" s="87" t="n">
        <v>104.9</v>
      </c>
      <c r="M1189" s="88" t="n">
        <v>3</v>
      </c>
      <c r="N1189" s="89" t="n">
        <v>8.83</v>
      </c>
      <c r="O1189" s="89">
        <f>ROUND(M1189*N1189,2)</f>
        <v/>
      </c>
      <c r="P1189" s="92">
        <f>IF($O1189="","",L1189-O1189-(L1189*IF(L1189&lt;=79.99,20%,14%)+IF(L1189&lt;=79.99,4,IF(L1189&lt;=99.99,16,IF(L1189&lt;=199.99,20,IF(L1189&lt;=499.99,26,28)))))-L1189*1.3%-L1189*6%-(L1189-O1189)*9.25%-L1189*3%-L1189*3%-1)</f>
        <v/>
      </c>
      <c r="Q1189" s="67" t="n">
        <v>0.3</v>
      </c>
      <c r="R1189" s="60" t="inlineStr">
        <is>
          <t>478840979931317, 492080438919432</t>
        </is>
      </c>
      <c r="S1189" s="68" t="n">
        <v>46248</v>
      </c>
      <c r="T1189" s="68" t="n">
        <v>46248.99930555555</v>
      </c>
      <c r="U1189" s="60" t="n">
        <v>101220</v>
      </c>
      <c r="V1189" t="inlineStr">
        <is>
          <t>214803</t>
        </is>
      </c>
      <c r="W1189" t="inlineStr">
        <is>
          <t>venda casada (15 pedidos) · custo do KIT 214843 (3× 214803)</t>
        </is>
      </c>
      <c r="X1189" t="n">
        <v>15</v>
      </c>
      <c r="Y1189" t="inlineStr">
        <is>
          <t>ok</t>
        </is>
      </c>
    </row>
    <row r="1190" ht="18" customHeight="1">
      <c r="A1190" s="54" t="inlineStr">
        <is>
          <t>Donacor</t>
        </is>
      </c>
      <c r="B1190" s="54" t="inlineStr">
        <is>
          <t>Kit Potes de Vidro 200/300/550/2000ml com Tampa de Bambu Hermético Mantimentos Condimentos Empilhaveis</t>
        </is>
      </c>
      <c r="C1190" s="54" t="inlineStr">
        <is>
          <t>300 Ml,1 Unidade</t>
        </is>
      </c>
      <c r="D1190" s="54" t="inlineStr">
        <is>
          <t>POTE-REDONDO-BAMBU-300ml-1UN</t>
        </is>
      </c>
      <c r="E1190" s="54" t="n">
        <v>44562647484</v>
      </c>
      <c r="F1190" s="54" t="n">
        <v>316096802886</v>
      </c>
      <c r="G1190" s="54" t="inlineStr">
        <is>
          <t>NORMAL</t>
        </is>
      </c>
      <c r="H1190" s="86" t="n">
        <v>49.9</v>
      </c>
      <c r="I1190" s="86" t="n">
        <v>9.9</v>
      </c>
      <c r="J1190" s="56" t="inlineStr">
        <is>
          <t>SIM</t>
        </is>
      </c>
      <c r="K1190" s="86" t="n">
        <v>9.9</v>
      </c>
      <c r="L1190" s="87" t="n">
        <v>9.9</v>
      </c>
      <c r="M1190" s="88" t="n">
        <v>1</v>
      </c>
      <c r="N1190" s="89" t="n">
        <v>2.5</v>
      </c>
      <c r="O1190" s="89">
        <f>ROUND(M1190*N1190,2)</f>
        <v/>
      </c>
      <c r="P1190" s="90">
        <f>IF($O1190="","",L1190-O1190-(L1190*IF(L1190&lt;=79.99,20%,14%)+IF(L1190&lt;=79.99,4,IF(L1190&lt;=99.99,16,IF(L1190&lt;=199.99,20,IF(L1190&lt;=499.99,26,28)))))-L1190*1.3%-L1190*6%-(L1190-O1190)*9.25%-L1190*3%-L1190*3%-1)</f>
        <v/>
      </c>
      <c r="Q1190" s="58" t="n">
        <v>0.802</v>
      </c>
      <c r="R1190" s="54" t="inlineStr">
        <is>
          <t>478840979931317, 492080438919432</t>
        </is>
      </c>
      <c r="S1190" s="59" t="n">
        <v>46248</v>
      </c>
      <c r="T1190" s="59" t="n">
        <v>46248.99930555555</v>
      </c>
      <c r="U1190" s="54" t="n">
        <v>101220</v>
      </c>
      <c r="V1190" t="inlineStr">
        <is>
          <t>214798</t>
        </is>
      </c>
      <c r="W1190" t="inlineStr">
        <is>
          <t>venda casada (129 pedidos) · custo do KIT 214811 (1× 214798)</t>
        </is>
      </c>
      <c r="X1190" t="n">
        <v>129</v>
      </c>
      <c r="Y1190" t="inlineStr">
        <is>
          <t>ok</t>
        </is>
      </c>
    </row>
    <row r="1191" ht="18" customHeight="1">
      <c r="A1191" s="60" t="inlineStr">
        <is>
          <t>Donacor</t>
        </is>
      </c>
      <c r="B1191" s="60" t="inlineStr">
        <is>
          <t>Kit Potes de Vidro 200/300/550/2000ml com Tampa de Bambu Hermético Mantimentos Condimentos Empilhaveis</t>
        </is>
      </c>
      <c r="C1191" s="60" t="inlineStr">
        <is>
          <t>300 Ml,2 Unidade</t>
        </is>
      </c>
      <c r="D1191" s="60" t="inlineStr">
        <is>
          <t>POTE-REDONDO-BAMBU-300ml-2UN</t>
        </is>
      </c>
      <c r="E1191" s="60" t="n">
        <v>44562647484</v>
      </c>
      <c r="F1191" s="60" t="n">
        <v>316096802887</v>
      </c>
      <c r="G1191" s="60" t="inlineStr">
        <is>
          <t>NORMAL</t>
        </is>
      </c>
      <c r="H1191" s="91" t="n">
        <v>69.90000000000001</v>
      </c>
      <c r="I1191" s="91" t="n">
        <v>17.9</v>
      </c>
      <c r="J1191" s="65" t="inlineStr">
        <is>
          <t>SIM</t>
        </is>
      </c>
      <c r="K1191" s="91" t="n">
        <v>17.9</v>
      </c>
      <c r="L1191" s="87" t="n">
        <v>17.9</v>
      </c>
      <c r="M1191" s="88" t="n">
        <v>2</v>
      </c>
      <c r="N1191" s="89" t="n">
        <v>2.5</v>
      </c>
      <c r="O1191" s="89">
        <f>ROUND(M1191*N1191,2)</f>
        <v/>
      </c>
      <c r="P1191" s="92">
        <f>IF($O1191="","",L1191-O1191-(L1191*IF(L1191&lt;=79.99,20%,14%)+IF(L1191&lt;=79.99,4,IF(L1191&lt;=99.99,16,IF(L1191&lt;=199.99,20,IF(L1191&lt;=499.99,26,28)))))-L1191*1.3%-L1191*6%-(L1191-O1191)*9.25%-L1191*3%-L1191*3%-1)</f>
        <v/>
      </c>
      <c r="Q1191" s="67" t="n">
        <v>0.744</v>
      </c>
      <c r="R1191" s="60" t="inlineStr">
        <is>
          <t>478840979931317, 492080438919432</t>
        </is>
      </c>
      <c r="S1191" s="68" t="n">
        <v>46248</v>
      </c>
      <c r="T1191" s="68" t="n">
        <v>46248.99930555555</v>
      </c>
      <c r="U1191" s="60" t="n">
        <v>101220</v>
      </c>
      <c r="V1191" t="inlineStr">
        <is>
          <t>214798</t>
        </is>
      </c>
      <c r="W1191" t="inlineStr">
        <is>
          <t>venda casada (277 pedidos) · custo do KIT 215803 (2× 214798)</t>
        </is>
      </c>
      <c r="X1191" t="n">
        <v>277</v>
      </c>
      <c r="Y1191" t="inlineStr">
        <is>
          <t>ok</t>
        </is>
      </c>
    </row>
    <row r="1192" ht="18" customHeight="1">
      <c r="A1192" s="54" t="inlineStr">
        <is>
          <t>Donacor</t>
        </is>
      </c>
      <c r="B1192" s="54" t="inlineStr">
        <is>
          <t>Kit Potes de Vidro 200/300/550/2000ml com Tampa de Bambu Hermético Mantimentos Condimentos Empilhaveis</t>
        </is>
      </c>
      <c r="C1192" s="54" t="inlineStr">
        <is>
          <t>300 Ml,3 Unidade</t>
        </is>
      </c>
      <c r="D1192" s="54" t="inlineStr">
        <is>
          <t>POTE-REDONDO-BAMBU-300ml-3UN</t>
        </is>
      </c>
      <c r="E1192" s="54" t="n">
        <v>44562647484</v>
      </c>
      <c r="F1192" s="54" t="n">
        <v>316096802888</v>
      </c>
      <c r="G1192" s="54" t="inlineStr">
        <is>
          <t>NORMAL</t>
        </is>
      </c>
      <c r="H1192" s="86" t="n">
        <v>89.90000000000001</v>
      </c>
      <c r="I1192" s="86" t="n">
        <v>29.9</v>
      </c>
      <c r="J1192" s="56" t="inlineStr">
        <is>
          <t>SIM</t>
        </is>
      </c>
      <c r="K1192" s="86" t="n">
        <v>29.9</v>
      </c>
      <c r="L1192" s="87" t="n">
        <v>29.9</v>
      </c>
      <c r="M1192" s="88" t="n">
        <v>3</v>
      </c>
      <c r="N1192" s="89" t="n">
        <v>2.5</v>
      </c>
      <c r="O1192" s="89">
        <f>ROUND(M1192*N1192,2)</f>
        <v/>
      </c>
      <c r="P1192" s="90">
        <f>IF($O1192="","",L1192-O1192-(L1192*IF(L1192&lt;=79.99,20%,14%)+IF(L1192&lt;=79.99,4,IF(L1192&lt;=99.99,16,IF(L1192&lt;=199.99,20,IF(L1192&lt;=499.99,26,28)))))-L1192*1.3%-L1192*6%-(L1192-O1192)*9.25%-L1192*3%-L1192*3%-1)</f>
        <v/>
      </c>
      <c r="Q1192" s="58" t="n">
        <v>0.667</v>
      </c>
      <c r="R1192" s="54" t="inlineStr">
        <is>
          <t>478840979931317, 492080438919432</t>
        </is>
      </c>
      <c r="S1192" s="59" t="n">
        <v>46248</v>
      </c>
      <c r="T1192" s="59" t="n">
        <v>46248.99930555555</v>
      </c>
      <c r="U1192" s="54" t="n">
        <v>101220</v>
      </c>
      <c r="V1192" t="inlineStr">
        <is>
          <t>214798</t>
        </is>
      </c>
      <c r="W1192" t="inlineStr">
        <is>
          <t>venda casada (144 pedidos) · custo do KIT 214813 (3× 214798)</t>
        </is>
      </c>
      <c r="X1192" t="n">
        <v>144</v>
      </c>
      <c r="Y1192" t="inlineStr">
        <is>
          <t>ok</t>
        </is>
      </c>
    </row>
    <row r="1193" ht="18" customHeight="1">
      <c r="A1193" s="60" t="inlineStr">
        <is>
          <t>Donacor</t>
        </is>
      </c>
      <c r="B1193" s="60" t="inlineStr">
        <is>
          <t>Kit Potes de Vidro 200/300/550/2000ml com Tampa de Bambu Hermético Mantimentos Condimentos Empilhaveis</t>
        </is>
      </c>
      <c r="C1193" s="60" t="inlineStr">
        <is>
          <t>550 Ml,1 Unidade</t>
        </is>
      </c>
      <c r="D1193" s="60" t="inlineStr">
        <is>
          <t>POTE-REDONDO-BAMBU-550ml-1UN</t>
        </is>
      </c>
      <c r="E1193" s="60" t="n">
        <v>44562647484</v>
      </c>
      <c r="F1193" s="60" t="n">
        <v>316096802889</v>
      </c>
      <c r="G1193" s="60" t="inlineStr">
        <is>
          <t>NORMAL</t>
        </is>
      </c>
      <c r="H1193" s="91" t="n">
        <v>59.9</v>
      </c>
      <c r="I1193" s="91" t="n">
        <v>12.9</v>
      </c>
      <c r="J1193" s="65" t="inlineStr">
        <is>
          <t>SIM</t>
        </is>
      </c>
      <c r="K1193" s="91" t="n">
        <v>12.9</v>
      </c>
      <c r="L1193" s="87" t="n">
        <v>12.9</v>
      </c>
      <c r="M1193" s="88" t="n">
        <v>1</v>
      </c>
      <c r="N1193" s="89" t="n">
        <v>3.26</v>
      </c>
      <c r="O1193" s="89">
        <f>ROUND(M1193*N1193,2)</f>
        <v/>
      </c>
      <c r="P1193" s="92">
        <f>IF($O1193="","",L1193-O1193-(L1193*IF(L1193&lt;=79.99,20%,14%)+IF(L1193&lt;=79.99,4,IF(L1193&lt;=99.99,16,IF(L1193&lt;=199.99,20,IF(L1193&lt;=499.99,26,28)))))-L1193*1.3%-L1193*6%-(L1193-O1193)*9.25%-L1193*3%-L1193*3%-1)</f>
        <v/>
      </c>
      <c r="Q1193" s="67" t="n">
        <v>0.785</v>
      </c>
      <c r="R1193" s="60" t="inlineStr">
        <is>
          <t>478840979931317, 492080438919432</t>
        </is>
      </c>
      <c r="S1193" s="68" t="n">
        <v>46248</v>
      </c>
      <c r="T1193" s="68" t="n">
        <v>46248.99930555555</v>
      </c>
      <c r="U1193" s="60" t="n">
        <v>101220</v>
      </c>
      <c r="V1193" t="inlineStr">
        <is>
          <t>214802</t>
        </is>
      </c>
      <c r="W1193" t="inlineStr">
        <is>
          <t>venda casada (568 pedidos) · custo do KIT 214835 (1× 214802)</t>
        </is>
      </c>
      <c r="X1193" t="n">
        <v>568</v>
      </c>
      <c r="Y1193" t="inlineStr">
        <is>
          <t>ok</t>
        </is>
      </c>
    </row>
    <row r="1194" ht="18" customHeight="1">
      <c r="A1194" s="54" t="inlineStr">
        <is>
          <t>Donacor</t>
        </is>
      </c>
      <c r="B1194" s="54" t="inlineStr">
        <is>
          <t>Kit Potes de Vidro 200/300/550/2000ml com Tampa de Bambu Hermético Mantimentos Condimentos Empilhaveis</t>
        </is>
      </c>
      <c r="C1194" s="54" t="inlineStr">
        <is>
          <t>550 Ml,2 Unidade</t>
        </is>
      </c>
      <c r="D1194" s="54" t="inlineStr">
        <is>
          <t>POTE-REDONDO-BAMBU-550ml-2UN</t>
        </is>
      </c>
      <c r="E1194" s="54" t="n">
        <v>44562647484</v>
      </c>
      <c r="F1194" s="54" t="n">
        <v>316096802890</v>
      </c>
      <c r="G1194" s="54" t="inlineStr">
        <is>
          <t>NORMAL</t>
        </is>
      </c>
      <c r="H1194" s="86" t="n">
        <v>89.90000000000001</v>
      </c>
      <c r="I1194" s="86" t="n">
        <v>34.9</v>
      </c>
      <c r="J1194" s="56" t="inlineStr">
        <is>
          <t>SIM</t>
        </is>
      </c>
      <c r="K1194" s="86" t="n">
        <v>34.9</v>
      </c>
      <c r="L1194" s="87" t="n">
        <v>34.9</v>
      </c>
      <c r="M1194" s="88" t="n">
        <v>2</v>
      </c>
      <c r="N1194" s="89" t="n">
        <v>3.26</v>
      </c>
      <c r="O1194" s="89">
        <f>ROUND(M1194*N1194,2)</f>
        <v/>
      </c>
      <c r="P1194" s="90">
        <f>IF($O1194="","",L1194-O1194-(L1194*IF(L1194&lt;=79.99,20%,14%)+IF(L1194&lt;=79.99,4,IF(L1194&lt;=99.99,16,IF(L1194&lt;=199.99,20,IF(L1194&lt;=499.99,26,28)))))-L1194*1.3%-L1194*6%-(L1194-O1194)*9.25%-L1194*3%-L1194*3%-1)</f>
        <v/>
      </c>
      <c r="Q1194" s="58" t="n">
        <v>0.612</v>
      </c>
      <c r="R1194" s="54" t="inlineStr">
        <is>
          <t>478840979931317, 492080438919432</t>
        </is>
      </c>
      <c r="S1194" s="59" t="n">
        <v>46248</v>
      </c>
      <c r="T1194" s="59" t="n">
        <v>46248.99930555555</v>
      </c>
      <c r="U1194" s="54" t="n">
        <v>101220</v>
      </c>
      <c r="V1194" t="inlineStr">
        <is>
          <t>214802</t>
        </is>
      </c>
      <c r="W1194" t="inlineStr">
        <is>
          <t>venda casada (61 pedidos) · custo do KIT 215807 (2× 214802)</t>
        </is>
      </c>
      <c r="X1194" t="n">
        <v>61</v>
      </c>
      <c r="Y1194" t="inlineStr">
        <is>
          <t>ok</t>
        </is>
      </c>
    </row>
    <row r="1195" ht="18" customHeight="1">
      <c r="A1195" s="60" t="inlineStr">
        <is>
          <t>Donacor</t>
        </is>
      </c>
      <c r="B1195" s="60" t="inlineStr">
        <is>
          <t>Kit Potes de Vidro 200/300/550/2000ml com Tampa de Bambu Hermético Mantimentos Condimentos Empilhaveis</t>
        </is>
      </c>
      <c r="C1195" s="60" t="inlineStr">
        <is>
          <t>550 Ml,3 Unidade</t>
        </is>
      </c>
      <c r="D1195" s="60" t="inlineStr">
        <is>
          <t>POTE-REDONDO-BAMBU-550ml-3UN</t>
        </is>
      </c>
      <c r="E1195" s="60" t="n">
        <v>44562647484</v>
      </c>
      <c r="F1195" s="60" t="n">
        <v>316096802891</v>
      </c>
      <c r="G1195" s="60" t="inlineStr">
        <is>
          <t>NORMAL</t>
        </is>
      </c>
      <c r="H1195" s="91" t="n">
        <v>139.9</v>
      </c>
      <c r="I1195" s="91" t="n">
        <v>44.9</v>
      </c>
      <c r="J1195" s="65" t="inlineStr">
        <is>
          <t>SIM</t>
        </is>
      </c>
      <c r="K1195" s="91" t="n">
        <v>44.9</v>
      </c>
      <c r="L1195" s="87" t="n">
        <v>44.9</v>
      </c>
      <c r="M1195" s="88" t="n">
        <v>3</v>
      </c>
      <c r="N1195" s="89" t="n">
        <v>3.26</v>
      </c>
      <c r="O1195" s="89">
        <f>ROUND(M1195*N1195,2)</f>
        <v/>
      </c>
      <c r="P1195" s="92">
        <f>IF($O1195="","",L1195-O1195-(L1195*IF(L1195&lt;=79.99,20%,14%)+IF(L1195&lt;=79.99,4,IF(L1195&lt;=99.99,16,IF(L1195&lt;=199.99,20,IF(L1195&lt;=499.99,26,28)))))-L1195*1.3%-L1195*6%-(L1195-O1195)*9.25%-L1195*3%-L1195*3%-1)</f>
        <v/>
      </c>
      <c r="Q1195" s="67" t="n">
        <v>0.679</v>
      </c>
      <c r="R1195" s="60" t="inlineStr">
        <is>
          <t>478840979931317, 492080438919432</t>
        </is>
      </c>
      <c r="S1195" s="68" t="n">
        <v>46248</v>
      </c>
      <c r="T1195" s="68" t="n">
        <v>46248.99930555555</v>
      </c>
      <c r="U1195" s="60" t="n">
        <v>101220</v>
      </c>
      <c r="V1195" t="inlineStr">
        <is>
          <t>214802</t>
        </is>
      </c>
      <c r="W1195" t="inlineStr">
        <is>
          <t>venda casada (104 pedidos) · custo do KIT 214837 (3× 214802)</t>
        </is>
      </c>
      <c r="X1195" t="n">
        <v>104</v>
      </c>
      <c r="Y1195" t="inlineStr">
        <is>
          <t>ok</t>
        </is>
      </c>
    </row>
    <row r="1196" ht="18" customHeight="1">
      <c r="A1196" s="54" t="inlineStr">
        <is>
          <t>Donacor</t>
        </is>
      </c>
      <c r="B1196" s="54" t="inlineStr">
        <is>
          <t>Kit Potes de Vidro 550ml com Tampa de Bambu Hermético Mantimentos Condimentos Empilhaveis</t>
        </is>
      </c>
      <c r="C1196" s="54" t="inlineStr">
        <is>
          <t>KIT C/ 2 POTES 550ML</t>
        </is>
      </c>
      <c r="D1196" s="54" t="inlineStr">
        <is>
          <t>POTE-REDONDO-BAMBU-550ml-2UN</t>
        </is>
      </c>
      <c r="E1196" s="54" t="n">
        <v>48662412424</v>
      </c>
      <c r="F1196" s="54" t="n">
        <v>361073868293</v>
      </c>
      <c r="G1196" s="54" t="inlineStr">
        <is>
          <t>NORMAL</t>
        </is>
      </c>
      <c r="H1196" s="86" t="n">
        <v>59.9</v>
      </c>
      <c r="I1196" s="86" t="n">
        <v>34.9</v>
      </c>
      <c r="J1196" s="56" t="inlineStr">
        <is>
          <t>SIM</t>
        </is>
      </c>
      <c r="K1196" s="86" t="n">
        <v>34.9</v>
      </c>
      <c r="L1196" s="87" t="n">
        <v>34.9</v>
      </c>
      <c r="M1196" s="88" t="n">
        <v>2</v>
      </c>
      <c r="N1196" s="89" t="n">
        <v>3.26</v>
      </c>
      <c r="O1196" s="89">
        <f>ROUND(M1196*N1196,2)</f>
        <v/>
      </c>
      <c r="P1196" s="90">
        <f>IF($O1196="","",L1196-O1196-(L1196*IF(L1196&lt;=79.99,20%,14%)+IF(L1196&lt;=79.99,4,IF(L1196&lt;=99.99,16,IF(L1196&lt;=199.99,20,IF(L1196&lt;=499.99,26,28)))))-L1196*1.3%-L1196*6%-(L1196-O1196)*9.25%-L1196*3%-L1196*3%-1)</f>
        <v/>
      </c>
      <c r="Q1196" s="58" t="n">
        <v>0.417</v>
      </c>
      <c r="R1196" s="54" t="n">
        <v>484945860710786</v>
      </c>
      <c r="S1196" s="59" t="n">
        <v>46227.73958333334</v>
      </c>
      <c r="T1196" s="59" t="n">
        <v>46405.45833333334</v>
      </c>
      <c r="U1196" s="54" t="n">
        <v>101220</v>
      </c>
      <c r="V1196" t="inlineStr">
        <is>
          <t>214802</t>
        </is>
      </c>
      <c r="W1196" t="inlineStr">
        <is>
          <t>venda casada (132 pedidos) · custo do KIT 215807 (2× 214802)</t>
        </is>
      </c>
      <c r="X1196" t="n">
        <v>132</v>
      </c>
      <c r="Y1196" t="inlineStr">
        <is>
          <t>ok</t>
        </is>
      </c>
    </row>
    <row r="1197" ht="18" customHeight="1">
      <c r="A1197" s="60" t="inlineStr">
        <is>
          <t>Donacor</t>
        </is>
      </c>
      <c r="B1197" s="60" t="inlineStr">
        <is>
          <t>Kit Potes de Vidro 550ml com Tampa de Bambu Hermético Mantimentos Condimentos Empilhaveis</t>
        </is>
      </c>
      <c r="C1197" s="60" t="inlineStr">
        <is>
          <t>KIT C/ 3 POTES 550ML</t>
        </is>
      </c>
      <c r="D1197" s="60" t="inlineStr">
        <is>
          <t>POTE-REDONDO-BAMBU-550ml-3UN</t>
        </is>
      </c>
      <c r="E1197" s="60" t="n">
        <v>48662412424</v>
      </c>
      <c r="F1197" s="60" t="n">
        <v>361073868294</v>
      </c>
      <c r="G1197" s="60" t="inlineStr">
        <is>
          <t>NORMAL</t>
        </is>
      </c>
      <c r="H1197" s="91" t="n">
        <v>89.90000000000001</v>
      </c>
      <c r="I1197" s="91" t="n">
        <v>44.9</v>
      </c>
      <c r="J1197" s="65" t="inlineStr">
        <is>
          <t>SIM</t>
        </is>
      </c>
      <c r="K1197" s="91" t="n">
        <v>44.9</v>
      </c>
      <c r="L1197" s="87" t="n">
        <v>44.9</v>
      </c>
      <c r="M1197" s="88" t="n">
        <v>3</v>
      </c>
      <c r="N1197" s="89" t="n">
        <v>3.26</v>
      </c>
      <c r="O1197" s="89">
        <f>ROUND(M1197*N1197,2)</f>
        <v/>
      </c>
      <c r="P1197" s="92">
        <f>IF($O1197="","",L1197-O1197-(L1197*IF(L1197&lt;=79.99,20%,14%)+IF(L1197&lt;=79.99,4,IF(L1197&lt;=99.99,16,IF(L1197&lt;=199.99,20,IF(L1197&lt;=499.99,26,28)))))-L1197*1.3%-L1197*6%-(L1197-O1197)*9.25%-L1197*3%-L1197*3%-1)</f>
        <v/>
      </c>
      <c r="Q1197" s="67" t="n">
        <v>0.501</v>
      </c>
      <c r="R1197" s="60" t="n">
        <v>484945860710786</v>
      </c>
      <c r="S1197" s="68" t="n">
        <v>46227.73958333334</v>
      </c>
      <c r="T1197" s="68" t="n">
        <v>46405.45833333334</v>
      </c>
      <c r="U1197" s="60" t="n">
        <v>101220</v>
      </c>
      <c r="V1197" t="inlineStr">
        <is>
          <t>214802</t>
        </is>
      </c>
      <c r="W1197" t="inlineStr">
        <is>
          <t>venda casada (288 pedidos) · custo do KIT 214837 (3× 214802)</t>
        </is>
      </c>
      <c r="X1197" t="n">
        <v>288</v>
      </c>
      <c r="Y1197" t="inlineStr">
        <is>
          <t>ok</t>
        </is>
      </c>
    </row>
    <row r="1198" ht="18" customHeight="1">
      <c r="A1198" s="54" t="inlineStr">
        <is>
          <t>Donacor</t>
        </is>
      </c>
      <c r="B1198" s="54" t="inlineStr">
        <is>
          <t>Kit Potes de Vidro 550ml com Tampa de Bambu Hermético Mantimentos Condimentos Empilhaveis</t>
        </is>
      </c>
      <c r="C1198" s="54" t="inlineStr">
        <is>
          <t>KIT C/ 6 POTES 550ML</t>
        </is>
      </c>
      <c r="D1198" s="54" t="inlineStr">
        <is>
          <t>POTE-REDONDO-BAMBU-550ml-6UN</t>
        </is>
      </c>
      <c r="E1198" s="54" t="n">
        <v>48662412424</v>
      </c>
      <c r="F1198" s="54" t="n">
        <v>361073868295</v>
      </c>
      <c r="G1198" s="54" t="inlineStr">
        <is>
          <t>NORMAL</t>
        </is>
      </c>
      <c r="H1198" s="86" t="n">
        <v>189.9</v>
      </c>
      <c r="I1198" s="86" t="n">
        <v>80.90000000000001</v>
      </c>
      <c r="J1198" s="56" t="inlineStr">
        <is>
          <t>SIM</t>
        </is>
      </c>
      <c r="K1198" s="86" t="n">
        <v>80.90000000000001</v>
      </c>
      <c r="L1198" s="87" t="n">
        <v>80.90000000000001</v>
      </c>
      <c r="M1198" s="88" t="n">
        <v>6</v>
      </c>
      <c r="N1198" s="89" t="n">
        <v>3.26</v>
      </c>
      <c r="O1198" s="89">
        <f>ROUND(M1198*N1198,2)</f>
        <v/>
      </c>
      <c r="P1198" s="90">
        <f>IF($O1198="","",L1198-O1198-(L1198*IF(L1198&lt;=79.99,20%,14%)+IF(L1198&lt;=79.99,4,IF(L1198&lt;=99.99,16,IF(L1198&lt;=199.99,20,IF(L1198&lt;=499.99,26,28)))))-L1198*1.3%-L1198*6%-(L1198-O1198)*9.25%-L1198*3%-L1198*3%-1)</f>
        <v/>
      </c>
      <c r="Q1198" s="58" t="n">
        <v>0.574</v>
      </c>
      <c r="R1198" s="54" t="n">
        <v>484945860710786</v>
      </c>
      <c r="S1198" s="59" t="n">
        <v>46227.73958333334</v>
      </c>
      <c r="T1198" s="59" t="n">
        <v>46405.45833333334</v>
      </c>
      <c r="U1198" s="54" t="n">
        <v>101220</v>
      </c>
      <c r="V1198" t="inlineStr">
        <is>
          <t>214802</t>
        </is>
      </c>
      <c r="W1198" t="inlineStr">
        <is>
          <t>venda casada (107 pedidos) · custo do KIT 214839 (6× 214802)</t>
        </is>
      </c>
      <c r="X1198" t="n">
        <v>107</v>
      </c>
      <c r="Y1198" t="inlineStr">
        <is>
          <t>ok</t>
        </is>
      </c>
    </row>
    <row r="1199" ht="18" customHeight="1">
      <c r="A1199" s="60" t="inlineStr">
        <is>
          <t>Donacor</t>
        </is>
      </c>
      <c r="B1199" s="60" t="inlineStr">
        <is>
          <t>Kit Potes de Vidro 550ml com Tampa de Bambu Hermético Mantimentos Condimentos Empilhaveis</t>
        </is>
      </c>
      <c r="C1199" s="60" t="inlineStr">
        <is>
          <t>KIT C/ 9 POTES 550ML</t>
        </is>
      </c>
      <c r="D1199" s="60" t="inlineStr">
        <is>
          <t>POTE-REDONDO-BAMBU-550ml-9UN</t>
        </is>
      </c>
      <c r="E1199" s="60" t="n">
        <v>48662412424</v>
      </c>
      <c r="F1199" s="60" t="n">
        <v>361073868296</v>
      </c>
      <c r="G1199" s="60" t="inlineStr">
        <is>
          <t>NORMAL</t>
        </is>
      </c>
      <c r="H1199" s="91" t="n">
        <v>199.9</v>
      </c>
      <c r="I1199" s="91" t="n">
        <v>129.9</v>
      </c>
      <c r="J1199" s="65" t="inlineStr">
        <is>
          <t>SIM</t>
        </is>
      </c>
      <c r="K1199" s="91" t="n">
        <v>129.9</v>
      </c>
      <c r="L1199" s="87" t="n">
        <v>129.9</v>
      </c>
      <c r="M1199" s="88" t="n">
        <v>9</v>
      </c>
      <c r="N1199" s="89" t="n">
        <v>3.26</v>
      </c>
      <c r="O1199" s="89">
        <f>ROUND(M1199*N1199,2)</f>
        <v/>
      </c>
      <c r="P1199" s="92">
        <f>IF($O1199="","",L1199-O1199-(L1199*IF(L1199&lt;=79.99,20%,14%)+IF(L1199&lt;=79.99,4,IF(L1199&lt;=99.99,16,IF(L1199&lt;=199.99,20,IF(L1199&lt;=499.99,26,28)))))-L1199*1.3%-L1199*6%-(L1199-O1199)*9.25%-L1199*3%-L1199*3%-1)</f>
        <v/>
      </c>
      <c r="Q1199" s="67" t="n">
        <v>0.35</v>
      </c>
      <c r="R1199" s="60" t="n">
        <v>484945860710786</v>
      </c>
      <c r="S1199" s="68" t="n">
        <v>46227.73958333334</v>
      </c>
      <c r="T1199" s="68" t="n">
        <v>46405.45833333334</v>
      </c>
      <c r="U1199" s="60" t="n">
        <v>101220</v>
      </c>
      <c r="V1199" t="inlineStr">
        <is>
          <t>214802</t>
        </is>
      </c>
      <c r="W1199" t="inlineStr">
        <is>
          <t>venda casada (20 pedidos) · custo do KIT 214840 (9× 214802)</t>
        </is>
      </c>
      <c r="X1199" t="n">
        <v>20</v>
      </c>
      <c r="Y1199" t="inlineStr">
        <is>
          <t>ok</t>
        </is>
      </c>
    </row>
    <row r="1200" ht="18" customHeight="1">
      <c r="A1200" s="54" t="inlineStr">
        <is>
          <t>Donacor</t>
        </is>
      </c>
      <c r="B1200" s="54" t="inlineStr">
        <is>
          <t>Kit potes de vidro com tampa de bambu herméticos para mantimentos empilháveis 300ml</t>
        </is>
      </c>
      <c r="C1200" s="54" t="inlineStr">
        <is>
          <t>KITS 3 POTES</t>
        </is>
      </c>
      <c r="D1200" s="54" t="inlineStr">
        <is>
          <t>POTE-REDONDO-BAMBU-300ml-3UN</t>
        </is>
      </c>
      <c r="E1200" s="54" t="n">
        <v>46262415815</v>
      </c>
      <c r="F1200" s="54" t="n">
        <v>396073769817</v>
      </c>
      <c r="G1200" s="54" t="inlineStr">
        <is>
          <t>NORMAL</t>
        </is>
      </c>
      <c r="H1200" s="86" t="n">
        <v>79.90000000000001</v>
      </c>
      <c r="I1200" s="86" t="n">
        <v>29.89</v>
      </c>
      <c r="J1200" s="56" t="inlineStr">
        <is>
          <t>SIM</t>
        </is>
      </c>
      <c r="K1200" s="86" t="n">
        <v>29.89</v>
      </c>
      <c r="L1200" s="87" t="n">
        <v>29.89</v>
      </c>
      <c r="M1200" s="88" t="n">
        <v>3</v>
      </c>
      <c r="N1200" s="89" t="n">
        <v>2.5</v>
      </c>
      <c r="O1200" s="89">
        <f>ROUND(M1200*N1200,2)</f>
        <v/>
      </c>
      <c r="P1200" s="90">
        <f>IF($O1200="","",L1200-O1200-(L1200*IF(L1200&lt;=79.99,20%,14%)+IF(L1200&lt;=79.99,4,IF(L1200&lt;=99.99,16,IF(L1200&lt;=199.99,20,IF(L1200&lt;=499.99,26,28)))))-L1200*1.3%-L1200*6%-(L1200-O1200)*9.25%-L1200*3%-L1200*3%-1)</f>
        <v/>
      </c>
      <c r="Q1200" s="58" t="n">
        <v>0.626</v>
      </c>
      <c r="R1200" s="54" t="inlineStr">
        <is>
          <t>478840979931317, 492080438919432</t>
        </is>
      </c>
      <c r="S1200" s="59" t="n">
        <v>46248</v>
      </c>
      <c r="T1200" s="59" t="n">
        <v>46248.99930555555</v>
      </c>
      <c r="U1200" s="54" t="n">
        <v>101220</v>
      </c>
      <c r="V1200" t="inlineStr">
        <is>
          <t>214798</t>
        </is>
      </c>
      <c r="W1200" t="inlineStr">
        <is>
          <t>venda casada (272 pedidos) · custo do KIT 214813 (3× 214798)</t>
        </is>
      </c>
      <c r="X1200" t="n">
        <v>272</v>
      </c>
      <c r="Y1200" t="inlineStr">
        <is>
          <t>ok</t>
        </is>
      </c>
    </row>
    <row r="1201" ht="18" customHeight="1">
      <c r="A1201" s="60" t="inlineStr">
        <is>
          <t>Donacor</t>
        </is>
      </c>
      <c r="B1201" s="60" t="inlineStr">
        <is>
          <t>Kit potes de vidro com tampa de bambu herméticos para mantimentos empilháveis 300ml</t>
        </is>
      </c>
      <c r="C1201" s="60" t="inlineStr">
        <is>
          <t>KITS 6 POTES</t>
        </is>
      </c>
      <c r="D1201" s="60" t="inlineStr">
        <is>
          <t>POTE-REDONDO-BAMBU-300ml-6UN</t>
        </is>
      </c>
      <c r="E1201" s="60" t="n">
        <v>46262415815</v>
      </c>
      <c r="F1201" s="60" t="n">
        <v>396073769818</v>
      </c>
      <c r="G1201" s="60" t="inlineStr">
        <is>
          <t>NORMAL</t>
        </is>
      </c>
      <c r="H1201" s="91" t="n">
        <v>99.90000000000001</v>
      </c>
      <c r="I1201" s="91" t="n">
        <v>48.89</v>
      </c>
      <c r="J1201" s="65" t="inlineStr">
        <is>
          <t>SIM</t>
        </is>
      </c>
      <c r="K1201" s="91" t="n">
        <v>48.89</v>
      </c>
      <c r="L1201" s="87" t="n">
        <v>48.89</v>
      </c>
      <c r="M1201" s="88" t="n">
        <v>6</v>
      </c>
      <c r="N1201" s="89" t="n">
        <v>2.5</v>
      </c>
      <c r="O1201" s="89">
        <f>ROUND(M1201*N1201,2)</f>
        <v/>
      </c>
      <c r="P1201" s="92">
        <f>IF($O1201="","",L1201-O1201-(L1201*IF(L1201&lt;=79.99,20%,14%)+IF(L1201&lt;=79.99,4,IF(L1201&lt;=99.99,16,IF(L1201&lt;=199.99,20,IF(L1201&lt;=499.99,26,28)))))-L1201*1.3%-L1201*6%-(L1201-O1201)*9.25%-L1201*3%-L1201*3%-1)</f>
        <v/>
      </c>
      <c r="Q1201" s="67" t="n">
        <v>0.511</v>
      </c>
      <c r="R1201" s="60" t="inlineStr">
        <is>
          <t>478840979931317, 492080438919432</t>
        </is>
      </c>
      <c r="S1201" s="68" t="n">
        <v>46248</v>
      </c>
      <c r="T1201" s="68" t="n">
        <v>46248.99930555555</v>
      </c>
      <c r="U1201" s="60" t="n">
        <v>101220</v>
      </c>
      <c r="V1201" t="inlineStr">
        <is>
          <t>214798</t>
        </is>
      </c>
      <c r="W1201" t="inlineStr">
        <is>
          <t>venda casada (154 pedidos) · custo do KIT 214815 (6× 214798)</t>
        </is>
      </c>
      <c r="X1201" t="n">
        <v>154</v>
      </c>
      <c r="Y1201" t="inlineStr">
        <is>
          <t>ok</t>
        </is>
      </c>
    </row>
    <row r="1202" ht="18" customHeight="1">
      <c r="A1202" s="54" t="inlineStr">
        <is>
          <t>Donacor</t>
        </is>
      </c>
      <c r="B1202" s="54" t="inlineStr">
        <is>
          <t>Kit potes de vidro com tampa de bambu herméticos para mantimentos empilháveis 300ml</t>
        </is>
      </c>
      <c r="C1202" s="54" t="inlineStr">
        <is>
          <t>KITS 9 POTES</t>
        </is>
      </c>
      <c r="D1202" s="54" t="inlineStr">
        <is>
          <t>POTE-REDONDO-BAMBU-300ml-9UN</t>
        </is>
      </c>
      <c r="E1202" s="54" t="n">
        <v>46262415815</v>
      </c>
      <c r="F1202" s="54" t="n">
        <v>396073769819</v>
      </c>
      <c r="G1202" s="54" t="inlineStr">
        <is>
          <t>NORMAL</t>
        </is>
      </c>
      <c r="H1202" s="86" t="n">
        <v>129.9</v>
      </c>
      <c r="I1202" s="86" t="n">
        <v>86.89</v>
      </c>
      <c r="J1202" s="56" t="inlineStr">
        <is>
          <t>SIM</t>
        </is>
      </c>
      <c r="K1202" s="86" t="n">
        <v>86.89</v>
      </c>
      <c r="L1202" s="87" t="n">
        <v>86.89</v>
      </c>
      <c r="M1202" s="88" t="n">
        <v>9</v>
      </c>
      <c r="N1202" s="89" t="n">
        <v>2.5</v>
      </c>
      <c r="O1202" s="89">
        <f>ROUND(M1202*N1202,2)</f>
        <v/>
      </c>
      <c r="P1202" s="90">
        <f>IF($O1202="","",L1202-O1202-(L1202*IF(L1202&lt;=79.99,20%,14%)+IF(L1202&lt;=79.99,4,IF(L1202&lt;=99.99,16,IF(L1202&lt;=199.99,20,IF(L1202&lt;=499.99,26,28)))))-L1202*1.3%-L1202*6%-(L1202-O1202)*9.25%-L1202*3%-L1202*3%-1)</f>
        <v/>
      </c>
      <c r="Q1202" s="58" t="n">
        <v>0.331</v>
      </c>
      <c r="R1202" s="54" t="inlineStr">
        <is>
          <t>478840979931317, 492080438919432</t>
        </is>
      </c>
      <c r="S1202" s="59" t="n">
        <v>46248</v>
      </c>
      <c r="T1202" s="59" t="n">
        <v>46248.99930555555</v>
      </c>
      <c r="U1202" s="54" t="n">
        <v>101220</v>
      </c>
      <c r="V1202" t="inlineStr">
        <is>
          <t>214798</t>
        </is>
      </c>
      <c r="W1202" t="inlineStr">
        <is>
          <t>venda casada (12 pedidos) · custo do KIT 214816 (9× 214798)</t>
        </is>
      </c>
      <c r="X1202" t="n">
        <v>12</v>
      </c>
      <c r="Y1202" t="inlineStr">
        <is>
          <t>ok</t>
        </is>
      </c>
    </row>
    <row r="1203" ht="18" customHeight="1">
      <c r="A1203" s="60" t="inlineStr">
        <is>
          <t>Donacor</t>
        </is>
      </c>
      <c r="B1203" s="60" t="inlineStr">
        <is>
          <t>Kit Potes Hermético 200ml De Mantimentos Redondo Com Tampa Bambu</t>
        </is>
      </c>
      <c r="C1203" s="60" t="inlineStr">
        <is>
          <t>KIT C/ 10 POTES 200ML</t>
        </is>
      </c>
      <c r="D1203" s="60" t="inlineStr">
        <is>
          <t>POTE-REDONDO-BAMBU-200ml-10UN</t>
        </is>
      </c>
      <c r="E1203" s="60" t="n">
        <v>44431795903</v>
      </c>
      <c r="F1203" s="60" t="n">
        <v>336073832760</v>
      </c>
      <c r="G1203" s="60" t="inlineStr">
        <is>
          <t>NORMAL</t>
        </is>
      </c>
      <c r="H1203" s="91" t="n">
        <v>189.9</v>
      </c>
      <c r="I1203" s="91" t="n">
        <v>84.90000000000001</v>
      </c>
      <c r="J1203" s="65" t="inlineStr">
        <is>
          <t>SIM</t>
        </is>
      </c>
      <c r="K1203" s="91" t="n">
        <v>84.90000000000001</v>
      </c>
      <c r="L1203" s="87" t="n">
        <v>84.90000000000001</v>
      </c>
      <c r="M1203" s="88" t="n">
        <v>10</v>
      </c>
      <c r="N1203" s="89" t="n">
        <v>2.13</v>
      </c>
      <c r="O1203" s="89">
        <f>ROUND(M1203*N1203,2)</f>
        <v/>
      </c>
      <c r="P1203" s="92">
        <f>IF($O1203="","",L1203-O1203-(L1203*IF(L1203&lt;=79.99,20%,14%)+IF(L1203&lt;=79.99,4,IF(L1203&lt;=99.99,16,IF(L1203&lt;=199.99,20,IF(L1203&lt;=499.99,26,28)))))-L1203*1.3%-L1203*6%-(L1203-O1203)*9.25%-L1203*3%-L1203*3%-1)</f>
        <v/>
      </c>
      <c r="Q1203" s="67" t="n">
        <v>0.553</v>
      </c>
      <c r="R1203" s="60" t="n">
        <v>484945860710786</v>
      </c>
      <c r="S1203" s="68" t="n">
        <v>46227.73958333334</v>
      </c>
      <c r="T1203" s="68" t="n">
        <v>46405.45833333334</v>
      </c>
      <c r="U1203" s="60" t="n">
        <v>101220</v>
      </c>
      <c r="V1203" t="inlineStr">
        <is>
          <t>214797</t>
        </is>
      </c>
      <c r="W1203" t="inlineStr">
        <is>
          <t>herdado do anúncio (escalado 4→10 un) · custo do KIT 214855 (10× 214797)</t>
        </is>
      </c>
      <c r="Y1203" t="inlineStr">
        <is>
          <t>ok</t>
        </is>
      </c>
    </row>
    <row r="1204" ht="18" customHeight="1">
      <c r="A1204" s="54" t="inlineStr">
        <is>
          <t>Donacor</t>
        </is>
      </c>
      <c r="B1204" s="54" t="inlineStr">
        <is>
          <t>Kit Potes Hermético 200ml De Mantimentos Redondo Com Tampa Bambu</t>
        </is>
      </c>
      <c r="C1204" s="54" t="inlineStr">
        <is>
          <t>KIT C/ 4 POTES 200ML</t>
        </is>
      </c>
      <c r="D1204" s="54" t="inlineStr">
        <is>
          <t>POTE-REDONDO-BAMBU-200ml-4UN</t>
        </is>
      </c>
      <c r="E1204" s="54" t="n">
        <v>44431795903</v>
      </c>
      <c r="F1204" s="54" t="n">
        <v>336073832757</v>
      </c>
      <c r="G1204" s="54" t="inlineStr">
        <is>
          <t>NORMAL</t>
        </is>
      </c>
      <c r="H1204" s="86" t="n">
        <v>129.9</v>
      </c>
      <c r="I1204" s="86" t="n">
        <v>35.9</v>
      </c>
      <c r="J1204" s="56" t="inlineStr">
        <is>
          <t>SIM</t>
        </is>
      </c>
      <c r="K1204" s="86" t="n">
        <v>35.9</v>
      </c>
      <c r="L1204" s="87" t="n">
        <v>35.9</v>
      </c>
      <c r="M1204" s="88" t="n">
        <v>4</v>
      </c>
      <c r="N1204" s="89" t="n">
        <v>2.13</v>
      </c>
      <c r="O1204" s="89">
        <f>ROUND(M1204*N1204,2)</f>
        <v/>
      </c>
      <c r="P1204" s="90">
        <f>IF($O1204="","",L1204-O1204-(L1204*IF(L1204&lt;=79.99,20%,14%)+IF(L1204&lt;=79.99,4,IF(L1204&lt;=99.99,16,IF(L1204&lt;=199.99,20,IF(L1204&lt;=499.99,26,28)))))-L1204*1.3%-L1204*6%-(L1204-O1204)*9.25%-L1204*3%-L1204*3%-1)</f>
        <v/>
      </c>
      <c r="Q1204" s="58" t="n">
        <v>0.724</v>
      </c>
      <c r="R1204" s="54" t="inlineStr">
        <is>
          <t>478840979931317, 484945860710786</t>
        </is>
      </c>
      <c r="S1204" s="59" t="n">
        <v>46227.73958333334</v>
      </c>
      <c r="T1204" s="59" t="n">
        <v>46248.99930555555</v>
      </c>
      <c r="U1204" s="54" t="n">
        <v>101220</v>
      </c>
      <c r="V1204" t="inlineStr">
        <is>
          <t>214797</t>
        </is>
      </c>
      <c r="W1204" t="inlineStr">
        <is>
          <t>venda casada (9 pedidos) · custo do KIT 214808 (4× 214797)</t>
        </is>
      </c>
      <c r="X1204" t="n">
        <v>9</v>
      </c>
      <c r="Y1204" t="inlineStr">
        <is>
          <t>ok</t>
        </is>
      </c>
    </row>
    <row r="1205" ht="18" customHeight="1">
      <c r="A1205" s="60" t="inlineStr">
        <is>
          <t>Donacor</t>
        </is>
      </c>
      <c r="B1205" s="60" t="inlineStr">
        <is>
          <t>Kit Potes Hermético 200ml De Mantimentos Redondo Com Tampa Bambu</t>
        </is>
      </c>
      <c r="C1205" s="60" t="inlineStr">
        <is>
          <t>KIT C/ 6 POTES 200ML</t>
        </is>
      </c>
      <c r="D1205" s="60" t="inlineStr">
        <is>
          <t>POTE-REDONDO-BAMBU-200ml-6UN</t>
        </is>
      </c>
      <c r="E1205" s="60" t="n">
        <v>44431795903</v>
      </c>
      <c r="F1205" s="60" t="n">
        <v>336073832758</v>
      </c>
      <c r="G1205" s="60" t="inlineStr">
        <is>
          <t>NORMAL</t>
        </is>
      </c>
      <c r="H1205" s="91" t="n">
        <v>149.9</v>
      </c>
      <c r="I1205" s="91" t="n">
        <v>47.9</v>
      </c>
      <c r="J1205" s="65" t="inlineStr">
        <is>
          <t>SIM</t>
        </is>
      </c>
      <c r="K1205" s="91" t="n">
        <v>47.9</v>
      </c>
      <c r="L1205" s="87" t="n">
        <v>47.9</v>
      </c>
      <c r="M1205" s="88" t="n">
        <v>6</v>
      </c>
      <c r="N1205" s="89" t="n">
        <v>2.13</v>
      </c>
      <c r="O1205" s="89">
        <f>ROUND(M1205*N1205,2)</f>
        <v/>
      </c>
      <c r="P1205" s="92">
        <f>IF($O1205="","",L1205-O1205-(L1205*IF(L1205&lt;=79.99,20%,14%)+IF(L1205&lt;=79.99,4,IF(L1205&lt;=99.99,16,IF(L1205&lt;=199.99,20,IF(L1205&lt;=499.99,26,28)))))-L1205*1.3%-L1205*6%-(L1205-O1205)*9.25%-L1205*3%-L1205*3%-1)</f>
        <v/>
      </c>
      <c r="Q1205" s="67" t="n">
        <v>0.68</v>
      </c>
      <c r="R1205" s="60" t="inlineStr">
        <is>
          <t>478840979931317, 484945860710786</t>
        </is>
      </c>
      <c r="S1205" s="68" t="n">
        <v>46227.73958333334</v>
      </c>
      <c r="T1205" s="68" t="n">
        <v>46248.99930555555</v>
      </c>
      <c r="U1205" s="60" t="n">
        <v>101220</v>
      </c>
      <c r="V1205" t="inlineStr">
        <is>
          <t>214797</t>
        </is>
      </c>
      <c r="W1205" t="inlineStr">
        <is>
          <t>venda casada (7 pedidos) · custo do KIT 214809 (6× 214797)</t>
        </is>
      </c>
      <c r="X1205" t="n">
        <v>7</v>
      </c>
      <c r="Y1205" t="inlineStr">
        <is>
          <t>ok</t>
        </is>
      </c>
    </row>
    <row r="1206" ht="18" customHeight="1">
      <c r="A1206" s="54" t="inlineStr">
        <is>
          <t>Donacor</t>
        </is>
      </c>
      <c r="B1206" s="54" t="inlineStr">
        <is>
          <t>Kit Potes Hermético 200ml De Mantimentos Redondo Com Tampa Bambu</t>
        </is>
      </c>
      <c r="C1206" s="54" t="inlineStr">
        <is>
          <t>KIT C/ 8 POTES 200ML</t>
        </is>
      </c>
      <c r="D1206" s="54" t="inlineStr">
        <is>
          <t>POTE-REDONDO-BAMBU-200ml-8UN</t>
        </is>
      </c>
      <c r="E1206" s="54" t="n">
        <v>44431795903</v>
      </c>
      <c r="F1206" s="54" t="n">
        <v>336073832759</v>
      </c>
      <c r="G1206" s="54" t="inlineStr">
        <is>
          <t>NORMAL</t>
        </is>
      </c>
      <c r="H1206" s="86" t="n">
        <v>169.9</v>
      </c>
      <c r="I1206" s="86" t="n">
        <v>63.9</v>
      </c>
      <c r="J1206" s="56" t="inlineStr">
        <is>
          <t>SIM</t>
        </is>
      </c>
      <c r="K1206" s="86" t="n">
        <v>63.9</v>
      </c>
      <c r="L1206" s="87" t="n">
        <v>63.9</v>
      </c>
      <c r="M1206" s="88" t="n">
        <v>8</v>
      </c>
      <c r="N1206" s="89" t="n">
        <v>2.13</v>
      </c>
      <c r="O1206" s="89">
        <f>ROUND(M1206*N1206,2)</f>
        <v/>
      </c>
      <c r="P1206" s="90">
        <f>IF($O1206="","",L1206-O1206-(L1206*IF(L1206&lt;=79.99,20%,14%)+IF(L1206&lt;=79.99,4,IF(L1206&lt;=99.99,16,IF(L1206&lt;=199.99,20,IF(L1206&lt;=499.99,26,28)))))-L1206*1.3%-L1206*6%-(L1206-O1206)*9.25%-L1206*3%-L1206*3%-1)</f>
        <v/>
      </c>
      <c r="Q1206" s="58" t="n">
        <v>0.624</v>
      </c>
      <c r="R1206" s="54" t="inlineStr">
        <is>
          <t>478840979931317, 484945860710786</t>
        </is>
      </c>
      <c r="S1206" s="59" t="n">
        <v>46227.73958333334</v>
      </c>
      <c r="T1206" s="59" t="n">
        <v>46248.99930555555</v>
      </c>
      <c r="U1206" s="54" t="n">
        <v>101220</v>
      </c>
      <c r="V1206" t="inlineStr">
        <is>
          <t>214797</t>
        </is>
      </c>
      <c r="W1206" t="inlineStr">
        <is>
          <t>venda casada (1 pedido) · custo do KIT 214847 (8× 214797)</t>
        </is>
      </c>
      <c r="X1206" t="n">
        <v>1</v>
      </c>
      <c r="Y1206" t="inlineStr">
        <is>
          <t>⚠ evidência fraca (1 pedido)</t>
        </is>
      </c>
    </row>
    <row r="1207" ht="18" customHeight="1">
      <c r="A1207" s="60" t="inlineStr">
        <is>
          <t>Donacor</t>
        </is>
      </c>
      <c r="B1207" s="60" t="inlineStr">
        <is>
          <t>Kit Protetor De Colchão  Lençol Oliver Home G Descartável Cadeira de Rodas Pós Operatório</t>
        </is>
      </c>
      <c r="C1207" s="60" t="inlineStr">
        <is>
          <t>KIT 2 - 10 UNIDADES</t>
        </is>
      </c>
      <c r="D1207" s="60" t="inlineStr">
        <is>
          <t>2PCT-PROTETOR-COLCHÃO</t>
        </is>
      </c>
      <c r="E1207" s="60" t="n">
        <v>45414600940</v>
      </c>
      <c r="F1207" s="60" t="n">
        <v>356253866938</v>
      </c>
      <c r="G1207" s="60" t="inlineStr">
        <is>
          <t>NORMAL</t>
        </is>
      </c>
      <c r="H1207" s="91" t="n">
        <v>59.9</v>
      </c>
      <c r="I1207" s="91" t="n">
        <v>48.9</v>
      </c>
      <c r="J1207" s="65" t="inlineStr">
        <is>
          <t>SIM</t>
        </is>
      </c>
      <c r="K1207" s="91" t="n">
        <v>48.9</v>
      </c>
      <c r="L1207" s="87" t="n">
        <v>48.9</v>
      </c>
      <c r="M1207" s="88" t="n">
        <v>2</v>
      </c>
      <c r="N1207" s="89" t="n">
        <v>7.31</v>
      </c>
      <c r="O1207" s="89">
        <f>ROUND(M1207*N1207,2)</f>
        <v/>
      </c>
      <c r="P1207" s="92">
        <f>IF($O1207="","",L1207-O1207-(L1207*IF(L1207&lt;=79.99,20%,14%)+IF(L1207&lt;=79.99,4,IF(L1207&lt;=99.99,16,IF(L1207&lt;=199.99,20,IF(L1207&lt;=499.99,26,28)))))-L1207*1.3%-L1207*6%-(L1207-O1207)*9.25%-L1207*3%-L1207*3%-1)</f>
        <v/>
      </c>
      <c r="Q1207" s="67" t="n">
        <v>0.184</v>
      </c>
      <c r="R1207" s="60" t="n">
        <v>484945860710786</v>
      </c>
      <c r="S1207" s="68" t="n">
        <v>46227.73958333334</v>
      </c>
      <c r="T1207" s="68" t="n">
        <v>46405.45833333334</v>
      </c>
      <c r="U1207" s="60" t="n">
        <v>101145</v>
      </c>
      <c r="V1207" t="inlineStr">
        <is>
          <t>213170</t>
        </is>
      </c>
      <c r="W1207" t="inlineStr">
        <is>
          <t>herdado do anúncio (escalado 15→10 un) · custo do KIT 213680 (2× 213170)</t>
        </is>
      </c>
      <c r="Y1207" t="inlineStr">
        <is>
          <t>ok</t>
        </is>
      </c>
    </row>
    <row r="1208" ht="18" customHeight="1">
      <c r="A1208" s="54" t="inlineStr">
        <is>
          <t>Donacor</t>
        </is>
      </c>
      <c r="B1208" s="54" t="inlineStr">
        <is>
          <t>Kit Protetor De Colchão  Lençol Oliver Home G Descartável Cadeira de Rodas Pós Operatório</t>
        </is>
      </c>
      <c r="C1208" s="54" t="inlineStr">
        <is>
          <t>KIT 3 - 15 UNIDADES</t>
        </is>
      </c>
      <c r="D1208" s="54" t="inlineStr">
        <is>
          <t>3PCT-PROTETOR-COLCHÃO</t>
        </is>
      </c>
      <c r="E1208" s="54" t="n">
        <v>45414600940</v>
      </c>
      <c r="F1208" s="54" t="n">
        <v>356253866939</v>
      </c>
      <c r="G1208" s="54" t="inlineStr">
        <is>
          <t>NORMAL</t>
        </is>
      </c>
      <c r="H1208" s="86" t="n">
        <v>89.90000000000001</v>
      </c>
      <c r="I1208" s="86" t="n">
        <v>73.90000000000001</v>
      </c>
      <c r="J1208" s="56" t="inlineStr">
        <is>
          <t>SIM</t>
        </is>
      </c>
      <c r="K1208" s="86" t="n">
        <v>73.90000000000001</v>
      </c>
      <c r="L1208" s="87" t="n">
        <v>73.90000000000001</v>
      </c>
      <c r="M1208" s="88" t="n">
        <v>3</v>
      </c>
      <c r="N1208" s="89" t="n">
        <v>7.31</v>
      </c>
      <c r="O1208" s="89">
        <f>ROUND(M1208*N1208,2)</f>
        <v/>
      </c>
      <c r="P1208" s="90">
        <f>IF($O1208="","",L1208-O1208-(L1208*IF(L1208&lt;=79.99,20%,14%)+IF(L1208&lt;=79.99,4,IF(L1208&lt;=99.99,16,IF(L1208&lt;=199.99,20,IF(L1208&lt;=499.99,26,28)))))-L1208*1.3%-L1208*6%-(L1208-O1208)*9.25%-L1208*3%-L1208*3%-1)</f>
        <v/>
      </c>
      <c r="Q1208" s="58" t="n">
        <v>0.178</v>
      </c>
      <c r="R1208" s="54" t="n">
        <v>484945860710786</v>
      </c>
      <c r="S1208" s="59" t="n">
        <v>46227.73958333334</v>
      </c>
      <c r="T1208" s="59" t="n">
        <v>46405.45833333334</v>
      </c>
      <c r="U1208" s="54" t="n">
        <v>101145</v>
      </c>
      <c r="V1208" t="inlineStr">
        <is>
          <t>213170</t>
        </is>
      </c>
      <c r="W1208" t="inlineStr">
        <is>
          <t>SKU do de-para · custo do KIT 213681 (3× 213170)</t>
        </is>
      </c>
      <c r="X1208" t="n">
        <v>3</v>
      </c>
      <c r="Y1208" t="inlineStr">
        <is>
          <t>ok</t>
        </is>
      </c>
    </row>
    <row r="1209" ht="18" customHeight="1">
      <c r="A1209" s="60" t="inlineStr">
        <is>
          <t>Donacor</t>
        </is>
      </c>
      <c r="B1209" s="60" t="inlineStr">
        <is>
          <t>Kit Protetor De Colchão  Lençol Oliver Home G Descartável Cadeira de Rodas Pós Operatório</t>
        </is>
      </c>
      <c r="C1209" s="60" t="inlineStr">
        <is>
          <t>KIT 4 - 20 UNIDADES</t>
        </is>
      </c>
      <c r="D1209" s="60" t="inlineStr">
        <is>
          <t>4PCT-PROTETOR-COLCHÃO</t>
        </is>
      </c>
      <c r="E1209" s="60" t="n">
        <v>45414600940</v>
      </c>
      <c r="F1209" s="60" t="n">
        <v>356253866940</v>
      </c>
      <c r="G1209" s="60" t="inlineStr">
        <is>
          <t>NORMAL</t>
        </is>
      </c>
      <c r="H1209" s="91" t="n">
        <v>99.90000000000001</v>
      </c>
      <c r="I1209" s="91" t="n">
        <v>97.90000000000001</v>
      </c>
      <c r="J1209" s="65" t="inlineStr">
        <is>
          <t>SIM</t>
        </is>
      </c>
      <c r="K1209" s="91" t="n">
        <v>97.90000000000001</v>
      </c>
      <c r="L1209" s="87" t="n">
        <v>97.90000000000001</v>
      </c>
      <c r="M1209" s="88" t="n">
        <v>4</v>
      </c>
      <c r="N1209" s="89" t="n">
        <v>7.31</v>
      </c>
      <c r="O1209" s="89">
        <f>ROUND(M1209*N1209,2)</f>
        <v/>
      </c>
      <c r="P1209" s="92">
        <f>IF($O1209="","",L1209-O1209-(L1209*IF(L1209&lt;=79.99,20%,14%)+IF(L1209&lt;=79.99,4,IF(L1209&lt;=99.99,16,IF(L1209&lt;=199.99,20,IF(L1209&lt;=499.99,26,28)))))-L1209*1.3%-L1209*6%-(L1209-O1209)*9.25%-L1209*3%-L1209*3%-1)</f>
        <v/>
      </c>
      <c r="Q1209" s="67" t="n">
        <v>0.02</v>
      </c>
      <c r="R1209" s="60" t="n">
        <v>484945860710786</v>
      </c>
      <c r="S1209" s="68" t="n">
        <v>46227.73958333334</v>
      </c>
      <c r="T1209" s="68" t="n">
        <v>46405.45833333334</v>
      </c>
      <c r="U1209" s="60" t="n">
        <v>101145</v>
      </c>
      <c r="V1209" t="inlineStr">
        <is>
          <t>213170</t>
        </is>
      </c>
      <c r="W1209" t="inlineStr">
        <is>
          <t>herdado do anúncio (escalado 15→20 un) · custo do KIT 213682 (4× 213170)</t>
        </is>
      </c>
      <c r="Y1209" t="inlineStr">
        <is>
          <t>ok</t>
        </is>
      </c>
    </row>
    <row r="1210" ht="18" customHeight="1">
      <c r="A1210" s="54" t="inlineStr">
        <is>
          <t>Donacor</t>
        </is>
      </c>
      <c r="B1210" s="54" t="inlineStr">
        <is>
          <t>Kit Protetor De Colchão  Lençol Oliver Home G Descartável Cadeira de Rodas Pós Operatório</t>
        </is>
      </c>
      <c r="C1210" s="54" t="inlineStr">
        <is>
          <t>KIT 5 - 25 UNIDADES</t>
        </is>
      </c>
      <c r="D1210" s="54" t="inlineStr">
        <is>
          <t>5PCT-PROTETOR-COLCHÃO</t>
        </is>
      </c>
      <c r="E1210" s="54" t="n">
        <v>45414600940</v>
      </c>
      <c r="F1210" s="54" t="n">
        <v>356253866941</v>
      </c>
      <c r="G1210" s="54" t="inlineStr">
        <is>
          <t>NORMAL</t>
        </is>
      </c>
      <c r="H1210" s="86" t="n">
        <v>120.9</v>
      </c>
      <c r="I1210" s="86" t="n">
        <v>119.9</v>
      </c>
      <c r="J1210" s="56" t="inlineStr">
        <is>
          <t>SIM</t>
        </is>
      </c>
      <c r="K1210" s="86" t="n">
        <v>119.9</v>
      </c>
      <c r="L1210" s="87" t="n">
        <v>119.9</v>
      </c>
      <c r="M1210" s="88" t="n">
        <v>5</v>
      </c>
      <c r="N1210" s="89" t="n">
        <v>7.31</v>
      </c>
      <c r="O1210" s="89">
        <f>ROUND(M1210*N1210,2)</f>
        <v/>
      </c>
      <c r="P1210" s="90">
        <f>IF($O1210="","",L1210-O1210-(L1210*IF(L1210&lt;=79.99,20%,14%)+IF(L1210&lt;=79.99,4,IF(L1210&lt;=99.99,16,IF(L1210&lt;=199.99,20,IF(L1210&lt;=499.99,26,28)))))-L1210*1.3%-L1210*6%-(L1210-O1210)*9.25%-L1210*3%-L1210*3%-1)</f>
        <v/>
      </c>
      <c r="Q1210" s="58" t="n">
        <v>0.008</v>
      </c>
      <c r="R1210" s="54" t="n">
        <v>484945860710786</v>
      </c>
      <c r="S1210" s="59" t="n">
        <v>46227.73958333334</v>
      </c>
      <c r="T1210" s="59" t="n">
        <v>46405.45833333334</v>
      </c>
      <c r="U1210" s="54" t="n">
        <v>101145</v>
      </c>
      <c r="V1210" t="inlineStr">
        <is>
          <t>213170</t>
        </is>
      </c>
      <c r="W1210" t="inlineStr">
        <is>
          <t>SKU do de-para · custo do KIT 213683 (5× 213170)</t>
        </is>
      </c>
      <c r="X1210" t="n">
        <v>5</v>
      </c>
      <c r="Y1210" t="inlineStr">
        <is>
          <t>ok</t>
        </is>
      </c>
    </row>
    <row r="1211" ht="18" customHeight="1">
      <c r="A1211" s="60" t="inlineStr">
        <is>
          <t>Donacor</t>
        </is>
      </c>
      <c r="B1211" s="60" t="inlineStr">
        <is>
          <t>Kit Tapete Higiênico Fralda Cachorro Pet Good Pad 60x60 60un</t>
        </is>
      </c>
      <c r="C1211" s="60" t="inlineStr">
        <is>
          <t>Sem variação</t>
        </is>
      </c>
      <c r="D1211" s="60" t="n">
        <v>714</v>
      </c>
      <c r="E1211" s="60" t="n">
        <v>23597502841</v>
      </c>
      <c r="F1211" s="60" t="n">
        <v>0</v>
      </c>
      <c r="G1211" s="60" t="inlineStr">
        <is>
          <t>NORMAL</t>
        </is>
      </c>
      <c r="H1211" s="91" t="n">
        <v>149.9</v>
      </c>
      <c r="I1211" s="91" t="n">
        <v>79.90000000000001</v>
      </c>
      <c r="J1211" s="65" t="inlineStr">
        <is>
          <t>SIM</t>
        </is>
      </c>
      <c r="K1211" s="91" t="n">
        <v>79.90000000000001</v>
      </c>
      <c r="L1211" s="87" t="n">
        <v>79.90000000000001</v>
      </c>
      <c r="M1211" s="88" t="n">
        <v>2</v>
      </c>
      <c r="N1211" s="89" t="n">
        <v>18.75</v>
      </c>
      <c r="O1211" s="89">
        <f>ROUND(M1211*N1211,2)</f>
        <v/>
      </c>
      <c r="P1211" s="92">
        <f>IF($O1211="","",L1211-O1211-(L1211*IF(L1211&lt;=79.99,20%,14%)+IF(L1211&lt;=79.99,4,IF(L1211&lt;=99.99,16,IF(L1211&lt;=199.99,20,IF(L1211&lt;=499.99,26,28)))))-L1211*1.3%-L1211*6%-(L1211-O1211)*9.25%-L1211*3%-L1211*3%-1)</f>
        <v/>
      </c>
      <c r="Q1211" s="67" t="n">
        <v>0.467</v>
      </c>
      <c r="R1211" s="60" t="inlineStr">
        <is>
          <t>478840979931317, 484945860710786</t>
        </is>
      </c>
      <c r="S1211" s="68" t="n">
        <v>46227.73958333334</v>
      </c>
      <c r="T1211" s="68" t="n">
        <v>46248.99930555555</v>
      </c>
      <c r="U1211" s="60" t="n">
        <v>100926</v>
      </c>
      <c r="V1211" t="inlineStr">
        <is>
          <t>212960</t>
        </is>
      </c>
      <c r="W1211" t="inlineStr">
        <is>
          <t>venda casada (1 pedido) · custo do KIT 213831 (2× 212960)</t>
        </is>
      </c>
      <c r="X1211" t="n">
        <v>1</v>
      </c>
      <c r="Y1211" t="inlineStr">
        <is>
          <t>⚠ evidência fraca (1 pedido)</t>
        </is>
      </c>
    </row>
    <row r="1212" ht="18" customHeight="1">
      <c r="A1212" s="54" t="inlineStr">
        <is>
          <t>Donacor</t>
        </is>
      </c>
      <c r="B1212" s="54" t="inlineStr">
        <is>
          <t>Kit Tapete Higiênico Ultra Pads 60unid 80x60cm Aroma Lavanda</t>
        </is>
      </c>
      <c r="C1212" s="54" t="inlineStr">
        <is>
          <t>Sem variação</t>
        </is>
      </c>
      <c r="D1212" s="54" t="n">
        <v>741</v>
      </c>
      <c r="E1212" s="54" t="n">
        <v>22797507885</v>
      </c>
      <c r="F1212" s="54" t="n">
        <v>0</v>
      </c>
      <c r="G1212" s="54" t="inlineStr">
        <is>
          <t>NORMAL</t>
        </is>
      </c>
      <c r="H1212" s="86" t="n">
        <v>139.9</v>
      </c>
      <c r="I1212" s="86" t="n">
        <v>129.89</v>
      </c>
      <c r="J1212" s="56" t="inlineStr">
        <is>
          <t>SIM</t>
        </is>
      </c>
      <c r="K1212" s="86" t="n">
        <v>129.89</v>
      </c>
      <c r="L1212" s="87" t="n">
        <v>129.89</v>
      </c>
      <c r="P1212" s="90">
        <f>IF($O1212="","",L1212-O1212-(L1212*IF(L1212&lt;=79.99,20%,14%)+IF(L1212&lt;=79.99,4,IF(L1212&lt;=99.99,16,IF(L1212&lt;=199.99,20,IF(L1212&lt;=499.99,26,28)))))-L1212*1.3%-L1212*6%-(L1212-O1212)*9.25%-L1212*3%-L1212*3%-1)</f>
        <v/>
      </c>
      <c r="Q1212" s="58" t="n">
        <v>0.07199999999999999</v>
      </c>
      <c r="R1212" s="54" t="inlineStr">
        <is>
          <t>478840979931317, 484946028474774</t>
        </is>
      </c>
      <c r="S1212" s="59" t="n">
        <v>46227.74097222222</v>
      </c>
      <c r="T1212" s="59" t="n">
        <v>46248.99930555555</v>
      </c>
      <c r="U1212" s="54" t="n">
        <v>100926</v>
      </c>
      <c r="W1212" t="inlineStr">
        <is>
          <t>sem correspondência</t>
        </is>
      </c>
      <c r="Y1212" t="inlineStr"/>
    </row>
    <row r="1213" ht="18" customHeight="1">
      <c r="A1213" s="60" t="inlineStr">
        <is>
          <t>Donacor</t>
        </is>
      </c>
      <c r="B1213" s="60" t="inlineStr">
        <is>
          <t>Manguito Lupo Original Proteção Solar Uv 50+ Vôlei Ciclismo</t>
        </is>
      </c>
      <c r="C1213" s="60" t="inlineStr">
        <is>
          <t>Azul,G</t>
        </is>
      </c>
      <c r="D1213" s="60" t="inlineStr">
        <is>
          <t>MANGUITO-G-VERMELHO</t>
        </is>
      </c>
      <c r="E1213" s="60" t="n">
        <v>23997538536</v>
      </c>
      <c r="F1213" s="60" t="n">
        <v>287402888152</v>
      </c>
      <c r="G1213" s="60" t="inlineStr">
        <is>
          <t>NORMAL</t>
        </is>
      </c>
      <c r="H1213" s="91" t="n">
        <v>59.9</v>
      </c>
      <c r="I1213" s="91" t="n">
        <v>49.9</v>
      </c>
      <c r="J1213" s="65" t="inlineStr">
        <is>
          <t>SIM</t>
        </is>
      </c>
      <c r="K1213" s="91" t="n">
        <v>49.9</v>
      </c>
      <c r="L1213" s="87" t="n">
        <v>49.9</v>
      </c>
      <c r="M1213" s="88" t="n">
        <v>1</v>
      </c>
      <c r="N1213" s="89" t="n">
        <v>30.82</v>
      </c>
      <c r="O1213" s="89">
        <f>ROUND(M1213*N1213,2)</f>
        <v/>
      </c>
      <c r="P1213" s="92">
        <f>IF($O1213="","",L1213-O1213-(L1213*IF(L1213&lt;=79.99,20%,14%)+IF(L1213&lt;=79.99,4,IF(L1213&lt;=99.99,16,IF(L1213&lt;=199.99,20,IF(L1213&lt;=499.99,26,28)))))-L1213*1.3%-L1213*6%-(L1213-O1213)*9.25%-L1213*3%-L1213*3%-1)</f>
        <v/>
      </c>
      <c r="Q1213" s="67" t="n">
        <v>0.167</v>
      </c>
      <c r="R1213" s="60" t="inlineStr">
        <is>
          <t>478840979931317, 484945860710786</t>
        </is>
      </c>
      <c r="S1213" s="68" t="n">
        <v>46227.73958333334</v>
      </c>
      <c r="T1213" s="68" t="n">
        <v>46248.99930555555</v>
      </c>
      <c r="U1213" s="60" t="n">
        <v>101317</v>
      </c>
      <c r="V1213" t="inlineStr">
        <is>
          <t>215929</t>
        </is>
      </c>
      <c r="W1213" t="inlineStr">
        <is>
          <t>venda casada (6 pedidos)</t>
        </is>
      </c>
      <c r="X1213" t="n">
        <v>6</v>
      </c>
      <c r="Y1213" t="inlineStr">
        <is>
          <t>ok</t>
        </is>
      </c>
    </row>
    <row r="1214" ht="18" customHeight="1">
      <c r="A1214" s="54" t="inlineStr">
        <is>
          <t>Donacor</t>
        </is>
      </c>
      <c r="B1214" s="54" t="inlineStr">
        <is>
          <t>Manguito Lupo Original Proteção Solar Uv 50+ Vôlei Ciclismo</t>
        </is>
      </c>
      <c r="C1214" s="54" t="inlineStr">
        <is>
          <t>Azul,M</t>
        </is>
      </c>
      <c r="D1214" s="54" t="inlineStr">
        <is>
          <t>MANGUITO-M-VERMELHO</t>
        </is>
      </c>
      <c r="E1214" s="54" t="n">
        <v>23997538536</v>
      </c>
      <c r="F1214" s="54" t="n">
        <v>287402888153</v>
      </c>
      <c r="G1214" s="54" t="inlineStr">
        <is>
          <t>NORMAL</t>
        </is>
      </c>
      <c r="H1214" s="86" t="n">
        <v>59.9</v>
      </c>
      <c r="I1214" s="86" t="n">
        <v>49.9</v>
      </c>
      <c r="J1214" s="56" t="inlineStr">
        <is>
          <t>SIM</t>
        </is>
      </c>
      <c r="K1214" s="86" t="n">
        <v>49.9</v>
      </c>
      <c r="L1214" s="87" t="n">
        <v>49.9</v>
      </c>
      <c r="P1214" s="90">
        <f>IF($O1214="","",L1214-O1214-(L1214*IF(L1214&lt;=79.99,20%,14%)+IF(L1214&lt;=79.99,4,IF(L1214&lt;=99.99,16,IF(L1214&lt;=199.99,20,IF(L1214&lt;=499.99,26,28)))))-L1214*1.3%-L1214*6%-(L1214-O1214)*9.25%-L1214*3%-L1214*3%-1)</f>
        <v/>
      </c>
      <c r="Q1214" s="58" t="n">
        <v>0.167</v>
      </c>
      <c r="R1214" s="54" t="inlineStr">
        <is>
          <t>478840979931317, 484945860710786</t>
        </is>
      </c>
      <c r="S1214" s="59" t="n">
        <v>46227.73958333334</v>
      </c>
      <c r="T1214" s="59" t="n">
        <v>46248.99930555555</v>
      </c>
      <c r="U1214" s="54" t="n">
        <v>101317</v>
      </c>
      <c r="W1214" t="inlineStr">
        <is>
          <t>sem correspondência</t>
        </is>
      </c>
      <c r="Y1214" t="inlineStr"/>
    </row>
    <row r="1215" ht="18" customHeight="1">
      <c r="A1215" s="60" t="inlineStr">
        <is>
          <t>Donacor</t>
        </is>
      </c>
      <c r="B1215" s="60" t="inlineStr">
        <is>
          <t>Manguito Lupo Original Proteção Solar Uv 50+ Vôlei Ciclismo</t>
        </is>
      </c>
      <c r="C1215" s="60" t="inlineStr">
        <is>
          <t>Azul,P</t>
        </is>
      </c>
      <c r="D1215" s="60" t="inlineStr">
        <is>
          <t>MANGUITO-P-VERMELHO</t>
        </is>
      </c>
      <c r="E1215" s="60" t="n">
        <v>23997538536</v>
      </c>
      <c r="F1215" s="60" t="n">
        <v>287402888154</v>
      </c>
      <c r="G1215" s="60" t="inlineStr">
        <is>
          <t>NORMAL</t>
        </is>
      </c>
      <c r="H1215" s="91" t="n">
        <v>59.9</v>
      </c>
      <c r="I1215" s="91" t="n">
        <v>49.9</v>
      </c>
      <c r="J1215" s="65" t="inlineStr">
        <is>
          <t>SIM</t>
        </is>
      </c>
      <c r="K1215" s="91" t="n">
        <v>49.9</v>
      </c>
      <c r="L1215" s="87" t="n">
        <v>49.9</v>
      </c>
      <c r="M1215" s="88" t="n">
        <v>1</v>
      </c>
      <c r="N1215" s="89" t="n">
        <v>30.82</v>
      </c>
      <c r="O1215" s="89">
        <f>ROUND(M1215*N1215,2)</f>
        <v/>
      </c>
      <c r="P1215" s="92">
        <f>IF($O1215="","",L1215-O1215-(L1215*IF(L1215&lt;=79.99,20%,14%)+IF(L1215&lt;=79.99,4,IF(L1215&lt;=99.99,16,IF(L1215&lt;=199.99,20,IF(L1215&lt;=499.99,26,28)))))-L1215*1.3%-L1215*6%-(L1215-O1215)*9.25%-L1215*3%-L1215*3%-1)</f>
        <v/>
      </c>
      <c r="Q1215" s="67" t="n">
        <v>0.167</v>
      </c>
      <c r="R1215" s="60" t="inlineStr">
        <is>
          <t>478840979931317, 484945860710786</t>
        </is>
      </c>
      <c r="S1215" s="68" t="n">
        <v>46227.73958333334</v>
      </c>
      <c r="T1215" s="68" t="n">
        <v>46248.99930555555</v>
      </c>
      <c r="U1215" s="60" t="n">
        <v>101317</v>
      </c>
      <c r="V1215" t="inlineStr">
        <is>
          <t>215927</t>
        </is>
      </c>
      <c r="W1215" t="inlineStr">
        <is>
          <t>venda casada (1 pedido)</t>
        </is>
      </c>
      <c r="X1215" t="n">
        <v>1</v>
      </c>
      <c r="Y1215" t="inlineStr">
        <is>
          <t>⚠ evidência fraca (1 pedido)</t>
        </is>
      </c>
    </row>
    <row r="1216" ht="18" customHeight="1">
      <c r="A1216" s="54" t="inlineStr">
        <is>
          <t>Donacor</t>
        </is>
      </c>
      <c r="B1216" s="54" t="inlineStr">
        <is>
          <t>Manguito Lupo Original Proteção Solar Uv 50+ Vôlei Ciclismo</t>
        </is>
      </c>
      <c r="C1216" s="54" t="inlineStr">
        <is>
          <t>Fúcsia,G</t>
        </is>
      </c>
      <c r="D1216" s="54" t="inlineStr">
        <is>
          <t>MANGUITO-G-FÚCSIA</t>
        </is>
      </c>
      <c r="E1216" s="54" t="n">
        <v>23997538536</v>
      </c>
      <c r="F1216" s="54" t="n">
        <v>400639712132</v>
      </c>
      <c r="G1216" s="54" t="inlineStr">
        <is>
          <t>NORMAL</t>
        </is>
      </c>
      <c r="H1216" s="86" t="n">
        <v>89.90000000000001</v>
      </c>
      <c r="I1216" s="86" t="n">
        <v>49.9</v>
      </c>
      <c r="J1216" s="56" t="inlineStr">
        <is>
          <t>SIM</t>
        </is>
      </c>
      <c r="K1216" s="86" t="n">
        <v>49.9</v>
      </c>
      <c r="L1216" s="87" t="n">
        <v>49.9</v>
      </c>
      <c r="M1216" s="88" t="n">
        <v>1</v>
      </c>
      <c r="N1216" s="89" t="n">
        <v>30.82</v>
      </c>
      <c r="O1216" s="89">
        <f>ROUND(M1216*N1216,2)</f>
        <v/>
      </c>
      <c r="P1216" s="90">
        <f>IF($O1216="","",L1216-O1216-(L1216*IF(L1216&lt;=79.99,20%,14%)+IF(L1216&lt;=79.99,4,IF(L1216&lt;=99.99,16,IF(L1216&lt;=199.99,20,IF(L1216&lt;=499.99,26,28)))))-L1216*1.3%-L1216*6%-(L1216-O1216)*9.25%-L1216*3%-L1216*3%-1)</f>
        <v/>
      </c>
      <c r="Q1216" s="58" t="n">
        <v>0.445</v>
      </c>
      <c r="R1216" s="54" t="inlineStr">
        <is>
          <t>478840979931317, 484945860710786</t>
        </is>
      </c>
      <c r="S1216" s="59" t="n">
        <v>46227.73958333334</v>
      </c>
      <c r="T1216" s="59" t="n">
        <v>46248.99930555555</v>
      </c>
      <c r="U1216" s="54" t="n">
        <v>101317</v>
      </c>
      <c r="V1216" t="inlineStr">
        <is>
          <t>215192</t>
        </is>
      </c>
      <c r="W1216" t="inlineStr">
        <is>
          <t>venda casada (1 pedido)</t>
        </is>
      </c>
      <c r="X1216" t="n">
        <v>1</v>
      </c>
      <c r="Y1216" t="inlineStr">
        <is>
          <t>⚠ evidência fraca (1 pedido)</t>
        </is>
      </c>
    </row>
    <row r="1217" ht="18" customHeight="1">
      <c r="A1217" s="60" t="inlineStr">
        <is>
          <t>Donacor</t>
        </is>
      </c>
      <c r="B1217" s="60" t="inlineStr">
        <is>
          <t>Manguito Lupo Original Proteção Solar Uv 50+ Vôlei Ciclismo</t>
        </is>
      </c>
      <c r="C1217" s="60" t="inlineStr">
        <is>
          <t>Fúcsia,M</t>
        </is>
      </c>
      <c r="D1217" s="60" t="inlineStr">
        <is>
          <t>MANGUITO-M-FÚCSIA</t>
        </is>
      </c>
      <c r="E1217" s="60" t="n">
        <v>23997538536</v>
      </c>
      <c r="F1217" s="60" t="n">
        <v>400639712133</v>
      </c>
      <c r="G1217" s="60" t="inlineStr">
        <is>
          <t>NORMAL</t>
        </is>
      </c>
      <c r="H1217" s="91" t="n">
        <v>89.90000000000001</v>
      </c>
      <c r="I1217" s="91" t="n">
        <v>49.9</v>
      </c>
      <c r="J1217" s="65" t="inlineStr">
        <is>
          <t>SIM</t>
        </is>
      </c>
      <c r="K1217" s="91" t="n">
        <v>49.9</v>
      </c>
      <c r="L1217" s="87" t="n">
        <v>49.9</v>
      </c>
      <c r="M1217" s="88" t="n">
        <v>1</v>
      </c>
      <c r="N1217" s="89" t="n">
        <v>30.82</v>
      </c>
      <c r="O1217" s="89">
        <f>ROUND(M1217*N1217,2)</f>
        <v/>
      </c>
      <c r="P1217" s="92">
        <f>IF($O1217="","",L1217-O1217-(L1217*IF(L1217&lt;=79.99,20%,14%)+IF(L1217&lt;=79.99,4,IF(L1217&lt;=99.99,16,IF(L1217&lt;=199.99,20,IF(L1217&lt;=499.99,26,28)))))-L1217*1.3%-L1217*6%-(L1217-O1217)*9.25%-L1217*3%-L1217*3%-1)</f>
        <v/>
      </c>
      <c r="Q1217" s="67" t="n">
        <v>0.445</v>
      </c>
      <c r="R1217" s="60" t="inlineStr">
        <is>
          <t>478840979931317, 484945860710786</t>
        </is>
      </c>
      <c r="S1217" s="68" t="n">
        <v>46227.73958333334</v>
      </c>
      <c r="T1217" s="68" t="n">
        <v>46248.99930555555</v>
      </c>
      <c r="U1217" s="60" t="n">
        <v>101317</v>
      </c>
      <c r="V1217" t="inlineStr">
        <is>
          <t>215191</t>
        </is>
      </c>
      <c r="W1217" t="inlineStr">
        <is>
          <t>venda casada (4 pedidos)</t>
        </is>
      </c>
      <c r="X1217" t="n">
        <v>4</v>
      </c>
      <c r="Y1217" t="inlineStr">
        <is>
          <t>ok</t>
        </is>
      </c>
    </row>
    <row r="1218" ht="18" customHeight="1">
      <c r="A1218" s="54" t="inlineStr">
        <is>
          <t>Donacor</t>
        </is>
      </c>
      <c r="B1218" s="54" t="inlineStr">
        <is>
          <t>Manguito Lupo Original Proteção Solar Uv 50+ Vôlei Ciclismo</t>
        </is>
      </c>
      <c r="C1218" s="54" t="inlineStr">
        <is>
          <t>Fúcsia,P</t>
        </is>
      </c>
      <c r="D1218" s="54" t="inlineStr">
        <is>
          <t>MANGUITO-P-FÚCSIA</t>
        </is>
      </c>
      <c r="E1218" s="54" t="n">
        <v>23997538536</v>
      </c>
      <c r="F1218" s="54" t="n">
        <v>400639712134</v>
      </c>
      <c r="G1218" s="54" t="inlineStr">
        <is>
          <t>NORMAL</t>
        </is>
      </c>
      <c r="H1218" s="86" t="n">
        <v>89.90000000000001</v>
      </c>
      <c r="I1218" s="86" t="n">
        <v>89.90000000000001</v>
      </c>
      <c r="J1218" s="69" t="inlineStr">
        <is>
          <t>NÃO</t>
        </is>
      </c>
      <c r="K1218" s="54" t="n"/>
      <c r="L1218" s="87" t="n">
        <v>89.90000000000001</v>
      </c>
      <c r="M1218" s="88" t="n">
        <v>1</v>
      </c>
      <c r="N1218" s="89" t="n">
        <v>30.82</v>
      </c>
      <c r="O1218" s="89">
        <f>ROUND(M1218*N1218,2)</f>
        <v/>
      </c>
      <c r="P1218" s="90">
        <f>IF($O1218="","",L1218-O1218-(L1218*IF(L1218&lt;=79.99,20%,14%)+IF(L1218&lt;=79.99,4,IF(L1218&lt;=99.99,16,IF(L1218&lt;=199.99,20,IF(L1218&lt;=499.99,26,28)))))-L1218*1.3%-L1218*6%-(L1218-O1218)*9.25%-L1218*3%-L1218*3%-1)</f>
        <v/>
      </c>
      <c r="Q1218" s="54">
        <f>IF(AND(K1218&lt;&gt;"",H1218&gt;0),(H1218-K1218)/H1218,"")</f>
        <v/>
      </c>
      <c r="R1218" s="54" t="n"/>
      <c r="S1218" s="54" t="n"/>
      <c r="T1218" s="54" t="n"/>
      <c r="U1218" s="54" t="n">
        <v>101317</v>
      </c>
      <c r="V1218" t="inlineStr">
        <is>
          <t>215190</t>
        </is>
      </c>
      <c r="W1218" t="inlineStr">
        <is>
          <t>venda casada (4 pedidos)</t>
        </is>
      </c>
      <c r="X1218" t="n">
        <v>4</v>
      </c>
      <c r="Y1218" t="inlineStr">
        <is>
          <t>ok</t>
        </is>
      </c>
    </row>
    <row r="1219" ht="18" customHeight="1">
      <c r="A1219" s="60" t="inlineStr">
        <is>
          <t>Donacor</t>
        </is>
      </c>
      <c r="B1219" s="60" t="inlineStr">
        <is>
          <t>Manguito Lupo Original Proteção Solar Uv 50+ Vôlei Ciclismo</t>
        </is>
      </c>
      <c r="C1219" s="60" t="inlineStr">
        <is>
          <t>Preto,G</t>
        </is>
      </c>
      <c r="D1219" s="60" t="inlineStr">
        <is>
          <t>MANGUITO-G-PRETO</t>
        </is>
      </c>
      <c r="E1219" s="60" t="n">
        <v>23997538536</v>
      </c>
      <c r="F1219" s="60" t="n">
        <v>238767860977</v>
      </c>
      <c r="G1219" s="60" t="inlineStr">
        <is>
          <t>NORMAL</t>
        </is>
      </c>
      <c r="H1219" s="91" t="n">
        <v>59.9</v>
      </c>
      <c r="I1219" s="91" t="n">
        <v>59.9</v>
      </c>
      <c r="J1219" s="62" t="inlineStr">
        <is>
          <t>NÃO</t>
        </is>
      </c>
      <c r="K1219" s="60" t="inlineStr">
        <is>
          <t> </t>
        </is>
      </c>
      <c r="L1219" s="87" t="n">
        <v>59.9</v>
      </c>
      <c r="M1219" s="88" t="n">
        <v>1</v>
      </c>
      <c r="N1219" s="89" t="n">
        <v>30.82</v>
      </c>
      <c r="O1219" s="89">
        <f>ROUND(M1219*N1219,2)</f>
        <v/>
      </c>
      <c r="P1219" s="92">
        <f>IF($O1219="","",L1219-O1219-(L1219*IF(L1219&lt;=79.99,20%,14%)+IF(L1219&lt;=79.99,4,IF(L1219&lt;=99.99,16,IF(L1219&lt;=199.99,20,IF(L1219&lt;=499.99,26,28)))))-L1219*1.3%-L1219*6%-(L1219-O1219)*9.25%-L1219*3%-L1219*3%-1)</f>
        <v/>
      </c>
      <c r="Q1219" s="60" t="inlineStr">
        <is>
          <t> </t>
        </is>
      </c>
      <c r="R1219" s="60" t="inlineStr">
        <is>
          <t> </t>
        </is>
      </c>
      <c r="S1219" s="60" t="inlineStr">
        <is>
          <t> </t>
        </is>
      </c>
      <c r="T1219" s="60" t="inlineStr">
        <is>
          <t> </t>
        </is>
      </c>
      <c r="U1219" s="60" t="n">
        <v>101317</v>
      </c>
      <c r="V1219" t="inlineStr">
        <is>
          <t>214586</t>
        </is>
      </c>
      <c r="W1219" t="inlineStr">
        <is>
          <t>venda casada (28 pedidos)</t>
        </is>
      </c>
      <c r="X1219" t="n">
        <v>28</v>
      </c>
      <c r="Y1219" t="inlineStr">
        <is>
          <t>ok</t>
        </is>
      </c>
    </row>
    <row r="1220" ht="18" customHeight="1">
      <c r="A1220" s="54" t="inlineStr">
        <is>
          <t>Donacor</t>
        </is>
      </c>
      <c r="B1220" s="54" t="inlineStr">
        <is>
          <t>Manguito Lupo Original Proteção Solar Uv 50+ Vôlei Ciclismo</t>
        </is>
      </c>
      <c r="C1220" s="54" t="inlineStr">
        <is>
          <t>Preto,M</t>
        </is>
      </c>
      <c r="D1220" s="54" t="inlineStr">
        <is>
          <t>MANGUITO-M-PRETO</t>
        </is>
      </c>
      <c r="E1220" s="54" t="n">
        <v>23997538536</v>
      </c>
      <c r="F1220" s="54" t="n">
        <v>238767860978</v>
      </c>
      <c r="G1220" s="54" t="inlineStr">
        <is>
          <t>NORMAL</t>
        </is>
      </c>
      <c r="H1220" s="86" t="n">
        <v>59.9</v>
      </c>
      <c r="I1220" s="86" t="n">
        <v>49.9</v>
      </c>
      <c r="J1220" s="56" t="inlineStr">
        <is>
          <t>SIM</t>
        </is>
      </c>
      <c r="K1220" s="86" t="n">
        <v>49.9</v>
      </c>
      <c r="L1220" s="87" t="n">
        <v>49.9</v>
      </c>
      <c r="M1220" s="88" t="n">
        <v>1</v>
      </c>
      <c r="N1220" s="89" t="n">
        <v>30.82</v>
      </c>
      <c r="O1220" s="89">
        <f>ROUND(M1220*N1220,2)</f>
        <v/>
      </c>
      <c r="P1220" s="90">
        <f>IF($O1220="","",L1220-O1220-(L1220*IF(L1220&lt;=79.99,20%,14%)+IF(L1220&lt;=79.99,4,IF(L1220&lt;=99.99,16,IF(L1220&lt;=199.99,20,IF(L1220&lt;=499.99,26,28)))))-L1220*1.3%-L1220*6%-(L1220-O1220)*9.25%-L1220*3%-L1220*3%-1)</f>
        <v/>
      </c>
      <c r="Q1220" s="58" t="n">
        <v>0.167</v>
      </c>
      <c r="R1220" s="54" t="inlineStr">
        <is>
          <t>478840979931317, 484945860710786</t>
        </is>
      </c>
      <c r="S1220" s="59" t="n">
        <v>46227.73958333334</v>
      </c>
      <c r="T1220" s="59" t="n">
        <v>46248.99930555555</v>
      </c>
      <c r="U1220" s="54" t="n">
        <v>101317</v>
      </c>
      <c r="V1220" t="inlineStr">
        <is>
          <t>214585</t>
        </is>
      </c>
      <c r="W1220" t="inlineStr">
        <is>
          <t>venda casada (78 pedidos)</t>
        </is>
      </c>
      <c r="X1220" t="n">
        <v>78</v>
      </c>
      <c r="Y1220" t="inlineStr">
        <is>
          <t>ok</t>
        </is>
      </c>
    </row>
    <row r="1221" ht="18" customHeight="1">
      <c r="A1221" s="60" t="inlineStr">
        <is>
          <t>Donacor</t>
        </is>
      </c>
      <c r="B1221" s="60" t="inlineStr">
        <is>
          <t>Manguito Lupo Original Proteção Solar Uv 50+ Vôlei Ciclismo</t>
        </is>
      </c>
      <c r="C1221" s="60" t="inlineStr">
        <is>
          <t>Preto,P</t>
        </is>
      </c>
      <c r="D1221" s="60" t="inlineStr">
        <is>
          <t>MANGUITO-P-PRETO</t>
        </is>
      </c>
      <c r="E1221" s="60" t="n">
        <v>23997538536</v>
      </c>
      <c r="F1221" s="60" t="n">
        <v>238767860979</v>
      </c>
      <c r="G1221" s="60" t="inlineStr">
        <is>
          <t>NORMAL</t>
        </is>
      </c>
      <c r="H1221" s="91" t="n">
        <v>59.9</v>
      </c>
      <c r="I1221" s="91" t="n">
        <v>59.9</v>
      </c>
      <c r="J1221" s="62" t="inlineStr">
        <is>
          <t>NÃO</t>
        </is>
      </c>
      <c r="K1221" s="60" t="inlineStr">
        <is>
          <t> </t>
        </is>
      </c>
      <c r="L1221" s="87" t="n">
        <v>59.9</v>
      </c>
      <c r="P1221" s="92">
        <f>IF($O1221="","",L1221-O1221-(L1221*IF(L1221&lt;=79.99,20%,14%)+IF(L1221&lt;=79.99,4,IF(L1221&lt;=99.99,16,IF(L1221&lt;=199.99,20,IF(L1221&lt;=499.99,26,28)))))-L1221*1.3%-L1221*6%-(L1221-O1221)*9.25%-L1221*3%-L1221*3%-1)</f>
        <v/>
      </c>
      <c r="Q1221" s="60" t="inlineStr">
        <is>
          <t> </t>
        </is>
      </c>
      <c r="R1221" s="60" t="inlineStr">
        <is>
          <t> </t>
        </is>
      </c>
      <c r="S1221" s="60" t="inlineStr">
        <is>
          <t> </t>
        </is>
      </c>
      <c r="T1221" s="60" t="inlineStr">
        <is>
          <t> </t>
        </is>
      </c>
      <c r="U1221" s="60" t="n">
        <v>101317</v>
      </c>
      <c r="W1221" t="inlineStr">
        <is>
          <t>sem correspondência</t>
        </is>
      </c>
      <c r="Y1221" t="inlineStr"/>
    </row>
    <row r="1222" ht="18" customHeight="1">
      <c r="A1222" s="54" t="inlineStr">
        <is>
          <t>Donacor</t>
        </is>
      </c>
      <c r="B1222" s="54" t="inlineStr">
        <is>
          <t>Máquina De Secar Pets Plus Grande Silencioso</t>
        </is>
      </c>
      <c r="C1222" s="54" t="inlineStr">
        <is>
          <t>Sem variação</t>
        </is>
      </c>
      <c r="D1222" s="54" t="inlineStr">
        <is>
          <t>CAIXA - SECAGEM - PET</t>
        </is>
      </c>
      <c r="E1222" s="54" t="n">
        <v>18797809837</v>
      </c>
      <c r="F1222" s="54" t="n">
        <v>0</v>
      </c>
      <c r="G1222" s="54" t="inlineStr">
        <is>
          <t>NORMAL</t>
        </is>
      </c>
      <c r="H1222" s="86" t="n">
        <v>2890.9</v>
      </c>
      <c r="I1222" s="86" t="n">
        <v>2890.9</v>
      </c>
      <c r="J1222" s="69" t="inlineStr">
        <is>
          <t>NÃO</t>
        </is>
      </c>
      <c r="K1222" s="54" t="n"/>
      <c r="L1222" s="87" t="n">
        <v>2890.9</v>
      </c>
      <c r="P1222" s="90">
        <f>IF($O1222="","",L1222-O1222-(L1222*IF(L1222&lt;=79.99,20%,14%)+IF(L1222&lt;=79.99,4,IF(L1222&lt;=99.99,16,IF(L1222&lt;=199.99,20,IF(L1222&lt;=499.99,26,28)))))-L1222*1.3%-L1222*6%-(L1222-O1222)*9.25%-L1222*3%-L1222*3%-1)</f>
        <v/>
      </c>
      <c r="Q1222" s="54">
        <f>IF(AND(K1222&lt;&gt;"",H1222&gt;0),(H1222-K1222)/H1222,"")</f>
        <v/>
      </c>
      <c r="R1222" s="54" t="n"/>
      <c r="S1222" s="54" t="n"/>
      <c r="T1222" s="54" t="n"/>
      <c r="U1222" s="54" t="n">
        <v>100929</v>
      </c>
      <c r="W1222" t="inlineStr">
        <is>
          <t>sem correspondência</t>
        </is>
      </c>
      <c r="Y1222" t="inlineStr"/>
    </row>
    <row r="1223" ht="18" customHeight="1">
      <c r="A1223" s="60" t="inlineStr">
        <is>
          <t>Donacor</t>
        </is>
      </c>
      <c r="B1223" s="60" t="inlineStr">
        <is>
          <t>Mop 14L C/ cabo de 140 cm + 2 Refis - Rodinhas e Cesto Em Inox - Balde Centrífuga - DonaCor</t>
        </is>
      </c>
      <c r="C1223" s="60" t="inlineStr">
        <is>
          <t>Preto/Vermelho Inox</t>
        </is>
      </c>
      <c r="D1223" s="60" t="inlineStr">
        <is>
          <t>Mop-14 Litros-Preto/Vermelho</t>
        </is>
      </c>
      <c r="E1223" s="60" t="n">
        <v>23293920706</v>
      </c>
      <c r="F1223" s="60" t="n">
        <v>277337703814</v>
      </c>
      <c r="G1223" s="60" t="inlineStr">
        <is>
          <t>NORMAL</t>
        </is>
      </c>
      <c r="H1223" s="91" t="n">
        <v>89.90000000000001</v>
      </c>
      <c r="I1223" s="91" t="n">
        <v>89.90000000000001</v>
      </c>
      <c r="J1223" s="62" t="inlineStr">
        <is>
          <t>NÃO</t>
        </is>
      </c>
      <c r="K1223" s="60" t="inlineStr">
        <is>
          <t> </t>
        </is>
      </c>
      <c r="L1223" s="87" t="n">
        <v>89.90000000000001</v>
      </c>
      <c r="P1223" s="92">
        <f>IF($O1223="","",L1223-O1223-(L1223*IF(L1223&lt;=79.99,20%,14%)+IF(L1223&lt;=79.99,4,IF(L1223&lt;=99.99,16,IF(L1223&lt;=199.99,20,IF(L1223&lt;=499.99,26,28)))))-L1223*1.3%-L1223*6%-(L1223-O1223)*9.25%-L1223*3%-L1223*3%-1)</f>
        <v/>
      </c>
      <c r="Q1223" s="60" t="inlineStr">
        <is>
          <t> </t>
        </is>
      </c>
      <c r="R1223" s="60" t="inlineStr">
        <is>
          <t> </t>
        </is>
      </c>
      <c r="S1223" s="60" t="inlineStr">
        <is>
          <t> </t>
        </is>
      </c>
      <c r="T1223" s="60" t="inlineStr">
        <is>
          <t> </t>
        </is>
      </c>
      <c r="U1223" s="60" t="n">
        <v>101204</v>
      </c>
      <c r="W1223" t="inlineStr">
        <is>
          <t>sem correspondência</t>
        </is>
      </c>
      <c r="Y1223" t="inlineStr"/>
    </row>
    <row r="1224" ht="18" customHeight="1">
      <c r="A1224" s="54" t="inlineStr">
        <is>
          <t>Donacor</t>
        </is>
      </c>
      <c r="B1224" s="54" t="inlineStr">
        <is>
          <t>Mop 14L C/ cabo de 140 cm + 2 Refis - Rodinhas e Cesto Em Inox - Balde Centrífuga - DonaCor</t>
        </is>
      </c>
      <c r="C1224" s="54" t="inlineStr">
        <is>
          <t>Verde/Branco Plástico</t>
        </is>
      </c>
      <c r="D1224" s="54" t="inlineStr">
        <is>
          <t>Mop-14 Litros-Verde/Branco</t>
        </is>
      </c>
      <c r="E1224" s="54" t="n">
        <v>23293920706</v>
      </c>
      <c r="F1224" s="54" t="n">
        <v>277337703815</v>
      </c>
      <c r="G1224" s="54" t="inlineStr">
        <is>
          <t>NORMAL</t>
        </is>
      </c>
      <c r="H1224" s="86" t="n">
        <v>89.90000000000001</v>
      </c>
      <c r="I1224" s="86" t="n">
        <v>89.90000000000001</v>
      </c>
      <c r="J1224" s="69" t="inlineStr">
        <is>
          <t>NÃO</t>
        </is>
      </c>
      <c r="K1224" s="54" t="n"/>
      <c r="L1224" s="87" t="n">
        <v>89.90000000000001</v>
      </c>
      <c r="P1224" s="90">
        <f>IF($O1224="","",L1224-O1224-(L1224*IF(L1224&lt;=79.99,20%,14%)+IF(L1224&lt;=79.99,4,IF(L1224&lt;=99.99,16,IF(L1224&lt;=199.99,20,IF(L1224&lt;=499.99,26,28)))))-L1224*1.3%-L1224*6%-(L1224-O1224)*9.25%-L1224*3%-L1224*3%-1)</f>
        <v/>
      </c>
      <c r="Q1224" s="54">
        <f>IF(AND(K1224&lt;&gt;"",H1224&gt;0),(H1224-K1224)/H1224,"")</f>
        <v/>
      </c>
      <c r="R1224" s="54" t="n"/>
      <c r="S1224" s="54" t="n"/>
      <c r="T1224" s="54" t="n"/>
      <c r="U1224" s="54" t="n">
        <v>101204</v>
      </c>
      <c r="W1224" t="inlineStr">
        <is>
          <t>sem correspondência</t>
        </is>
      </c>
      <c r="Y1224" t="inlineStr"/>
    </row>
    <row r="1225" ht="18" customHeight="1">
      <c r="A1225" s="60" t="inlineStr">
        <is>
          <t>Donacor</t>
        </is>
      </c>
      <c r="B1225" s="60" t="inlineStr">
        <is>
          <t>Mop Giratorio Cabo Inox limpeza Cesto Em Inox 14 Lt -Balde Esfregão 360 Universal Original</t>
        </is>
      </c>
      <c r="C1225" s="60" t="inlineStr">
        <is>
          <t>14 Litros,Preto/Vermelho</t>
        </is>
      </c>
      <c r="D1225" s="60" t="inlineStr">
        <is>
          <t>Mop-14 Litros-Preto/Vermelho</t>
        </is>
      </c>
      <c r="E1225" s="60" t="n">
        <v>27488184543</v>
      </c>
      <c r="F1225" s="60" t="n">
        <v>285567470927</v>
      </c>
      <c r="G1225" s="60" t="inlineStr">
        <is>
          <t>NORMAL</t>
        </is>
      </c>
      <c r="H1225" s="91" t="n">
        <v>99.90000000000001</v>
      </c>
      <c r="I1225" s="91" t="n">
        <v>99.90000000000001</v>
      </c>
      <c r="J1225" s="62" t="inlineStr">
        <is>
          <t>NÃO</t>
        </is>
      </c>
      <c r="K1225" s="60" t="inlineStr">
        <is>
          <t> </t>
        </is>
      </c>
      <c r="L1225" s="87" t="n">
        <v>99.90000000000001</v>
      </c>
      <c r="P1225" s="92">
        <f>IF($O1225="","",L1225-O1225-(L1225*IF(L1225&lt;=79.99,20%,14%)+IF(L1225&lt;=79.99,4,IF(L1225&lt;=99.99,16,IF(L1225&lt;=199.99,20,IF(L1225&lt;=499.99,26,28)))))-L1225*1.3%-L1225*6%-(L1225-O1225)*9.25%-L1225*3%-L1225*3%-1)</f>
        <v/>
      </c>
      <c r="Q1225" s="60" t="inlineStr">
        <is>
          <t> </t>
        </is>
      </c>
      <c r="R1225" s="60" t="inlineStr">
        <is>
          <t> </t>
        </is>
      </c>
      <c r="S1225" s="60" t="inlineStr">
        <is>
          <t> </t>
        </is>
      </c>
      <c r="T1225" s="60" t="inlineStr">
        <is>
          <t> </t>
        </is>
      </c>
      <c r="U1225" s="60" t="n">
        <v>101204</v>
      </c>
      <c r="V1225" t="inlineStr">
        <is>
          <t>Mop-9 Litros-Preto/Vermelho</t>
        </is>
      </c>
      <c r="W1225" t="inlineStr">
        <is>
          <t>herdado do anúncio · CUSTO ZERADO na Olist (junho)</t>
        </is>
      </c>
      <c r="Y1225" t="inlineStr">
        <is>
          <t>ok</t>
        </is>
      </c>
    </row>
    <row r="1226" ht="18" customHeight="1">
      <c r="A1226" s="54" t="inlineStr">
        <is>
          <t>Donacor</t>
        </is>
      </c>
      <c r="B1226" s="54" t="inlineStr">
        <is>
          <t>Mop Giratorio Cabo Inox limpeza Cesto Em Inox 14 Lt -Balde Esfregão 360 Universal Original</t>
        </is>
      </c>
      <c r="C1226" s="54" t="inlineStr">
        <is>
          <t>14 Litros,Rosa/Preto</t>
        </is>
      </c>
      <c r="D1226" s="54" t="inlineStr">
        <is>
          <t>Mop-14 Litros-Rosa/Preto</t>
        </is>
      </c>
      <c r="E1226" s="54" t="n">
        <v>27488184543</v>
      </c>
      <c r="F1226" s="54" t="n">
        <v>285567470928</v>
      </c>
      <c r="G1226" s="54" t="inlineStr">
        <is>
          <t>NORMAL</t>
        </is>
      </c>
      <c r="H1226" s="86" t="n">
        <v>99.90000000000001</v>
      </c>
      <c r="I1226" s="86" t="n">
        <v>99.90000000000001</v>
      </c>
      <c r="J1226" s="69" t="inlineStr">
        <is>
          <t>NÃO</t>
        </is>
      </c>
      <c r="K1226" s="54" t="n"/>
      <c r="L1226" s="87" t="n">
        <v>99.90000000000001</v>
      </c>
      <c r="P1226" s="90">
        <f>IF($O1226="","",L1226-O1226-(L1226*IF(L1226&lt;=79.99,20%,14%)+IF(L1226&lt;=79.99,4,IF(L1226&lt;=99.99,16,IF(L1226&lt;=199.99,20,IF(L1226&lt;=499.99,26,28)))))-L1226*1.3%-L1226*6%-(L1226-O1226)*9.25%-L1226*3%-L1226*3%-1)</f>
        <v/>
      </c>
      <c r="Q1226" s="54">
        <f>IF(AND(K1226&lt;&gt;"",H1226&gt;0),(H1226-K1226)/H1226,"")</f>
        <v/>
      </c>
      <c r="R1226" s="54" t="n"/>
      <c r="S1226" s="54" t="n"/>
      <c r="T1226" s="54" t="n"/>
      <c r="U1226" s="54" t="n">
        <v>101204</v>
      </c>
      <c r="V1226" t="inlineStr">
        <is>
          <t>Mop-9 Litros-Preto/Vermelho</t>
        </is>
      </c>
      <c r="W1226" t="inlineStr">
        <is>
          <t>herdado do anúncio · CUSTO ZERADO na Olist (junho)</t>
        </is>
      </c>
      <c r="Y1226" t="inlineStr">
        <is>
          <t>ok</t>
        </is>
      </c>
    </row>
    <row r="1227" ht="18" customHeight="1">
      <c r="A1227" s="60" t="inlineStr">
        <is>
          <t>Donacor</t>
        </is>
      </c>
      <c r="B1227" s="60" t="inlineStr">
        <is>
          <t>Mop Giratorio Cabo Inox limpeza Cesto Em Inox 14 Lt -Balde Esfregão 360 Universal Original</t>
        </is>
      </c>
      <c r="C1227" s="60" t="inlineStr">
        <is>
          <t>9 Litros,Preto/Vermelho</t>
        </is>
      </c>
      <c r="D1227" s="60" t="inlineStr">
        <is>
          <t>Mop-9 Litros-Preto/Vermelho</t>
        </is>
      </c>
      <c r="E1227" s="60" t="n">
        <v>27488184543</v>
      </c>
      <c r="F1227" s="60" t="n">
        <v>285567470929</v>
      </c>
      <c r="G1227" s="60" t="inlineStr">
        <is>
          <t>NORMAL</t>
        </is>
      </c>
      <c r="H1227" s="91" t="n">
        <v>85.90000000000001</v>
      </c>
      <c r="I1227" s="91" t="n">
        <v>85.90000000000001</v>
      </c>
      <c r="J1227" s="62" t="inlineStr">
        <is>
          <t>NÃO</t>
        </is>
      </c>
      <c r="K1227" s="60" t="inlineStr">
        <is>
          <t> </t>
        </is>
      </c>
      <c r="L1227" s="87" t="n">
        <v>85.90000000000001</v>
      </c>
      <c r="P1227" s="92">
        <f>IF($O1227="","",L1227-O1227-(L1227*IF(L1227&lt;=79.99,20%,14%)+IF(L1227&lt;=79.99,4,IF(L1227&lt;=99.99,16,IF(L1227&lt;=199.99,20,IF(L1227&lt;=499.99,26,28)))))-L1227*1.3%-L1227*6%-(L1227-O1227)*9.25%-L1227*3%-L1227*3%-1)</f>
        <v/>
      </c>
      <c r="Q1227" s="60" t="inlineStr">
        <is>
          <t> </t>
        </is>
      </c>
      <c r="R1227" s="60" t="inlineStr">
        <is>
          <t> </t>
        </is>
      </c>
      <c r="S1227" s="60" t="inlineStr">
        <is>
          <t> </t>
        </is>
      </c>
      <c r="T1227" s="60" t="inlineStr">
        <is>
          <t> </t>
        </is>
      </c>
      <c r="U1227" s="60" t="n">
        <v>101204</v>
      </c>
      <c r="V1227" t="inlineStr">
        <is>
          <t>Mop-9 Litros-Preto/Vermelho</t>
        </is>
      </c>
      <c r="W1227" t="inlineStr">
        <is>
          <t>SKU idêntico na Olist · CUSTO ZERADO na Olist (junho)</t>
        </is>
      </c>
      <c r="Y1227" t="inlineStr">
        <is>
          <t>ok</t>
        </is>
      </c>
    </row>
    <row r="1228" ht="18" customHeight="1">
      <c r="A1228" s="54" t="inlineStr">
        <is>
          <t>Donacor</t>
        </is>
      </c>
      <c r="B1228" s="54" t="inlineStr">
        <is>
          <t>Mop Giratorio Cabo Inox limpeza Cesto Em Inox 14 Lt -Balde Esfregão 360 Universal Original</t>
        </is>
      </c>
      <c r="C1228" s="54" t="inlineStr">
        <is>
          <t>9 Litros,Rosa/Preto</t>
        </is>
      </c>
      <c r="D1228" s="54" t="inlineStr">
        <is>
          <t>Mop-9 Litros-Rosa/Preto</t>
        </is>
      </c>
      <c r="E1228" s="54" t="n">
        <v>27488184543</v>
      </c>
      <c r="F1228" s="54" t="n">
        <v>285567470930</v>
      </c>
      <c r="G1228" s="54" t="inlineStr">
        <is>
          <t>NORMAL</t>
        </is>
      </c>
      <c r="H1228" s="86" t="n">
        <v>85.90000000000001</v>
      </c>
      <c r="I1228" s="86" t="n">
        <v>85.90000000000001</v>
      </c>
      <c r="J1228" s="69" t="inlineStr">
        <is>
          <t>NÃO</t>
        </is>
      </c>
      <c r="K1228" s="54" t="n"/>
      <c r="L1228" s="87" t="n">
        <v>85.90000000000001</v>
      </c>
      <c r="P1228" s="90">
        <f>IF($O1228="","",L1228-O1228-(L1228*IF(L1228&lt;=79.99,20%,14%)+IF(L1228&lt;=79.99,4,IF(L1228&lt;=99.99,16,IF(L1228&lt;=199.99,20,IF(L1228&lt;=499.99,26,28)))))-L1228*1.3%-L1228*6%-(L1228-O1228)*9.25%-L1228*3%-L1228*3%-1)</f>
        <v/>
      </c>
      <c r="Q1228" s="54">
        <f>IF(AND(K1228&lt;&gt;"",H1228&gt;0),(H1228-K1228)/H1228,"")</f>
        <v/>
      </c>
      <c r="R1228" s="54" t="n"/>
      <c r="S1228" s="54" t="n"/>
      <c r="T1228" s="54" t="n"/>
      <c r="U1228" s="54" t="n">
        <v>101204</v>
      </c>
      <c r="V1228" t="inlineStr">
        <is>
          <t>Mop-9 Litros-Preto/Vermelho</t>
        </is>
      </c>
      <c r="W1228" t="inlineStr">
        <is>
          <t>herdado do anúncio · CUSTO ZERADO na Olist (junho)</t>
        </is>
      </c>
      <c r="Y1228" t="inlineStr">
        <is>
          <t>ok</t>
        </is>
      </c>
    </row>
    <row r="1229" ht="18" customHeight="1">
      <c r="A1229" s="60" t="inlineStr">
        <is>
          <t>Donacor</t>
        </is>
      </c>
      <c r="B1229" s="60" t="inlineStr">
        <is>
          <t>Mop Giratorio Cabo Inox limpeza Cesto Em Inox 14 Lt -Balde Esfregão 360 Universal Original</t>
        </is>
      </c>
      <c r="C1229" s="60" t="inlineStr">
        <is>
          <t>Preto/Vermelho Inox,14 Litros</t>
        </is>
      </c>
      <c r="D1229" s="60" t="inlineStr">
        <is>
          <t>Mop-14 Litros-Preto/Vermelho</t>
        </is>
      </c>
      <c r="E1229" s="60" t="n">
        <v>19297881831</v>
      </c>
      <c r="F1229" s="60" t="n">
        <v>330439683572</v>
      </c>
      <c r="G1229" s="60" t="inlineStr">
        <is>
          <t>NORMAL</t>
        </is>
      </c>
      <c r="H1229" s="91" t="n">
        <v>99.90000000000001</v>
      </c>
      <c r="I1229" s="91" t="n">
        <v>99.90000000000001</v>
      </c>
      <c r="J1229" s="62" t="inlineStr">
        <is>
          <t>NÃO</t>
        </is>
      </c>
      <c r="K1229" s="60" t="inlineStr">
        <is>
          <t> </t>
        </is>
      </c>
      <c r="L1229" s="87" t="n">
        <v>99.90000000000001</v>
      </c>
      <c r="P1229" s="92">
        <f>IF($O1229="","",L1229-O1229-(L1229*IF(L1229&lt;=79.99,20%,14%)+IF(L1229&lt;=79.99,4,IF(L1229&lt;=99.99,16,IF(L1229&lt;=199.99,20,IF(L1229&lt;=499.99,26,28)))))-L1229*1.3%-L1229*6%-(L1229-O1229)*9.25%-L1229*3%-L1229*3%-1)</f>
        <v/>
      </c>
      <c r="Q1229" s="60" t="inlineStr">
        <is>
          <t> </t>
        </is>
      </c>
      <c r="R1229" s="60" t="inlineStr">
        <is>
          <t> </t>
        </is>
      </c>
      <c r="S1229" s="60" t="inlineStr">
        <is>
          <t> </t>
        </is>
      </c>
      <c r="T1229" s="60" t="inlineStr">
        <is>
          <t> </t>
        </is>
      </c>
      <c r="U1229" s="60" t="n">
        <v>101204</v>
      </c>
      <c r="V1229" t="inlineStr">
        <is>
          <t>Mop-9 Litros-Preto/Vermelho</t>
        </is>
      </c>
      <c r="W1229" t="inlineStr">
        <is>
          <t>herdado do anúncio · CUSTO ZERADO na Olist (junho)</t>
        </is>
      </c>
      <c r="Y1229" t="inlineStr">
        <is>
          <t>ok</t>
        </is>
      </c>
    </row>
    <row r="1230" ht="18" customHeight="1">
      <c r="A1230" s="54" t="inlineStr">
        <is>
          <t>Donacor</t>
        </is>
      </c>
      <c r="B1230" s="54" t="inlineStr">
        <is>
          <t>Mop Giratorio Cabo Inox limpeza Cesto Em Inox 14 Lt -Balde Esfregão 360 Universal Original</t>
        </is>
      </c>
      <c r="C1230" s="54" t="inlineStr">
        <is>
          <t>Preto/Vermelho Inox,9 Litros</t>
        </is>
      </c>
      <c r="D1230" s="54" t="inlineStr">
        <is>
          <t>Mop-9 Litros-Preto/Vermelho</t>
        </is>
      </c>
      <c r="E1230" s="54" t="n">
        <v>19297881831</v>
      </c>
      <c r="F1230" s="54" t="n">
        <v>209171325044</v>
      </c>
      <c r="G1230" s="54" t="inlineStr">
        <is>
          <t>NORMAL</t>
        </is>
      </c>
      <c r="H1230" s="86" t="n">
        <v>79.90000000000001</v>
      </c>
      <c r="I1230" s="86" t="n">
        <v>79.90000000000001</v>
      </c>
      <c r="J1230" s="69" t="inlineStr">
        <is>
          <t>NÃO</t>
        </is>
      </c>
      <c r="K1230" s="54" t="n"/>
      <c r="L1230" s="87" t="n">
        <v>79.90000000000001</v>
      </c>
      <c r="P1230" s="90">
        <f>IF($O1230="","",L1230-O1230-(L1230*IF(L1230&lt;=79.99,20%,14%)+IF(L1230&lt;=79.99,4,IF(L1230&lt;=99.99,16,IF(L1230&lt;=199.99,20,IF(L1230&lt;=499.99,26,28)))))-L1230*1.3%-L1230*6%-(L1230-O1230)*9.25%-L1230*3%-L1230*3%-1)</f>
        <v/>
      </c>
      <c r="Q1230" s="54">
        <f>IF(AND(K1230&lt;&gt;"",H1230&gt;0),(H1230-K1230)/H1230,"")</f>
        <v/>
      </c>
      <c r="R1230" s="54" t="n"/>
      <c r="S1230" s="54" t="n"/>
      <c r="T1230" s="54" t="n"/>
      <c r="U1230" s="54" t="n">
        <v>101204</v>
      </c>
      <c r="V1230" t="inlineStr">
        <is>
          <t>Mop-9 Litros-Preto/Vermelho</t>
        </is>
      </c>
      <c r="W1230" t="inlineStr">
        <is>
          <t>SKU idêntico na Olist · CUSTO ZERADO na Olist (junho)</t>
        </is>
      </c>
      <c r="Y1230" t="inlineStr">
        <is>
          <t>ok</t>
        </is>
      </c>
    </row>
    <row r="1231" ht="18" customHeight="1">
      <c r="A1231" s="60" t="inlineStr">
        <is>
          <t>Donacor</t>
        </is>
      </c>
      <c r="B1231" s="60" t="inlineStr">
        <is>
          <t>Mop Giratorio Cabo Inox limpeza Cesto Em Inox 14 Lt -Balde Esfregão 360 Universal Original</t>
        </is>
      </c>
      <c r="C1231" s="60" t="inlineStr">
        <is>
          <t>Verde/Branco Plástico,14 Litros</t>
        </is>
      </c>
      <c r="D1231" s="60" t="inlineStr">
        <is>
          <t>Mop-14 Litros-Verde/Branco</t>
        </is>
      </c>
      <c r="E1231" s="60" t="n">
        <v>19297881831</v>
      </c>
      <c r="F1231" s="60" t="n">
        <v>330439683573</v>
      </c>
      <c r="G1231" s="60" t="inlineStr">
        <is>
          <t>NORMAL</t>
        </is>
      </c>
      <c r="H1231" s="91" t="n">
        <v>99.90000000000001</v>
      </c>
      <c r="I1231" s="91" t="n">
        <v>99.90000000000001</v>
      </c>
      <c r="J1231" s="62" t="inlineStr">
        <is>
          <t>NÃO</t>
        </is>
      </c>
      <c r="K1231" s="60" t="inlineStr">
        <is>
          <t> </t>
        </is>
      </c>
      <c r="L1231" s="87" t="n">
        <v>99.90000000000001</v>
      </c>
      <c r="P1231" s="92">
        <f>IF($O1231="","",L1231-O1231-(L1231*IF(L1231&lt;=79.99,20%,14%)+IF(L1231&lt;=79.99,4,IF(L1231&lt;=99.99,16,IF(L1231&lt;=199.99,20,IF(L1231&lt;=499.99,26,28)))))-L1231*1.3%-L1231*6%-(L1231-O1231)*9.25%-L1231*3%-L1231*3%-1)</f>
        <v/>
      </c>
      <c r="Q1231" s="60" t="inlineStr">
        <is>
          <t> </t>
        </is>
      </c>
      <c r="R1231" s="60" t="inlineStr">
        <is>
          <t> </t>
        </is>
      </c>
      <c r="S1231" s="60" t="inlineStr">
        <is>
          <t> </t>
        </is>
      </c>
      <c r="T1231" s="60" t="inlineStr">
        <is>
          <t> </t>
        </is>
      </c>
      <c r="U1231" s="60" t="n">
        <v>101204</v>
      </c>
      <c r="V1231" t="inlineStr">
        <is>
          <t>Mop-9 Litros-Preto/Vermelho</t>
        </is>
      </c>
      <c r="W1231" t="inlineStr">
        <is>
          <t>herdado do anúncio · CUSTO ZERADO na Olist (junho)</t>
        </is>
      </c>
      <c r="Y1231" t="inlineStr">
        <is>
          <t>ok</t>
        </is>
      </c>
    </row>
    <row r="1232" ht="18" customHeight="1">
      <c r="A1232" s="54" t="inlineStr">
        <is>
          <t>Donacor</t>
        </is>
      </c>
      <c r="B1232" s="54" t="inlineStr">
        <is>
          <t>Mop Giratorio Cabo Inox limpeza Cesto Em Inox 14 Lt -Balde Esfregão 360 Universal Original</t>
        </is>
      </c>
      <c r="C1232" s="54" t="inlineStr">
        <is>
          <t>Verde/Branco Plástico,9 Litros</t>
        </is>
      </c>
      <c r="D1232" s="54" t="inlineStr">
        <is>
          <t>Mop-9 Litros-Verde/Branco</t>
        </is>
      </c>
      <c r="E1232" s="54" t="n">
        <v>19297881831</v>
      </c>
      <c r="F1232" s="54" t="n">
        <v>209171325046</v>
      </c>
      <c r="G1232" s="54" t="inlineStr">
        <is>
          <t>NORMAL</t>
        </is>
      </c>
      <c r="H1232" s="86" t="n">
        <v>79.90000000000001</v>
      </c>
      <c r="I1232" s="86" t="n">
        <v>79.90000000000001</v>
      </c>
      <c r="J1232" s="69" t="inlineStr">
        <is>
          <t>NÃO</t>
        </is>
      </c>
      <c r="K1232" s="54" t="n"/>
      <c r="L1232" s="87" t="n">
        <v>79.90000000000001</v>
      </c>
      <c r="P1232" s="90">
        <f>IF($O1232="","",L1232-O1232-(L1232*IF(L1232&lt;=79.99,20%,14%)+IF(L1232&lt;=79.99,4,IF(L1232&lt;=99.99,16,IF(L1232&lt;=199.99,20,IF(L1232&lt;=499.99,26,28)))))-L1232*1.3%-L1232*6%-(L1232-O1232)*9.25%-L1232*3%-L1232*3%-1)</f>
        <v/>
      </c>
      <c r="Q1232" s="54">
        <f>IF(AND(K1232&lt;&gt;"",H1232&gt;0),(H1232-K1232)/H1232,"")</f>
        <v/>
      </c>
      <c r="R1232" s="54" t="n"/>
      <c r="S1232" s="54" t="n"/>
      <c r="T1232" s="54" t="n"/>
      <c r="U1232" s="54" t="n">
        <v>101204</v>
      </c>
      <c r="V1232" t="inlineStr">
        <is>
          <t>Mop-9 Litros-Preto/Vermelho</t>
        </is>
      </c>
      <c r="W1232" t="inlineStr">
        <is>
          <t>herdado do anúncio · CUSTO ZERADO na Olist (junho)</t>
        </is>
      </c>
      <c r="Y1232" t="inlineStr">
        <is>
          <t>ok</t>
        </is>
      </c>
    </row>
    <row r="1233" ht="18" customHeight="1">
      <c r="A1233" s="60" t="inlineStr">
        <is>
          <t>Donacor</t>
        </is>
      </c>
      <c r="B1233" s="60" t="inlineStr">
        <is>
          <t>Mop Spray com Refil Microfibra</t>
        </is>
      </c>
      <c r="C1233" s="60" t="inlineStr">
        <is>
          <t>Sem variação</t>
        </is>
      </c>
      <c r="D1233" s="60" t="n">
        <v>1634</v>
      </c>
      <c r="E1233" s="60" t="n">
        <v>22298412831</v>
      </c>
      <c r="F1233" s="60" t="n">
        <v>0</v>
      </c>
      <c r="G1233" s="60" t="inlineStr">
        <is>
          <t>NORMAL</t>
        </is>
      </c>
      <c r="H1233" s="91" t="n">
        <v>79.90000000000001</v>
      </c>
      <c r="I1233" s="91" t="n">
        <v>79.90000000000001</v>
      </c>
      <c r="J1233" s="62" t="inlineStr">
        <is>
          <t>NÃO</t>
        </is>
      </c>
      <c r="K1233" s="60" t="inlineStr">
        <is>
          <t> </t>
        </is>
      </c>
      <c r="L1233" s="87" t="n">
        <v>79.90000000000001</v>
      </c>
      <c r="P1233" s="92">
        <f>IF($O1233="","",L1233-O1233-(L1233*IF(L1233&lt;=79.99,20%,14%)+IF(L1233&lt;=79.99,4,IF(L1233&lt;=99.99,16,IF(L1233&lt;=199.99,20,IF(L1233&lt;=499.99,26,28)))))-L1233*1.3%-L1233*6%-(L1233-O1233)*9.25%-L1233*3%-L1233*3%-1)</f>
        <v/>
      </c>
      <c r="Q1233" s="60" t="inlineStr">
        <is>
          <t> </t>
        </is>
      </c>
      <c r="R1233" s="60" t="inlineStr">
        <is>
          <t> </t>
        </is>
      </c>
      <c r="S1233" s="60" t="inlineStr">
        <is>
          <t> </t>
        </is>
      </c>
      <c r="T1233" s="60" t="inlineStr">
        <is>
          <t> </t>
        </is>
      </c>
      <c r="U1233" s="60" t="n">
        <v>101204</v>
      </c>
      <c r="V1233" t="inlineStr">
        <is>
          <t>1634</t>
        </is>
      </c>
      <c r="W1233" t="inlineStr">
        <is>
          <t>SKU idêntico na Olist · CUSTO ZERADO na Olist (conferido hoje)</t>
        </is>
      </c>
      <c r="Y1233" t="inlineStr">
        <is>
          <t>ok</t>
        </is>
      </c>
    </row>
    <row r="1234" ht="18" customHeight="1">
      <c r="A1234" s="54" t="inlineStr">
        <is>
          <t>Donacor</t>
        </is>
      </c>
      <c r="B1234" s="54" t="inlineStr">
        <is>
          <t>OMEGA 3 DOG 1000MG</t>
        </is>
      </c>
      <c r="C1234" s="54" t="inlineStr">
        <is>
          <t>Sem variação</t>
        </is>
      </c>
      <c r="D1234" s="54" t="n">
        <v>729</v>
      </c>
      <c r="E1234" s="54" t="n">
        <v>22593011018</v>
      </c>
      <c r="F1234" s="54" t="n">
        <v>0</v>
      </c>
      <c r="G1234" s="54" t="inlineStr">
        <is>
          <t>NORMAL</t>
        </is>
      </c>
      <c r="H1234" s="86" t="n">
        <v>105.8</v>
      </c>
      <c r="I1234" s="86" t="n">
        <v>105.8</v>
      </c>
      <c r="J1234" s="69" t="inlineStr">
        <is>
          <t>NÃO</t>
        </is>
      </c>
      <c r="K1234" s="54" t="n"/>
      <c r="L1234" s="87" t="n">
        <v>105.8</v>
      </c>
      <c r="M1234" s="88" t="n">
        <v>1</v>
      </c>
      <c r="N1234" s="89" t="n">
        <v>30.99</v>
      </c>
      <c r="O1234" s="89">
        <f>ROUND(M1234*N1234,2)</f>
        <v/>
      </c>
      <c r="P1234" s="90">
        <f>IF($O1234="","",L1234-O1234-(L1234*IF(L1234&lt;=79.99,20%,14%)+IF(L1234&lt;=79.99,4,IF(L1234&lt;=99.99,16,IF(L1234&lt;=199.99,20,IF(L1234&lt;=499.99,26,28)))))-L1234*1.3%-L1234*6%-(L1234-O1234)*9.25%-L1234*3%-L1234*3%-1)</f>
        <v/>
      </c>
      <c r="Q1234" s="54">
        <f>IF(AND(K1234&lt;&gt;"",H1234&gt;0),(H1234-K1234)/H1234,"")</f>
        <v/>
      </c>
      <c r="R1234" s="54" t="n"/>
      <c r="S1234" s="54" t="n"/>
      <c r="T1234" s="54" t="n"/>
      <c r="U1234" s="54" t="n">
        <v>100944</v>
      </c>
      <c r="V1234" t="inlineStr">
        <is>
          <t>212965</t>
        </is>
      </c>
      <c r="W1234" t="inlineStr">
        <is>
          <t>SKU do de-para · custo do KIT 213799 (1× 212965)</t>
        </is>
      </c>
      <c r="X1234" t="n">
        <v>1367</v>
      </c>
      <c r="Y1234" t="inlineStr">
        <is>
          <t>ok</t>
        </is>
      </c>
    </row>
    <row r="1235" ht="18" customHeight="1">
      <c r="A1235" s="60" t="inlineStr">
        <is>
          <t>Donacor</t>
        </is>
      </c>
      <c r="B1235" s="60" t="inlineStr">
        <is>
          <t>Panela De Pressão Elétrica 6L Inox Preta Digital 110V ou 220V Oliverhome</t>
        </is>
      </c>
      <c r="C1235" s="60" t="inlineStr">
        <is>
          <t>110V</t>
        </is>
      </c>
      <c r="D1235" s="60" t="inlineStr">
        <is>
          <t>PANELA-ELETRICA-110V</t>
        </is>
      </c>
      <c r="E1235" s="60" t="n">
        <v>40466991106</v>
      </c>
      <c r="F1235" s="60" t="n">
        <v>271402460127</v>
      </c>
      <c r="G1235" s="60" t="inlineStr">
        <is>
          <t>NORMAL</t>
        </is>
      </c>
      <c r="H1235" s="91" t="n">
        <v>549.9</v>
      </c>
      <c r="I1235" s="91" t="n">
        <v>389.9</v>
      </c>
      <c r="J1235" s="65" t="inlineStr">
        <is>
          <t>SIM</t>
        </is>
      </c>
      <c r="K1235" s="91" t="n">
        <v>389.9</v>
      </c>
      <c r="L1235" s="87" t="n">
        <v>389.9</v>
      </c>
      <c r="M1235" s="88" t="n">
        <v>1</v>
      </c>
      <c r="N1235" s="89" t="n">
        <v>149.97</v>
      </c>
      <c r="O1235" s="89">
        <f>ROUND(M1235*N1235,2)</f>
        <v/>
      </c>
      <c r="P1235" s="92">
        <f>IF($O1235="","",L1235-O1235-(L1235*IF(L1235&lt;=79.99,20%,14%)+IF(L1235&lt;=79.99,4,IF(L1235&lt;=99.99,16,IF(L1235&lt;=199.99,20,IF(L1235&lt;=499.99,26,28)))))-L1235*1.3%-L1235*6%-(L1235-O1235)*9.25%-L1235*3%-L1235*3%-1)</f>
        <v/>
      </c>
      <c r="Q1235" s="67" t="n">
        <v>0.291</v>
      </c>
      <c r="R1235" s="60" t="n">
        <v>478840979931317</v>
      </c>
      <c r="S1235" s="68" t="n">
        <v>46248</v>
      </c>
      <c r="T1235" s="68" t="n">
        <v>46248.99930555555</v>
      </c>
      <c r="U1235" s="60" t="n">
        <v>100205</v>
      </c>
      <c r="V1235" t="inlineStr">
        <is>
          <t>214162</t>
        </is>
      </c>
      <c r="W1235" t="inlineStr">
        <is>
          <t>venda casada (19 pedidos)</t>
        </is>
      </c>
      <c r="X1235" t="n">
        <v>19</v>
      </c>
      <c r="Y1235" t="inlineStr">
        <is>
          <t>ok</t>
        </is>
      </c>
    </row>
    <row r="1236" ht="18" customHeight="1">
      <c r="A1236" s="54" t="inlineStr">
        <is>
          <t>Donacor</t>
        </is>
      </c>
      <c r="B1236" s="54" t="inlineStr">
        <is>
          <t>Panela De Pressão Elétrica 6L Inox Preta Digital 110V ou 220V Oliverhome</t>
        </is>
      </c>
      <c r="C1236" s="54" t="inlineStr">
        <is>
          <t>220V</t>
        </is>
      </c>
      <c r="D1236" s="54" t="inlineStr">
        <is>
          <t>PANELA-ELETRICA-220V</t>
        </is>
      </c>
      <c r="E1236" s="54" t="n">
        <v>40466991106</v>
      </c>
      <c r="F1236" s="54" t="n">
        <v>271402460128</v>
      </c>
      <c r="G1236" s="54" t="inlineStr">
        <is>
          <t>NORMAL</t>
        </is>
      </c>
      <c r="H1236" s="86" t="n">
        <v>549.9</v>
      </c>
      <c r="I1236" s="86" t="n">
        <v>549.9</v>
      </c>
      <c r="J1236" s="69" t="inlineStr">
        <is>
          <t>NÃO</t>
        </is>
      </c>
      <c r="K1236" s="54" t="n"/>
      <c r="L1236" s="87" t="n">
        <v>549.9</v>
      </c>
      <c r="M1236" s="88" t="n">
        <v>1</v>
      </c>
      <c r="N1236" s="89" t="n">
        <v>149.97</v>
      </c>
      <c r="O1236" s="89">
        <f>ROUND(M1236*N1236,2)</f>
        <v/>
      </c>
      <c r="P1236" s="90">
        <f>IF($O1236="","",L1236-O1236-(L1236*IF(L1236&lt;=79.99,20%,14%)+IF(L1236&lt;=79.99,4,IF(L1236&lt;=99.99,16,IF(L1236&lt;=199.99,20,IF(L1236&lt;=499.99,26,28)))))-L1236*1.3%-L1236*6%-(L1236-O1236)*9.25%-L1236*3%-L1236*3%-1)</f>
        <v/>
      </c>
      <c r="Q1236" s="54">
        <f>IF(AND(K1236&lt;&gt;"",H1236&gt;0),(H1236-K1236)/H1236,"")</f>
        <v/>
      </c>
      <c r="R1236" s="54" t="n"/>
      <c r="S1236" s="54" t="n"/>
      <c r="T1236" s="54" t="n"/>
      <c r="U1236" s="54" t="n">
        <v>100205</v>
      </c>
      <c r="V1236" t="inlineStr">
        <is>
          <t>214163</t>
        </is>
      </c>
      <c r="W1236" t="inlineStr">
        <is>
          <t>venda casada (16 pedidos)</t>
        </is>
      </c>
      <c r="X1236" t="n">
        <v>16</v>
      </c>
      <c r="Y1236" t="inlineStr">
        <is>
          <t>ok</t>
        </is>
      </c>
    </row>
    <row r="1237" ht="18" customHeight="1">
      <c r="A1237" s="60" t="inlineStr">
        <is>
          <t>Donacor</t>
        </is>
      </c>
      <c r="B1237" s="60" t="inlineStr">
        <is>
          <t>PISCA-PISCA CASCATA 10M 400PC BRANCA 110V</t>
        </is>
      </c>
      <c r="C1237" s="60" t="inlineStr">
        <is>
          <t>BRANCO FRIO 8 FUNÇÕES,110V</t>
        </is>
      </c>
      <c r="D1237" s="60" t="inlineStr">
        <is>
          <t>PISCA-110V-1UN-BRANCO FRIO</t>
        </is>
      </c>
      <c r="E1237" s="60" t="n">
        <v>45352608850</v>
      </c>
      <c r="F1237" s="60" t="n">
        <v>228215411223</v>
      </c>
      <c r="G1237" s="60" t="inlineStr">
        <is>
          <t>NORMAL</t>
        </is>
      </c>
      <c r="H1237" s="91" t="n">
        <v>39.9</v>
      </c>
      <c r="I1237" s="91" t="n">
        <v>21.9</v>
      </c>
      <c r="J1237" s="65" t="inlineStr">
        <is>
          <t>SIM</t>
        </is>
      </c>
      <c r="K1237" s="91" t="n">
        <v>21.9</v>
      </c>
      <c r="L1237" s="87" t="n">
        <v>21.9</v>
      </c>
      <c r="M1237" s="88" t="n">
        <v>1</v>
      </c>
      <c r="N1237" s="89" t="n">
        <v>5.78</v>
      </c>
      <c r="O1237" s="89">
        <f>ROUND(M1237*N1237,2)</f>
        <v/>
      </c>
      <c r="P1237" s="92">
        <f>IF($O1237="","",L1237-O1237-(L1237*IF(L1237&lt;=79.99,20%,14%)+IF(L1237&lt;=79.99,4,IF(L1237&lt;=99.99,16,IF(L1237&lt;=199.99,20,IF(L1237&lt;=499.99,26,28)))))-L1237*1.3%-L1237*6%-(L1237-O1237)*9.25%-L1237*3%-L1237*3%-1)</f>
        <v/>
      </c>
      <c r="Q1237" s="67" t="n">
        <v>0.451</v>
      </c>
      <c r="R1237" s="60" t="inlineStr">
        <is>
          <t>478840979931317, 484945860710786</t>
        </is>
      </c>
      <c r="S1237" s="68" t="n">
        <v>46227.73958333334</v>
      </c>
      <c r="T1237" s="68" t="n">
        <v>46248.99930555555</v>
      </c>
      <c r="U1237" s="60" t="n">
        <v>100419</v>
      </c>
      <c r="V1237" t="inlineStr">
        <is>
          <t>214196</t>
        </is>
      </c>
      <c r="W1237" t="inlineStr">
        <is>
          <t>SKU do de-para · custo do KIT 214211 (1× 214196)</t>
        </is>
      </c>
      <c r="X1237" t="n">
        <v>2</v>
      </c>
      <c r="Y1237" t="inlineStr">
        <is>
          <t>ok</t>
        </is>
      </c>
    </row>
    <row r="1238" ht="18" customHeight="1">
      <c r="A1238" s="54" t="inlineStr">
        <is>
          <t>Donacor</t>
        </is>
      </c>
      <c r="B1238" s="54" t="inlineStr">
        <is>
          <t>PISCA-PISCA CASCATA 10M 400PC BRANCA 110V</t>
        </is>
      </c>
      <c r="C1238" s="54" t="inlineStr">
        <is>
          <t>BRANCO FRIO 8 FUNÇÕES,220V</t>
        </is>
      </c>
      <c r="D1238" s="54" t="inlineStr">
        <is>
          <t>PISCA-220V-1UN-BRANCO FRIO</t>
        </is>
      </c>
      <c r="E1238" s="54" t="n">
        <v>45352608850</v>
      </c>
      <c r="F1238" s="54" t="n">
        <v>228215411224</v>
      </c>
      <c r="G1238" s="54" t="inlineStr">
        <is>
          <t>NORMAL</t>
        </is>
      </c>
      <c r="H1238" s="86" t="n">
        <v>39.9</v>
      </c>
      <c r="I1238" s="86" t="n">
        <v>21.9</v>
      </c>
      <c r="J1238" s="56" t="inlineStr">
        <is>
          <t>SIM</t>
        </is>
      </c>
      <c r="K1238" s="86" t="n">
        <v>21.9</v>
      </c>
      <c r="L1238" s="87" t="n">
        <v>21.9</v>
      </c>
      <c r="P1238" s="90">
        <f>IF($O1238="","",L1238-O1238-(L1238*IF(L1238&lt;=79.99,20%,14%)+IF(L1238&lt;=79.99,4,IF(L1238&lt;=99.99,16,IF(L1238&lt;=199.99,20,IF(L1238&lt;=499.99,26,28)))))-L1238*1.3%-L1238*6%-(L1238-O1238)*9.25%-L1238*3%-L1238*3%-1)</f>
        <v/>
      </c>
      <c r="Q1238" s="58" t="n">
        <v>0.451</v>
      </c>
      <c r="R1238" s="54" t="inlineStr">
        <is>
          <t>478840979931317, 484945860710786</t>
        </is>
      </c>
      <c r="S1238" s="59" t="n">
        <v>46227.73958333334</v>
      </c>
      <c r="T1238" s="59" t="n">
        <v>46248.99930555555</v>
      </c>
      <c r="U1238" s="54" t="n">
        <v>100419</v>
      </c>
      <c r="V1238" t="inlineStr">
        <is>
          <t>PISCA-220V-1UN-BRANCO FRIO</t>
        </is>
      </c>
      <c r="W1238" t="inlineStr">
        <is>
          <t>SKU idêntico na Olist · CUSTO ZERADO na Olist (conferido hoje)</t>
        </is>
      </c>
      <c r="Y1238" t="inlineStr">
        <is>
          <t>ok</t>
        </is>
      </c>
    </row>
    <row r="1239" ht="18" customHeight="1">
      <c r="A1239" s="60" t="inlineStr">
        <is>
          <t>Donacor</t>
        </is>
      </c>
      <c r="B1239" s="60" t="inlineStr">
        <is>
          <t>PISCA-PISCA CASCATA 10M 400PC BRANCA 110V</t>
        </is>
      </c>
      <c r="C1239" s="60" t="inlineStr">
        <is>
          <t>BRANCO QUENTE 8 FUNÇÕES,110V</t>
        </is>
      </c>
      <c r="D1239" s="60" t="inlineStr">
        <is>
          <t>PISCA-110V-1UN-BRANCO QUENTE</t>
        </is>
      </c>
      <c r="E1239" s="60" t="n">
        <v>45352608850</v>
      </c>
      <c r="F1239" s="60" t="n">
        <v>228215411221</v>
      </c>
      <c r="G1239" s="60" t="inlineStr">
        <is>
          <t>NORMAL</t>
        </is>
      </c>
      <c r="H1239" s="91" t="n">
        <v>39.9</v>
      </c>
      <c r="I1239" s="91" t="n">
        <v>21.9</v>
      </c>
      <c r="J1239" s="65" t="inlineStr">
        <is>
          <t>SIM</t>
        </is>
      </c>
      <c r="K1239" s="91" t="n">
        <v>21.9</v>
      </c>
      <c r="L1239" s="87" t="n">
        <v>21.9</v>
      </c>
      <c r="M1239" s="88" t="n">
        <v>1</v>
      </c>
      <c r="N1239" s="89" t="n">
        <v>5.78</v>
      </c>
      <c r="O1239" s="89">
        <f>ROUND(M1239*N1239,2)</f>
        <v/>
      </c>
      <c r="P1239" s="92">
        <f>IF($O1239="","",L1239-O1239-(L1239*IF(L1239&lt;=79.99,20%,14%)+IF(L1239&lt;=79.99,4,IF(L1239&lt;=99.99,16,IF(L1239&lt;=199.99,20,IF(L1239&lt;=499.99,26,28)))))-L1239*1.3%-L1239*6%-(L1239-O1239)*9.25%-L1239*3%-L1239*3%-1)</f>
        <v/>
      </c>
      <c r="Q1239" s="67" t="n">
        <v>0.451</v>
      </c>
      <c r="R1239" s="60" t="inlineStr">
        <is>
          <t>478840979931317, 484945860710786</t>
        </is>
      </c>
      <c r="S1239" s="68" t="n">
        <v>46227.73958333334</v>
      </c>
      <c r="T1239" s="68" t="n">
        <v>46248.99930555555</v>
      </c>
      <c r="U1239" s="60" t="n">
        <v>100419</v>
      </c>
      <c r="V1239" t="inlineStr">
        <is>
          <t>214195</t>
        </is>
      </c>
      <c r="W1239" t="inlineStr">
        <is>
          <t>SKU do de-para · custo do KIT 214209 (1× 214195)</t>
        </is>
      </c>
      <c r="X1239" t="n">
        <v>15</v>
      </c>
      <c r="Y1239" t="inlineStr">
        <is>
          <t>ok</t>
        </is>
      </c>
    </row>
    <row r="1240" ht="18" customHeight="1">
      <c r="A1240" s="54" t="inlineStr">
        <is>
          <t>Donacor</t>
        </is>
      </c>
      <c r="B1240" s="54" t="inlineStr">
        <is>
          <t>PISCA-PISCA CASCATA 10M 400PC BRANCA 110V</t>
        </is>
      </c>
      <c r="C1240" s="54" t="inlineStr">
        <is>
          <t>BRANCO QUENTE 8 FUNÇÕES,220V</t>
        </is>
      </c>
      <c r="D1240" s="54" t="inlineStr">
        <is>
          <t>PISCA-220V-1UN-BRANCO QUENTE</t>
        </is>
      </c>
      <c r="E1240" s="54" t="n">
        <v>45352608850</v>
      </c>
      <c r="F1240" s="54" t="n">
        <v>228215411222</v>
      </c>
      <c r="G1240" s="54" t="inlineStr">
        <is>
          <t>NORMAL</t>
        </is>
      </c>
      <c r="H1240" s="86" t="n">
        <v>39.9</v>
      </c>
      <c r="I1240" s="86" t="n">
        <v>21.9</v>
      </c>
      <c r="J1240" s="56" t="inlineStr">
        <is>
          <t>SIM</t>
        </is>
      </c>
      <c r="K1240" s="86" t="n">
        <v>21.9</v>
      </c>
      <c r="L1240" s="87" t="n">
        <v>21.9</v>
      </c>
      <c r="M1240" s="88" t="n">
        <v>1</v>
      </c>
      <c r="N1240" s="89" t="n">
        <v>5.78</v>
      </c>
      <c r="O1240" s="89">
        <f>ROUND(M1240*N1240,2)</f>
        <v/>
      </c>
      <c r="P1240" s="90">
        <f>IF($O1240="","",L1240-O1240-(L1240*IF(L1240&lt;=79.99,20%,14%)+IF(L1240&lt;=79.99,4,IF(L1240&lt;=99.99,16,IF(L1240&lt;=199.99,20,IF(L1240&lt;=499.99,26,28)))))-L1240*1.3%-L1240*6%-(L1240-O1240)*9.25%-L1240*3%-L1240*3%-1)</f>
        <v/>
      </c>
      <c r="Q1240" s="58" t="n">
        <v>0.451</v>
      </c>
      <c r="R1240" s="54" t="inlineStr">
        <is>
          <t>478840979931317, 484945860710786</t>
        </is>
      </c>
      <c r="S1240" s="59" t="n">
        <v>46227.73958333334</v>
      </c>
      <c r="T1240" s="59" t="n">
        <v>46248.99930555555</v>
      </c>
      <c r="U1240" s="54" t="n">
        <v>100419</v>
      </c>
      <c r="V1240" t="inlineStr">
        <is>
          <t>214197</t>
        </is>
      </c>
      <c r="W1240" t="inlineStr">
        <is>
          <t>SKU do de-para · custo do KIT 214210 (1× 214197)</t>
        </is>
      </c>
      <c r="X1240" t="n">
        <v>8</v>
      </c>
      <c r="Y1240" t="inlineStr">
        <is>
          <t>ok</t>
        </is>
      </c>
    </row>
    <row r="1241" ht="18" customHeight="1">
      <c r="A1241" s="60" t="inlineStr">
        <is>
          <t>Donacor</t>
        </is>
      </c>
      <c r="B1241" s="60" t="inlineStr">
        <is>
          <t>Pistola Elétrica Para Pintura Pulverizador de Tinta com Bico e Compressor 450w - OliverHome</t>
        </is>
      </c>
      <c r="C1241" s="60" t="inlineStr">
        <is>
          <t>110V</t>
        </is>
      </c>
      <c r="D1241" s="60" t="inlineStr">
        <is>
          <t>PISTOLA-110V</t>
        </is>
      </c>
      <c r="E1241" s="60" t="n">
        <v>44264554242</v>
      </c>
      <c r="F1241" s="60" t="n">
        <v>276244385837</v>
      </c>
      <c r="G1241" s="60" t="inlineStr">
        <is>
          <t>NORMAL</t>
        </is>
      </c>
      <c r="H1241" s="91" t="n">
        <v>229.9</v>
      </c>
      <c r="I1241" s="91" t="n">
        <v>229.9</v>
      </c>
      <c r="J1241" s="62" t="inlineStr">
        <is>
          <t>NÃO</t>
        </is>
      </c>
      <c r="K1241" s="60" t="inlineStr">
        <is>
          <t> </t>
        </is>
      </c>
      <c r="L1241" s="87" t="n">
        <v>229.9</v>
      </c>
      <c r="M1241" s="88" t="n">
        <v>1</v>
      </c>
      <c r="N1241" s="89" t="n">
        <v>66.78</v>
      </c>
      <c r="O1241" s="89">
        <f>ROUND(M1241*N1241,2)</f>
        <v/>
      </c>
      <c r="P1241" s="92">
        <f>IF($O1241="","",L1241-O1241-(L1241*IF(L1241&lt;=79.99,20%,14%)+IF(L1241&lt;=79.99,4,IF(L1241&lt;=99.99,16,IF(L1241&lt;=199.99,20,IF(L1241&lt;=499.99,26,28)))))-L1241*1.3%-L1241*6%-(L1241-O1241)*9.25%-L1241*3%-L1241*3%-1)</f>
        <v/>
      </c>
      <c r="Q1241" s="60" t="inlineStr">
        <is>
          <t> </t>
        </is>
      </c>
      <c r="R1241" s="60" t="inlineStr">
        <is>
          <t> </t>
        </is>
      </c>
      <c r="S1241" s="60" t="inlineStr">
        <is>
          <t> </t>
        </is>
      </c>
      <c r="T1241" s="60" t="inlineStr">
        <is>
          <t> </t>
        </is>
      </c>
      <c r="U1241" s="60" t="n">
        <v>101190</v>
      </c>
      <c r="V1241" t="inlineStr">
        <is>
          <t>214029</t>
        </is>
      </c>
      <c r="W1241" t="inlineStr">
        <is>
          <t>herdado do anúncio</t>
        </is>
      </c>
      <c r="Y1241" t="inlineStr">
        <is>
          <t>ok</t>
        </is>
      </c>
    </row>
    <row r="1242" ht="18" customHeight="1">
      <c r="A1242" s="54" t="inlineStr">
        <is>
          <t>Donacor</t>
        </is>
      </c>
      <c r="B1242" s="54" t="inlineStr">
        <is>
          <t>Pistola Elétrica Para Pintura Pulverizador de Tinta com Bico e Compressor 450w - OliverHome</t>
        </is>
      </c>
      <c r="C1242" s="54" t="inlineStr">
        <is>
          <t>220V</t>
        </is>
      </c>
      <c r="D1242" s="54" t="inlineStr">
        <is>
          <t>PISTOLA-220V</t>
        </is>
      </c>
      <c r="E1242" s="54" t="n">
        <v>44264554242</v>
      </c>
      <c r="F1242" s="54" t="n">
        <v>276244385838</v>
      </c>
      <c r="G1242" s="54" t="inlineStr">
        <is>
          <t>NORMAL</t>
        </is>
      </c>
      <c r="H1242" s="86" t="n">
        <v>229.9</v>
      </c>
      <c r="I1242" s="86" t="n">
        <v>146.97</v>
      </c>
      <c r="J1242" s="56" t="inlineStr">
        <is>
          <t>SIM</t>
        </is>
      </c>
      <c r="K1242" s="86" t="n">
        <v>146.97</v>
      </c>
      <c r="L1242" s="87" t="n">
        <v>146.97</v>
      </c>
      <c r="M1242" s="88" t="n">
        <v>1</v>
      </c>
      <c r="N1242" s="89" t="n">
        <v>66.78</v>
      </c>
      <c r="O1242" s="89">
        <f>ROUND(M1242*N1242,2)</f>
        <v/>
      </c>
      <c r="P1242" s="90">
        <f>IF($O1242="","",L1242-O1242-(L1242*IF(L1242&lt;=79.99,20%,14%)+IF(L1242&lt;=79.99,4,IF(L1242&lt;=99.99,16,IF(L1242&lt;=199.99,20,IF(L1242&lt;=499.99,26,28)))))-L1242*1.3%-L1242*6%-(L1242-O1242)*9.25%-L1242*3%-L1242*3%-1)</f>
        <v/>
      </c>
      <c r="Q1242" s="58" t="n">
        <v>0.361</v>
      </c>
      <c r="R1242" s="54" t="n">
        <v>478840979931317</v>
      </c>
      <c r="S1242" s="59" t="n">
        <v>46248</v>
      </c>
      <c r="T1242" s="59" t="n">
        <v>46248.99930555555</v>
      </c>
      <c r="U1242" s="54" t="n">
        <v>101190</v>
      </c>
      <c r="V1242" t="inlineStr">
        <is>
          <t>214029</t>
        </is>
      </c>
      <c r="W1242" t="inlineStr">
        <is>
          <t>venda casada (157 pedidos)</t>
        </is>
      </c>
      <c r="X1242" t="n">
        <v>157</v>
      </c>
      <c r="Y1242" t="inlineStr">
        <is>
          <t>ok</t>
        </is>
      </c>
    </row>
    <row r="1243" ht="18" customHeight="1">
      <c r="A1243" s="60" t="inlineStr">
        <is>
          <t>Donacor</t>
        </is>
      </c>
      <c r="B1243" s="60" t="inlineStr">
        <is>
          <t>Porta Pães com tampa Armazenamento de Pães Retrátil Padaria Casa OliverHome</t>
        </is>
      </c>
      <c r="C1243" s="60" t="inlineStr">
        <is>
          <t>Sem variação</t>
        </is>
      </c>
      <c r="D1243" s="60" t="inlineStr">
        <is>
          <t>Portão pão</t>
        </is>
      </c>
      <c r="E1243" s="60" t="n">
        <v>22598060370</v>
      </c>
      <c r="F1243" s="60" t="n">
        <v>0</v>
      </c>
      <c r="G1243" s="60" t="inlineStr">
        <is>
          <t>NORMAL</t>
        </is>
      </c>
      <c r="H1243" s="91" t="n">
        <v>179.9</v>
      </c>
      <c r="I1243" s="91" t="n">
        <v>179.9</v>
      </c>
      <c r="J1243" s="62" t="inlineStr">
        <is>
          <t>NÃO</t>
        </is>
      </c>
      <c r="K1243" s="60" t="inlineStr">
        <is>
          <t> </t>
        </is>
      </c>
      <c r="L1243" s="87" t="n">
        <v>179.9</v>
      </c>
      <c r="P1243" s="92">
        <f>IF($O1243="","",L1243-O1243-(L1243*IF(L1243&lt;=79.99,20%,14%)+IF(L1243&lt;=79.99,4,IF(L1243&lt;=99.99,16,IF(L1243&lt;=199.99,20,IF(L1243&lt;=499.99,26,28)))))-L1243*1.3%-L1243*6%-(L1243-O1243)*9.25%-L1243*3%-L1243*3%-1)</f>
        <v/>
      </c>
      <c r="Q1243" s="60" t="inlineStr">
        <is>
          <t> </t>
        </is>
      </c>
      <c r="R1243" s="60" t="inlineStr">
        <is>
          <t> </t>
        </is>
      </c>
      <c r="S1243" s="60" t="inlineStr">
        <is>
          <t> </t>
        </is>
      </c>
      <c r="T1243" s="60" t="inlineStr">
        <is>
          <t> </t>
        </is>
      </c>
      <c r="U1243" s="60" t="n">
        <v>101220</v>
      </c>
      <c r="W1243" t="inlineStr">
        <is>
          <t>sem correspondência</t>
        </is>
      </c>
      <c r="Y1243" t="inlineStr"/>
    </row>
    <row r="1244" ht="18" customHeight="1">
      <c r="A1244" s="54" t="inlineStr">
        <is>
          <t>Donacor</t>
        </is>
      </c>
      <c r="B1244" s="54" t="inlineStr">
        <is>
          <t>Potes de vidro 2L tampa de bambu hermético madeira borossilicato porta alimentos macarrão</t>
        </is>
      </c>
      <c r="C1244" s="54" t="inlineStr">
        <is>
          <t>1 POTE</t>
        </is>
      </c>
      <c r="D1244" s="54" t="inlineStr">
        <is>
          <t>POTE-REDONDO-BAMBU-2L-1UN</t>
        </is>
      </c>
      <c r="E1244" s="54" t="n">
        <v>57912386807</v>
      </c>
      <c r="F1244" s="54" t="n">
        <v>272705760508</v>
      </c>
      <c r="G1244" s="54" t="inlineStr">
        <is>
          <t>NORMAL</t>
        </is>
      </c>
      <c r="H1244" s="86" t="n">
        <v>79.90000000000001</v>
      </c>
      <c r="I1244" s="86" t="n">
        <v>39.9</v>
      </c>
      <c r="J1244" s="56" t="inlineStr">
        <is>
          <t>SIM</t>
        </is>
      </c>
      <c r="K1244" s="86" t="n">
        <v>39.9</v>
      </c>
      <c r="L1244" s="87" t="n">
        <v>39.9</v>
      </c>
      <c r="M1244" s="88" t="n">
        <v>1</v>
      </c>
      <c r="N1244" s="89" t="n">
        <v>8.83</v>
      </c>
      <c r="O1244" s="89">
        <f>ROUND(M1244*N1244,2)</f>
        <v/>
      </c>
      <c r="P1244" s="90">
        <f>IF($O1244="","",L1244-O1244-(L1244*IF(L1244&lt;=79.99,20%,14%)+IF(L1244&lt;=79.99,4,IF(L1244&lt;=99.99,16,IF(L1244&lt;=199.99,20,IF(L1244&lt;=499.99,26,28)))))-L1244*1.3%-L1244*6%-(L1244-O1244)*9.25%-L1244*3%-L1244*3%-1)</f>
        <v/>
      </c>
      <c r="Q1244" s="58" t="n">
        <v>0.501</v>
      </c>
      <c r="R1244" s="54" t="n">
        <v>484945860710786</v>
      </c>
      <c r="S1244" s="59" t="n">
        <v>46227.73958333334</v>
      </c>
      <c r="T1244" s="59" t="n">
        <v>46405.45833333334</v>
      </c>
      <c r="U1244" s="54" t="n">
        <v>101220</v>
      </c>
      <c r="V1244" t="inlineStr">
        <is>
          <t>214803</t>
        </is>
      </c>
      <c r="W1244" t="inlineStr">
        <is>
          <t>venda casada (15 pedidos) · custo do KIT 214841 (1× 214803)</t>
        </is>
      </c>
      <c r="X1244" t="n">
        <v>15</v>
      </c>
      <c r="Y1244" t="inlineStr">
        <is>
          <t>ok</t>
        </is>
      </c>
    </row>
    <row r="1245" ht="18" customHeight="1">
      <c r="A1245" s="60" t="inlineStr">
        <is>
          <t>Donacor</t>
        </is>
      </c>
      <c r="B1245" s="60" t="inlineStr">
        <is>
          <t>Potes de vidro 2L tampa de bambu hermético madeira borossilicato porta alimentos macarrão</t>
        </is>
      </c>
      <c r="C1245" s="60" t="inlineStr">
        <is>
          <t>2 POTES</t>
        </is>
      </c>
      <c r="D1245" s="60" t="inlineStr">
        <is>
          <t>POTE-REDONDO-BAMBU-2L-2UN</t>
        </is>
      </c>
      <c r="E1245" s="60" t="n">
        <v>57912386807</v>
      </c>
      <c r="F1245" s="60" t="n">
        <v>272705760509</v>
      </c>
      <c r="G1245" s="60" t="inlineStr">
        <is>
          <t>NORMAL</t>
        </is>
      </c>
      <c r="H1245" s="91" t="n">
        <v>149.9</v>
      </c>
      <c r="I1245" s="91" t="n">
        <v>74.90000000000001</v>
      </c>
      <c r="J1245" s="65" t="inlineStr">
        <is>
          <t>SIM</t>
        </is>
      </c>
      <c r="K1245" s="91" t="n">
        <v>74.90000000000001</v>
      </c>
      <c r="L1245" s="87" t="n">
        <v>74.90000000000001</v>
      </c>
      <c r="M1245" s="88" t="n">
        <v>2</v>
      </c>
      <c r="N1245" s="89" t="n">
        <v>8.83</v>
      </c>
      <c r="O1245" s="89">
        <f>ROUND(M1245*N1245,2)</f>
        <v/>
      </c>
      <c r="P1245" s="92">
        <f>IF($O1245="","",L1245-O1245-(L1245*IF(L1245&lt;=79.99,20%,14%)+IF(L1245&lt;=79.99,4,IF(L1245&lt;=99.99,16,IF(L1245&lt;=199.99,20,IF(L1245&lt;=499.99,26,28)))))-L1245*1.3%-L1245*6%-(L1245-O1245)*9.25%-L1245*3%-L1245*3%-1)</f>
        <v/>
      </c>
      <c r="Q1245" s="67" t="n">
        <v>0.5</v>
      </c>
      <c r="R1245" s="60" t="n">
        <v>484945860710786</v>
      </c>
      <c r="S1245" s="68" t="n">
        <v>46227.73958333334</v>
      </c>
      <c r="T1245" s="68" t="n">
        <v>46405.45833333334</v>
      </c>
      <c r="U1245" s="60" t="n">
        <v>101220</v>
      </c>
      <c r="V1245" t="inlineStr">
        <is>
          <t>214803</t>
        </is>
      </c>
      <c r="W1245" t="inlineStr">
        <is>
          <t>venda casada (12 pedidos) · custo do KIT 215808 (2× 214803)</t>
        </is>
      </c>
      <c r="X1245" t="n">
        <v>12</v>
      </c>
      <c r="Y1245" t="inlineStr">
        <is>
          <t>ok</t>
        </is>
      </c>
    </row>
    <row r="1246" ht="18" customHeight="1">
      <c r="A1246" s="54" t="inlineStr">
        <is>
          <t>Donacor</t>
        </is>
      </c>
      <c r="B1246" s="54" t="inlineStr">
        <is>
          <t>Potes de vidro 2L tampa de bambu hermético madeira borossilicato porta alimentos macarrão</t>
        </is>
      </c>
      <c r="C1246" s="54" t="inlineStr">
        <is>
          <t>3 POTES</t>
        </is>
      </c>
      <c r="D1246" s="54" t="inlineStr">
        <is>
          <t>POTE-REDONDO-BAMBU-2L-3UN</t>
        </is>
      </c>
      <c r="E1246" s="54" t="n">
        <v>57912386807</v>
      </c>
      <c r="F1246" s="54" t="n">
        <v>272705760510</v>
      </c>
      <c r="G1246" s="54" t="inlineStr">
        <is>
          <t>NORMAL</t>
        </is>
      </c>
      <c r="H1246" s="86" t="n">
        <v>179.9</v>
      </c>
      <c r="I1246" s="86" t="n">
        <v>104.9</v>
      </c>
      <c r="J1246" s="56" t="inlineStr">
        <is>
          <t>SIM</t>
        </is>
      </c>
      <c r="K1246" s="86" t="n">
        <v>104.9</v>
      </c>
      <c r="L1246" s="87" t="n">
        <v>104.9</v>
      </c>
      <c r="M1246" s="88" t="n">
        <v>3</v>
      </c>
      <c r="N1246" s="89" t="n">
        <v>8.83</v>
      </c>
      <c r="O1246" s="89">
        <f>ROUND(M1246*N1246,2)</f>
        <v/>
      </c>
      <c r="P1246" s="90">
        <f>IF($O1246="","",L1246-O1246-(L1246*IF(L1246&lt;=79.99,20%,14%)+IF(L1246&lt;=79.99,4,IF(L1246&lt;=99.99,16,IF(L1246&lt;=199.99,20,IF(L1246&lt;=499.99,26,28)))))-L1246*1.3%-L1246*6%-(L1246-O1246)*9.25%-L1246*3%-L1246*3%-1)</f>
        <v/>
      </c>
      <c r="Q1246" s="58" t="n">
        <v>0.417</v>
      </c>
      <c r="R1246" s="54" t="n">
        <v>484945860710786</v>
      </c>
      <c r="S1246" s="59" t="n">
        <v>46227.73958333334</v>
      </c>
      <c r="T1246" s="59" t="n">
        <v>46405.45833333334</v>
      </c>
      <c r="U1246" s="54" t="n">
        <v>101220</v>
      </c>
      <c r="V1246" t="inlineStr">
        <is>
          <t>214803</t>
        </is>
      </c>
      <c r="W1246" t="inlineStr">
        <is>
          <t>venda casada (12 pedidos) · custo do KIT 214843 (3× 214803)</t>
        </is>
      </c>
      <c r="X1246" t="n">
        <v>12</v>
      </c>
      <c r="Y1246" t="inlineStr">
        <is>
          <t>ok</t>
        </is>
      </c>
    </row>
    <row r="1247" ht="18" customHeight="1">
      <c r="A1247" s="60" t="inlineStr">
        <is>
          <t>Donacor</t>
        </is>
      </c>
      <c r="B1247" s="60" t="inlineStr">
        <is>
          <t>Potes de vidro 2L tampa de bambu hermético madeira borossilicato porta alimentos macarrão</t>
        </is>
      </c>
      <c r="C1247" s="60" t="inlineStr">
        <is>
          <t>4 POTES</t>
        </is>
      </c>
      <c r="D1247" s="60" t="inlineStr">
        <is>
          <t>POTE-REDONDO-BAMBU-2L-4UN</t>
        </is>
      </c>
      <c r="E1247" s="60" t="n">
        <v>57912386807</v>
      </c>
      <c r="F1247" s="60" t="n">
        <v>272705760511</v>
      </c>
      <c r="G1247" s="60" t="inlineStr">
        <is>
          <t>NORMAL</t>
        </is>
      </c>
      <c r="H1247" s="91" t="n">
        <v>199.9</v>
      </c>
      <c r="I1247" s="91" t="n">
        <v>124.9</v>
      </c>
      <c r="J1247" s="65" t="inlineStr">
        <is>
          <t>SIM</t>
        </is>
      </c>
      <c r="K1247" s="91" t="n">
        <v>124.9</v>
      </c>
      <c r="L1247" s="87" t="n">
        <v>124.9</v>
      </c>
      <c r="M1247" s="88" t="n">
        <v>4</v>
      </c>
      <c r="N1247" s="89" t="n">
        <v>8.83</v>
      </c>
      <c r="O1247" s="89">
        <f>ROUND(M1247*N1247,2)</f>
        <v/>
      </c>
      <c r="P1247" s="92">
        <f>IF($O1247="","",L1247-O1247-(L1247*IF(L1247&lt;=79.99,20%,14%)+IF(L1247&lt;=79.99,4,IF(L1247&lt;=99.99,16,IF(L1247&lt;=199.99,20,IF(L1247&lt;=499.99,26,28)))))-L1247*1.3%-L1247*6%-(L1247-O1247)*9.25%-L1247*3%-L1247*3%-1)</f>
        <v/>
      </c>
      <c r="Q1247" s="67" t="n">
        <v>0.375</v>
      </c>
      <c r="R1247" s="60" t="n">
        <v>484945860710786</v>
      </c>
      <c r="S1247" s="68" t="n">
        <v>46227.73958333334</v>
      </c>
      <c r="T1247" s="68" t="n">
        <v>46405.45833333334</v>
      </c>
      <c r="U1247" s="60" t="n">
        <v>101220</v>
      </c>
      <c r="V1247" t="inlineStr">
        <is>
          <t>214803</t>
        </is>
      </c>
      <c r="W1247" t="inlineStr">
        <is>
          <t>venda casada (18 pedidos) · custo do KIT 214844 (4× 214803)</t>
        </is>
      </c>
      <c r="X1247" t="n">
        <v>18</v>
      </c>
      <c r="Y1247" t="inlineStr">
        <is>
          <t>ok</t>
        </is>
      </c>
    </row>
    <row r="1248" ht="18" customHeight="1">
      <c r="A1248" s="54" t="inlineStr">
        <is>
          <t>Donacor</t>
        </is>
      </c>
      <c r="B1248" s="54" t="inlineStr">
        <is>
          <t>Promun Dog 150g ( Ótima validade )</t>
        </is>
      </c>
      <c r="C1248" s="54" t="inlineStr">
        <is>
          <t>Sem variação</t>
        </is>
      </c>
      <c r="D1248" s="54" t="n">
        <v>721</v>
      </c>
      <c r="E1248" s="54" t="n">
        <v>22497507727</v>
      </c>
      <c r="F1248" s="54" t="n">
        <v>0</v>
      </c>
      <c r="G1248" s="54" t="inlineStr">
        <is>
          <t>NORMAL</t>
        </is>
      </c>
      <c r="H1248" s="86" t="n">
        <v>153.8</v>
      </c>
      <c r="I1248" s="86" t="n">
        <v>153.8</v>
      </c>
      <c r="J1248" s="69" t="inlineStr">
        <is>
          <t>NÃO</t>
        </is>
      </c>
      <c r="K1248" s="54" t="n"/>
      <c r="L1248" s="87" t="n">
        <v>153.8</v>
      </c>
      <c r="P1248" s="90">
        <f>IF($O1248="","",L1248-O1248-(L1248*IF(L1248&lt;=79.99,20%,14%)+IF(L1248&lt;=79.99,4,IF(L1248&lt;=99.99,16,IF(L1248&lt;=199.99,20,IF(L1248&lt;=499.99,26,28)))))-L1248*1.3%-L1248*6%-(L1248-O1248)*9.25%-L1248*3%-L1248*3%-1)</f>
        <v/>
      </c>
      <c r="Q1248" s="54">
        <f>IF(AND(K1248&lt;&gt;"",H1248&gt;0),(H1248-K1248)/H1248,"")</f>
        <v/>
      </c>
      <c r="R1248" s="54" t="n"/>
      <c r="S1248" s="54" t="n"/>
      <c r="T1248" s="54" t="n"/>
      <c r="U1248" s="54" t="n">
        <v>100944</v>
      </c>
      <c r="W1248" t="inlineStr">
        <is>
          <t>sem correspondência</t>
        </is>
      </c>
      <c r="Y1248" t="inlineStr"/>
    </row>
    <row r="1249" ht="18" customHeight="1">
      <c r="A1249" s="60" t="inlineStr">
        <is>
          <t>Donacor</t>
        </is>
      </c>
      <c r="B1249" s="60" t="inlineStr">
        <is>
          <t>Protetor Lençol De Colchão Higifral G 5 UNI Cadeira de Rodas Pós Operatório Impermeável</t>
        </is>
      </c>
      <c r="C1249" s="60" t="inlineStr">
        <is>
          <t>Sem variação</t>
        </is>
      </c>
      <c r="D1249" s="60" t="inlineStr">
        <is>
          <t>1PCT-PROTETOR-COLCHÃO</t>
        </is>
      </c>
      <c r="E1249" s="60" t="n">
        <v>44964603425</v>
      </c>
      <c r="F1249" s="60" t="n">
        <v>0</v>
      </c>
      <c r="G1249" s="60" t="inlineStr">
        <is>
          <t>NORMAL</t>
        </is>
      </c>
      <c r="H1249" s="91" t="n">
        <v>39.9</v>
      </c>
      <c r="I1249" s="91" t="n">
        <v>39.9</v>
      </c>
      <c r="J1249" s="62" t="inlineStr">
        <is>
          <t>NÃO</t>
        </is>
      </c>
      <c r="K1249" s="60" t="inlineStr">
        <is>
          <t> </t>
        </is>
      </c>
      <c r="L1249" s="87" t="n">
        <v>39.9</v>
      </c>
      <c r="P1249" s="92">
        <f>IF($O1249="","",L1249-O1249-(L1249*IF(L1249&lt;=79.99,20%,14%)+IF(L1249&lt;=79.99,4,IF(L1249&lt;=99.99,16,IF(L1249&lt;=199.99,20,IF(L1249&lt;=499.99,26,28)))))-L1249*1.3%-L1249*6%-(L1249-O1249)*9.25%-L1249*3%-L1249*3%-1)</f>
        <v/>
      </c>
      <c r="Q1249" s="60" t="inlineStr">
        <is>
          <t> </t>
        </is>
      </c>
      <c r="R1249" s="60" t="inlineStr">
        <is>
          <t> </t>
        </is>
      </c>
      <c r="S1249" s="60" t="inlineStr">
        <is>
          <t> </t>
        </is>
      </c>
      <c r="T1249" s="60" t="inlineStr">
        <is>
          <t> </t>
        </is>
      </c>
      <c r="U1249" s="60" t="n">
        <v>100135</v>
      </c>
      <c r="V1249" t="inlineStr">
        <is>
          <t>1PCT-PROTETOR-COLCHÃO</t>
        </is>
      </c>
      <c r="W1249" t="inlineStr">
        <is>
          <t>SKU idêntico na Olist · CUSTO ZERADO na Olist (conferido hoje)</t>
        </is>
      </c>
      <c r="Y1249" t="inlineStr">
        <is>
          <t>ok</t>
        </is>
      </c>
    </row>
    <row r="1250" ht="18" customHeight="1">
      <c r="A1250" s="54" t="inlineStr">
        <is>
          <t>Donacor</t>
        </is>
      </c>
      <c r="B1250" s="54" t="inlineStr">
        <is>
          <t>Rasqueadeira Pet Escova para Cachorro Gatos Removedor de Pelos Tira Pelos Pet</t>
        </is>
      </c>
      <c r="C1250" s="54" t="inlineStr">
        <is>
          <t>Azul</t>
        </is>
      </c>
      <c r="D1250" s="54" t="inlineStr">
        <is>
          <t>RASQUEADEIRA - PET - 1UN - AZUL</t>
        </is>
      </c>
      <c r="E1250" s="54" t="n">
        <v>23393277298</v>
      </c>
      <c r="F1250" s="54" t="n">
        <v>209598968198</v>
      </c>
      <c r="G1250" s="54" t="inlineStr">
        <is>
          <t>NORMAL</t>
        </is>
      </c>
      <c r="H1250" s="86" t="n">
        <v>29.9</v>
      </c>
      <c r="I1250" s="86" t="n">
        <v>19.9</v>
      </c>
      <c r="J1250" s="56" t="inlineStr">
        <is>
          <t>SIM</t>
        </is>
      </c>
      <c r="K1250" s="86" t="n">
        <v>19.9</v>
      </c>
      <c r="L1250" s="87" t="n">
        <v>19.9</v>
      </c>
      <c r="M1250" s="88" t="n">
        <v>1</v>
      </c>
      <c r="N1250" s="89" t="n">
        <v>4.88</v>
      </c>
      <c r="O1250" s="89">
        <f>ROUND(M1250*N1250,2)</f>
        <v/>
      </c>
      <c r="P1250" s="90">
        <f>IF($O1250="","",L1250-O1250-(L1250*IF(L1250&lt;=79.99,20%,14%)+IF(L1250&lt;=79.99,4,IF(L1250&lt;=99.99,16,IF(L1250&lt;=199.99,20,IF(L1250&lt;=499.99,26,28)))))-L1250*1.3%-L1250*6%-(L1250-O1250)*9.25%-L1250*3%-L1250*3%-1)</f>
        <v/>
      </c>
      <c r="Q1250" s="58" t="n">
        <v>0.334</v>
      </c>
      <c r="R1250" s="54" t="inlineStr">
        <is>
          <t>484945860710786, 478840979931317</t>
        </is>
      </c>
      <c r="S1250" s="59" t="n">
        <v>46227.73958333334</v>
      </c>
      <c r="T1250" s="59" t="n">
        <v>46248.99930555555</v>
      </c>
      <c r="U1250" s="54" t="n">
        <v>100929</v>
      </c>
      <c r="V1250" t="inlineStr">
        <is>
          <t>213520</t>
        </is>
      </c>
      <c r="W1250" t="inlineStr">
        <is>
          <t>venda casada (29 pedidos)</t>
        </is>
      </c>
      <c r="X1250" t="n">
        <v>29</v>
      </c>
      <c r="Y1250" t="inlineStr">
        <is>
          <t>ok</t>
        </is>
      </c>
    </row>
    <row r="1251" ht="18" customHeight="1">
      <c r="A1251" s="60" t="inlineStr">
        <is>
          <t>Donacor</t>
        </is>
      </c>
      <c r="B1251" s="60" t="inlineStr">
        <is>
          <t>Rasqueadeira Pet Escova para Cachorro Gatos Removedor de Pelos Tira Pelos Pet</t>
        </is>
      </c>
      <c r="C1251" s="60" t="inlineStr">
        <is>
          <t>Bege</t>
        </is>
      </c>
      <c r="D1251" s="60" t="inlineStr">
        <is>
          <t>RASQUEADEIRA - PET - 1UN - BEGE</t>
        </is>
      </c>
      <c r="E1251" s="60" t="n">
        <v>23393277298</v>
      </c>
      <c r="F1251" s="60" t="n">
        <v>209598968196</v>
      </c>
      <c r="G1251" s="60" t="inlineStr">
        <is>
          <t>NORMAL</t>
        </is>
      </c>
      <c r="H1251" s="91" t="n">
        <v>29.9</v>
      </c>
      <c r="I1251" s="91" t="n">
        <v>19.9</v>
      </c>
      <c r="J1251" s="65" t="inlineStr">
        <is>
          <t>SIM</t>
        </is>
      </c>
      <c r="K1251" s="91" t="n">
        <v>19.9</v>
      </c>
      <c r="L1251" s="87" t="n">
        <v>19.9</v>
      </c>
      <c r="M1251" s="88" t="n">
        <v>1</v>
      </c>
      <c r="N1251" s="89" t="n">
        <v>4.88</v>
      </c>
      <c r="O1251" s="89">
        <f>ROUND(M1251*N1251,2)</f>
        <v/>
      </c>
      <c r="P1251" s="92">
        <f>IF($O1251="","",L1251-O1251-(L1251*IF(L1251&lt;=79.99,20%,14%)+IF(L1251&lt;=79.99,4,IF(L1251&lt;=99.99,16,IF(L1251&lt;=199.99,20,IF(L1251&lt;=499.99,26,28)))))-L1251*1.3%-L1251*6%-(L1251-O1251)*9.25%-L1251*3%-L1251*3%-1)</f>
        <v/>
      </c>
      <c r="Q1251" s="67" t="n">
        <v>0.334</v>
      </c>
      <c r="R1251" s="60" t="inlineStr">
        <is>
          <t>478840979931317, 484945860710786</t>
        </is>
      </c>
      <c r="S1251" s="68" t="n">
        <v>46227.73958333334</v>
      </c>
      <c r="T1251" s="68" t="n">
        <v>46248.99930555555</v>
      </c>
      <c r="U1251" s="60" t="n">
        <v>100929</v>
      </c>
      <c r="V1251" t="inlineStr">
        <is>
          <t>213519</t>
        </is>
      </c>
      <c r="W1251" t="inlineStr">
        <is>
          <t>venda casada (15 pedidos)</t>
        </is>
      </c>
      <c r="X1251" t="n">
        <v>15</v>
      </c>
      <c r="Y1251" t="inlineStr">
        <is>
          <t>ok</t>
        </is>
      </c>
    </row>
    <row r="1252" ht="18" customHeight="1">
      <c r="A1252" s="54" t="inlineStr">
        <is>
          <t>Donacor</t>
        </is>
      </c>
      <c r="B1252" s="54" t="inlineStr">
        <is>
          <t>Rasqueadeira Pet Escova para Cachorro Gatos Removedor de Pelos Tira Pelos Pet</t>
        </is>
      </c>
      <c r="C1252" s="54" t="inlineStr">
        <is>
          <t>Verde</t>
        </is>
      </c>
      <c r="D1252" s="54" t="inlineStr">
        <is>
          <t>RASQUEADEIRA - PET - 1UN - VERDE</t>
        </is>
      </c>
      <c r="E1252" s="54" t="n">
        <v>23393277298</v>
      </c>
      <c r="F1252" s="54" t="n">
        <v>209598968197</v>
      </c>
      <c r="G1252" s="54" t="inlineStr">
        <is>
          <t>NORMAL</t>
        </is>
      </c>
      <c r="H1252" s="86" t="n">
        <v>29.9</v>
      </c>
      <c r="I1252" s="86" t="n">
        <v>17.9</v>
      </c>
      <c r="J1252" s="56" t="inlineStr">
        <is>
          <t>SIM</t>
        </is>
      </c>
      <c r="K1252" s="86" t="n">
        <v>17.9</v>
      </c>
      <c r="L1252" s="87" t="n">
        <v>17.9</v>
      </c>
      <c r="M1252" s="88" t="n">
        <v>1</v>
      </c>
      <c r="N1252" s="89" t="n">
        <v>4.88</v>
      </c>
      <c r="O1252" s="89">
        <f>ROUND(M1252*N1252,2)</f>
        <v/>
      </c>
      <c r="P1252" s="90">
        <f>IF($O1252="","",L1252-O1252-(L1252*IF(L1252&lt;=79.99,20%,14%)+IF(L1252&lt;=79.99,4,IF(L1252&lt;=99.99,16,IF(L1252&lt;=199.99,20,IF(L1252&lt;=499.99,26,28)))))-L1252*1.3%-L1252*6%-(L1252-O1252)*9.25%-L1252*3%-L1252*3%-1)</f>
        <v/>
      </c>
      <c r="Q1252" s="58" t="n">
        <v>0.401</v>
      </c>
      <c r="R1252" s="54" t="n">
        <v>484945860710786</v>
      </c>
      <c r="S1252" s="59" t="n">
        <v>46227.73958333334</v>
      </c>
      <c r="T1252" s="59" t="n">
        <v>46405.45833333334</v>
      </c>
      <c r="U1252" s="54" t="n">
        <v>100929</v>
      </c>
      <c r="V1252" t="inlineStr">
        <is>
          <t>213518</t>
        </is>
      </c>
      <c r="W1252" t="inlineStr">
        <is>
          <t>venda casada (28 pedidos)</t>
        </is>
      </c>
      <c r="X1252" t="n">
        <v>28</v>
      </c>
      <c r="Y1252" t="inlineStr">
        <is>
          <t>ok</t>
        </is>
      </c>
    </row>
    <row r="1253" ht="18" customHeight="1">
      <c r="A1253" s="60" t="inlineStr">
        <is>
          <t>Donacor</t>
        </is>
      </c>
      <c r="B1253" s="60" t="inlineStr">
        <is>
          <t>Rolo Removedor Tira Pelos Pet Cães &amp; Gatos Sofá Roupa Carro Ecológico Pratico remove todo o pelo</t>
        </is>
      </c>
      <c r="C1253" s="60" t="inlineStr">
        <is>
          <t>Sem variação</t>
        </is>
      </c>
      <c r="D1253" s="60" t="inlineStr">
        <is>
          <t>REMOVEDOR-DE-PELOS</t>
        </is>
      </c>
      <c r="E1253" s="60" t="n">
        <v>23898366408</v>
      </c>
      <c r="F1253" s="60" t="n">
        <v>0</v>
      </c>
      <c r="G1253" s="60" t="inlineStr">
        <is>
          <t>NORMAL</t>
        </is>
      </c>
      <c r="H1253" s="91" t="n">
        <v>32.9</v>
      </c>
      <c r="I1253" s="91" t="n">
        <v>24.9</v>
      </c>
      <c r="J1253" s="65" t="inlineStr">
        <is>
          <t>SIM</t>
        </is>
      </c>
      <c r="K1253" s="91" t="n">
        <v>24.9</v>
      </c>
      <c r="L1253" s="87" t="n">
        <v>24.9</v>
      </c>
      <c r="M1253" s="88" t="n">
        <v>1</v>
      </c>
      <c r="N1253" s="89" t="n">
        <v>9.550000000000001</v>
      </c>
      <c r="O1253" s="89">
        <f>ROUND(M1253*N1253,2)</f>
        <v/>
      </c>
      <c r="P1253" s="92">
        <f>IF($O1253="","",L1253-O1253-(L1253*IF(L1253&lt;=79.99,20%,14%)+IF(L1253&lt;=79.99,4,IF(L1253&lt;=99.99,16,IF(L1253&lt;=199.99,20,IF(L1253&lt;=499.99,26,28)))))-L1253*1.3%-L1253*6%-(L1253-O1253)*9.25%-L1253*3%-L1253*3%-1)</f>
        <v/>
      </c>
      <c r="Q1253" s="67" t="n">
        <v>0.243</v>
      </c>
      <c r="R1253" s="60" t="inlineStr">
        <is>
          <t>478840979931317, 484945860710786</t>
        </is>
      </c>
      <c r="S1253" s="68" t="n">
        <v>46227.73958333334</v>
      </c>
      <c r="T1253" s="68" t="n">
        <v>46248.99930555555</v>
      </c>
      <c r="U1253" s="60" t="n">
        <v>101815</v>
      </c>
      <c r="V1253" t="inlineStr">
        <is>
          <t>214093</t>
        </is>
      </c>
      <c r="W1253" t="inlineStr">
        <is>
          <t>venda casada (18 pedidos) · custo do KIT 214099 (1× 214093)</t>
        </is>
      </c>
      <c r="X1253" t="n">
        <v>18</v>
      </c>
      <c r="Y1253" t="inlineStr">
        <is>
          <t>ok</t>
        </is>
      </c>
    </row>
    <row r="1254" ht="18" customHeight="1">
      <c r="A1254" s="54" t="inlineStr">
        <is>
          <t>Donacor</t>
        </is>
      </c>
      <c r="B1254" s="54" t="inlineStr">
        <is>
          <t>Rolos Removedor Tira Pelos Pet Cães &amp; Gatos Sofá Roupa Carro Ecológico Pratico Gruda</t>
        </is>
      </c>
      <c r="C1254" s="54" t="inlineStr">
        <is>
          <t>1 UNIDADE</t>
        </is>
      </c>
      <c r="D1254" s="54" t="inlineStr">
        <is>
          <t>REMOVEDOR-DE-PELOS</t>
        </is>
      </c>
      <c r="E1254" s="54" t="n">
        <v>18799685023</v>
      </c>
      <c r="F1254" s="54" t="n">
        <v>238783468982</v>
      </c>
      <c r="G1254" s="54" t="inlineStr">
        <is>
          <t>NORMAL</t>
        </is>
      </c>
      <c r="H1254" s="86" t="n">
        <v>32.9</v>
      </c>
      <c r="I1254" s="86" t="n">
        <v>19.9</v>
      </c>
      <c r="J1254" s="56" t="inlineStr">
        <is>
          <t>SIM</t>
        </is>
      </c>
      <c r="K1254" s="86" t="n">
        <v>19.9</v>
      </c>
      <c r="L1254" s="87" t="n">
        <v>19.9</v>
      </c>
      <c r="M1254" s="88" t="n">
        <v>1</v>
      </c>
      <c r="N1254" s="89" t="n">
        <v>9.550000000000001</v>
      </c>
      <c r="O1254" s="89">
        <f>ROUND(M1254*N1254,2)</f>
        <v/>
      </c>
      <c r="P1254" s="90">
        <f>IF($O1254="","",L1254-O1254-(L1254*IF(L1254&lt;=79.99,20%,14%)+IF(L1254&lt;=79.99,4,IF(L1254&lt;=99.99,16,IF(L1254&lt;=199.99,20,IF(L1254&lt;=499.99,26,28)))))-L1254*1.3%-L1254*6%-(L1254-O1254)*9.25%-L1254*3%-L1254*3%-1)</f>
        <v/>
      </c>
      <c r="Q1254" s="58" t="n">
        <v>0.395</v>
      </c>
      <c r="R1254" s="54" t="inlineStr">
        <is>
          <t>478840979931317, 484945860710786</t>
        </is>
      </c>
      <c r="S1254" s="59" t="n">
        <v>46227.73958333334</v>
      </c>
      <c r="T1254" s="59" t="n">
        <v>46248.99930555555</v>
      </c>
      <c r="U1254" s="54" t="n">
        <v>101815</v>
      </c>
      <c r="V1254" t="inlineStr">
        <is>
          <t>214093</t>
        </is>
      </c>
      <c r="W1254" t="inlineStr">
        <is>
          <t>venda casada (1 pedido) · custo do KIT 214099 (1× 214093)</t>
        </is>
      </c>
      <c r="X1254" t="n">
        <v>1</v>
      </c>
      <c r="Y1254" t="inlineStr">
        <is>
          <t>⚠ evidência fraca (1 pedido)</t>
        </is>
      </c>
    </row>
    <row r="1255" ht="18" customHeight="1">
      <c r="A1255" s="60" t="inlineStr">
        <is>
          <t>Donacor</t>
        </is>
      </c>
      <c r="B1255" s="60" t="inlineStr">
        <is>
          <t>Rolos Removedor Tira Pelos Pet Cães &amp; Gatos Sofá Roupa Carro Ecológico Pratico Gruda</t>
        </is>
      </c>
      <c r="C1255" s="60" t="inlineStr">
        <is>
          <t>KITC/ 2 UNIDADES</t>
        </is>
      </c>
      <c r="D1255" s="60" t="inlineStr">
        <is>
          <t>KIT2-REMOVEDOR-DE-PELOS</t>
        </is>
      </c>
      <c r="E1255" s="60" t="n">
        <v>18799685023</v>
      </c>
      <c r="F1255" s="60" t="n">
        <v>238783468983</v>
      </c>
      <c r="G1255" s="60" t="inlineStr">
        <is>
          <t>NORMAL</t>
        </is>
      </c>
      <c r="H1255" s="91" t="n">
        <v>54.9</v>
      </c>
      <c r="I1255" s="91" t="n">
        <v>37.9</v>
      </c>
      <c r="J1255" s="65" t="inlineStr">
        <is>
          <t>SIM</t>
        </is>
      </c>
      <c r="K1255" s="91" t="n">
        <v>37.9</v>
      </c>
      <c r="L1255" s="87" t="n">
        <v>37.9</v>
      </c>
      <c r="P1255" s="92">
        <f>IF($O1255="","",L1255-O1255-(L1255*IF(L1255&lt;=79.99,20%,14%)+IF(L1255&lt;=79.99,4,IF(L1255&lt;=99.99,16,IF(L1255&lt;=199.99,20,IF(L1255&lt;=499.99,26,28)))))-L1255*1.3%-L1255*6%-(L1255-O1255)*9.25%-L1255*3%-L1255*3%-1)</f>
        <v/>
      </c>
      <c r="Q1255" s="67" t="n">
        <v>0.31</v>
      </c>
      <c r="R1255" s="60" t="inlineStr">
        <is>
          <t>484945860710786, 478840979931317</t>
        </is>
      </c>
      <c r="S1255" s="68" t="n">
        <v>46227.73958333334</v>
      </c>
      <c r="T1255" s="68" t="n">
        <v>46248.99930555555</v>
      </c>
      <c r="U1255" s="60" t="n">
        <v>101815</v>
      </c>
      <c r="V1255" t="inlineStr">
        <is>
          <t>KIT2-REMOVEDOR-DE-PELOS</t>
        </is>
      </c>
      <c r="W1255" t="inlineStr">
        <is>
          <t>SKU idêntico na Olist · CUSTO ZERADO na Olist (conferido hoje)</t>
        </is>
      </c>
      <c r="Y1255" t="inlineStr">
        <is>
          <t>ok</t>
        </is>
      </c>
    </row>
    <row r="1256" ht="18" customHeight="1">
      <c r="A1256" s="54" t="inlineStr">
        <is>
          <t>Donacor</t>
        </is>
      </c>
      <c r="B1256" s="54" t="inlineStr">
        <is>
          <t>Rolos Removedor Tira Pelos Pet Cães &amp; Gatos Sofá Roupa Carro Ecológico Pratico Gruda</t>
        </is>
      </c>
      <c r="C1256" s="54" t="inlineStr">
        <is>
          <t>KITC/ 3 UNIDADES</t>
        </is>
      </c>
      <c r="D1256" s="54" t="inlineStr">
        <is>
          <t>KIT3-REMOVEDOR-DE-PELOS</t>
        </is>
      </c>
      <c r="E1256" s="54" t="n">
        <v>18799685023</v>
      </c>
      <c r="F1256" s="54" t="n">
        <v>238783468984</v>
      </c>
      <c r="G1256" s="54" t="inlineStr">
        <is>
          <t>NORMAL</t>
        </is>
      </c>
      <c r="H1256" s="86" t="n">
        <v>79.90000000000001</v>
      </c>
      <c r="I1256" s="86" t="n">
        <v>54.9</v>
      </c>
      <c r="J1256" s="56" t="inlineStr">
        <is>
          <t>SIM</t>
        </is>
      </c>
      <c r="K1256" s="86" t="n">
        <v>54.9</v>
      </c>
      <c r="L1256" s="87" t="n">
        <v>54.9</v>
      </c>
      <c r="P1256" s="90">
        <f>IF($O1256="","",L1256-O1256-(L1256*IF(L1256&lt;=79.99,20%,14%)+IF(L1256&lt;=79.99,4,IF(L1256&lt;=99.99,16,IF(L1256&lt;=199.99,20,IF(L1256&lt;=499.99,26,28)))))-L1256*1.3%-L1256*6%-(L1256-O1256)*9.25%-L1256*3%-L1256*3%-1)</f>
        <v/>
      </c>
      <c r="Q1256" s="58" t="n">
        <v>0.313</v>
      </c>
      <c r="R1256" s="54" t="inlineStr">
        <is>
          <t>484945860710786, 478840979931317</t>
        </is>
      </c>
      <c r="S1256" s="59" t="n">
        <v>46227.73958333334</v>
      </c>
      <c r="T1256" s="59" t="n">
        <v>46248.99930555555</v>
      </c>
      <c r="U1256" s="54" t="n">
        <v>101815</v>
      </c>
      <c r="W1256" t="inlineStr">
        <is>
          <t>sem correspondência</t>
        </is>
      </c>
      <c r="Y1256" t="inlineStr"/>
    </row>
    <row r="1257" ht="18" customHeight="1">
      <c r="A1257" s="60" t="inlineStr">
        <is>
          <t>Donacor</t>
        </is>
      </c>
      <c r="B1257" s="60" t="inlineStr">
        <is>
          <t>Sanduicheira Elétrica e Grill Família 2 em 1 - Inox antiaderente - 750W OliverHome</t>
        </is>
      </c>
      <c r="C1257" s="60" t="inlineStr">
        <is>
          <t>Branco,110V</t>
        </is>
      </c>
      <c r="D1257" s="60" t="inlineStr">
        <is>
          <t>SANDUICHEIRA-BRANCA-110V</t>
        </is>
      </c>
      <c r="E1257" s="60" t="n">
        <v>43912308480</v>
      </c>
      <c r="F1257" s="60" t="n">
        <v>276535144522</v>
      </c>
      <c r="G1257" s="60" t="inlineStr">
        <is>
          <t>NORMAL</t>
        </is>
      </c>
      <c r="H1257" s="91" t="n">
        <v>149.9</v>
      </c>
      <c r="I1257" s="91" t="n">
        <v>149.9</v>
      </c>
      <c r="J1257" s="62" t="inlineStr">
        <is>
          <t>NÃO</t>
        </is>
      </c>
      <c r="K1257" s="60" t="inlineStr">
        <is>
          <t> </t>
        </is>
      </c>
      <c r="L1257" s="87" t="n">
        <v>149.9</v>
      </c>
      <c r="P1257" s="92">
        <f>IF($O1257="","",L1257-O1257-(L1257*IF(L1257&lt;=79.99,20%,14%)+IF(L1257&lt;=79.99,4,IF(L1257&lt;=99.99,16,IF(L1257&lt;=199.99,20,IF(L1257&lt;=499.99,26,28)))))-L1257*1.3%-L1257*6%-(L1257-O1257)*9.25%-L1257*3%-L1257*3%-1)</f>
        <v/>
      </c>
      <c r="Q1257" s="60" t="inlineStr">
        <is>
          <t> </t>
        </is>
      </c>
      <c r="R1257" s="60" t="inlineStr">
        <is>
          <t> </t>
        </is>
      </c>
      <c r="S1257" s="60" t="inlineStr">
        <is>
          <t> </t>
        </is>
      </c>
      <c r="T1257" s="60" t="inlineStr">
        <is>
          <t> </t>
        </is>
      </c>
      <c r="U1257" s="60" t="n">
        <v>100202</v>
      </c>
      <c r="V1257" t="inlineStr">
        <is>
          <t>SANDUICHEIRA-BRANCA-110V</t>
        </is>
      </c>
      <c r="W1257" t="inlineStr">
        <is>
          <t>SKU idêntico na Olist · CUSTO ZERADO na Olist (conferido hoje)</t>
        </is>
      </c>
      <c r="Y1257" t="inlineStr">
        <is>
          <t>ok</t>
        </is>
      </c>
    </row>
    <row r="1258" ht="18" customHeight="1">
      <c r="A1258" s="54" t="inlineStr">
        <is>
          <t>Donacor</t>
        </is>
      </c>
      <c r="B1258" s="54" t="inlineStr">
        <is>
          <t>Sanduicheira Elétrica e Grill Família 2 em 1 - Inox antiaderente - 750W OliverHome</t>
        </is>
      </c>
      <c r="C1258" s="54" t="inlineStr">
        <is>
          <t>Branco,220V</t>
        </is>
      </c>
      <c r="D1258" s="54" t="inlineStr">
        <is>
          <t>SANDUICHEIRA-BRANCA-220V</t>
        </is>
      </c>
      <c r="E1258" s="54" t="n">
        <v>43912308480</v>
      </c>
      <c r="F1258" s="54" t="n">
        <v>276535144523</v>
      </c>
      <c r="G1258" s="54" t="inlineStr">
        <is>
          <t>NORMAL</t>
        </is>
      </c>
      <c r="H1258" s="86" t="n">
        <v>149.9</v>
      </c>
      <c r="I1258" s="86" t="n">
        <v>149.9</v>
      </c>
      <c r="J1258" s="69" t="inlineStr">
        <is>
          <t>NÃO</t>
        </is>
      </c>
      <c r="K1258" s="54" t="n"/>
      <c r="L1258" s="87" t="n">
        <v>149.9</v>
      </c>
      <c r="P1258" s="90">
        <f>IF($O1258="","",L1258-O1258-(L1258*IF(L1258&lt;=79.99,20%,14%)+IF(L1258&lt;=79.99,4,IF(L1258&lt;=99.99,16,IF(L1258&lt;=199.99,20,IF(L1258&lt;=499.99,26,28)))))-L1258*1.3%-L1258*6%-(L1258-O1258)*9.25%-L1258*3%-L1258*3%-1)</f>
        <v/>
      </c>
      <c r="Q1258" s="54">
        <f>IF(AND(K1258&lt;&gt;"",H1258&gt;0),(H1258-K1258)/H1258,"")</f>
        <v/>
      </c>
      <c r="R1258" s="54" t="n"/>
      <c r="S1258" s="54" t="n"/>
      <c r="T1258" s="54" t="n"/>
      <c r="U1258" s="54" t="n">
        <v>100202</v>
      </c>
      <c r="V1258" t="inlineStr">
        <is>
          <t>SANDUICHEIRA-BRANCA-220V</t>
        </is>
      </c>
      <c r="W1258" t="inlineStr">
        <is>
          <t>SKU idêntico na Olist · CUSTO ZERADO na Olist (conferido hoje)</t>
        </is>
      </c>
      <c r="Y1258" t="inlineStr">
        <is>
          <t>ok</t>
        </is>
      </c>
    </row>
    <row r="1259" ht="18" customHeight="1">
      <c r="A1259" s="60" t="inlineStr">
        <is>
          <t>Donacor</t>
        </is>
      </c>
      <c r="B1259" s="60" t="inlineStr">
        <is>
          <t>Sanduicheira Elétrica e Grill Família 2 em 1 - Inox antiaderente - 750W OliverHome</t>
        </is>
      </c>
      <c r="C1259" s="60" t="inlineStr">
        <is>
          <t>Preto,110V</t>
        </is>
      </c>
      <c r="D1259" s="60" t="inlineStr">
        <is>
          <t>SANDUICHEIRA-PRETO-110V</t>
        </is>
      </c>
      <c r="E1259" s="60" t="n">
        <v>43912308480</v>
      </c>
      <c r="F1259" s="60" t="n">
        <v>276535144520</v>
      </c>
      <c r="G1259" s="60" t="inlineStr">
        <is>
          <t>NORMAL</t>
        </is>
      </c>
      <c r="H1259" s="91" t="n">
        <v>149.9</v>
      </c>
      <c r="I1259" s="91" t="n">
        <v>69.89</v>
      </c>
      <c r="J1259" s="65" t="inlineStr">
        <is>
          <t>SIM</t>
        </is>
      </c>
      <c r="K1259" s="91" t="n">
        <v>69.89</v>
      </c>
      <c r="L1259" s="87" t="n">
        <v>69.89</v>
      </c>
      <c r="M1259" s="88" t="n">
        <v>1</v>
      </c>
      <c r="N1259" s="89" t="n">
        <v>30.7</v>
      </c>
      <c r="O1259" s="89">
        <f>ROUND(M1259*N1259,2)</f>
        <v/>
      </c>
      <c r="P1259" s="92">
        <f>IF($O1259="","",L1259-O1259-(L1259*IF(L1259&lt;=79.99,20%,14%)+IF(L1259&lt;=79.99,4,IF(L1259&lt;=99.99,16,IF(L1259&lt;=199.99,20,IF(L1259&lt;=499.99,26,28)))))-L1259*1.3%-L1259*6%-(L1259-O1259)*9.25%-L1259*3%-L1259*3%-1)</f>
        <v/>
      </c>
      <c r="Q1259" s="67" t="n">
        <v>0.534</v>
      </c>
      <c r="R1259" s="60" t="n">
        <v>492080438919432</v>
      </c>
      <c r="S1259" s="68" t="n">
        <v>46248</v>
      </c>
      <c r="T1259" s="68" t="n">
        <v>46249</v>
      </c>
      <c r="U1259" s="60" t="n">
        <v>100202</v>
      </c>
      <c r="V1259" t="inlineStr">
        <is>
          <t>214024</t>
        </is>
      </c>
      <c r="W1259" t="inlineStr">
        <is>
          <t>venda casada (63 pedidos)</t>
        </is>
      </c>
      <c r="X1259" t="n">
        <v>63</v>
      </c>
      <c r="Y1259" t="inlineStr">
        <is>
          <t>ok</t>
        </is>
      </c>
    </row>
    <row r="1260" ht="18" customHeight="1">
      <c r="A1260" s="54" t="inlineStr">
        <is>
          <t>Donacor</t>
        </is>
      </c>
      <c r="B1260" s="54" t="inlineStr">
        <is>
          <t>Sanduicheira Elétrica e Grill Família 2 em 1 - Inox antiaderente - 750W OliverHome</t>
        </is>
      </c>
      <c r="C1260" s="54" t="inlineStr">
        <is>
          <t>Preto,220V</t>
        </is>
      </c>
      <c r="D1260" s="54" t="inlineStr">
        <is>
          <t>SANDUICHEIRA-PRETO-220V</t>
        </is>
      </c>
      <c r="E1260" s="54" t="n">
        <v>43912308480</v>
      </c>
      <c r="F1260" s="54" t="n">
        <v>276535144521</v>
      </c>
      <c r="G1260" s="54" t="inlineStr">
        <is>
          <t>NORMAL</t>
        </is>
      </c>
      <c r="H1260" s="86" t="n">
        <v>149.9</v>
      </c>
      <c r="I1260" s="86" t="n">
        <v>69.89</v>
      </c>
      <c r="J1260" s="56" t="inlineStr">
        <is>
          <t>SIM</t>
        </is>
      </c>
      <c r="K1260" s="86" t="n">
        <v>69.89</v>
      </c>
      <c r="L1260" s="87" t="n">
        <v>69.89</v>
      </c>
      <c r="M1260" s="88" t="n">
        <v>1</v>
      </c>
      <c r="N1260" s="89" t="n">
        <v>30.7</v>
      </c>
      <c r="O1260" s="89">
        <f>ROUND(M1260*N1260,2)</f>
        <v/>
      </c>
      <c r="P1260" s="90">
        <f>IF($O1260="","",L1260-O1260-(L1260*IF(L1260&lt;=79.99,20%,14%)+IF(L1260&lt;=79.99,4,IF(L1260&lt;=99.99,16,IF(L1260&lt;=199.99,20,IF(L1260&lt;=499.99,26,28)))))-L1260*1.3%-L1260*6%-(L1260-O1260)*9.25%-L1260*3%-L1260*3%-1)</f>
        <v/>
      </c>
      <c r="Q1260" s="58" t="n">
        <v>0.534</v>
      </c>
      <c r="R1260" s="54" t="n">
        <v>492080438919432</v>
      </c>
      <c r="S1260" s="59" t="n">
        <v>46248</v>
      </c>
      <c r="T1260" s="59" t="n">
        <v>46249</v>
      </c>
      <c r="U1260" s="54" t="n">
        <v>100202</v>
      </c>
      <c r="V1260" t="inlineStr">
        <is>
          <t>214026</t>
        </is>
      </c>
      <c r="W1260" t="inlineStr">
        <is>
          <t>venda casada (77 pedidos)</t>
        </is>
      </c>
      <c r="X1260" t="n">
        <v>77</v>
      </c>
      <c r="Y1260" t="inlineStr">
        <is>
          <t>ok</t>
        </is>
      </c>
    </row>
    <row r="1261" ht="18" customHeight="1">
      <c r="A1261" s="60" t="inlineStr">
        <is>
          <t>Donacor</t>
        </is>
      </c>
      <c r="B1261" s="60" t="inlineStr">
        <is>
          <t>Short Attack Lupo Original Feminino Bermuda Para Corrida Academia Treino Fitness Malhação Ideal Verão Calor</t>
        </is>
      </c>
      <c r="C1261" s="60" t="inlineStr">
        <is>
          <t>Azul,G</t>
        </is>
      </c>
      <c r="D1261" s="60" t="inlineStr">
        <is>
          <t>SHORT-LUPO-G-AZUL</t>
        </is>
      </c>
      <c r="E1261" s="60" t="n">
        <v>23494044629</v>
      </c>
      <c r="F1261" s="60" t="n">
        <v>270792273847</v>
      </c>
      <c r="G1261" s="60" t="inlineStr">
        <is>
          <t>NORMAL</t>
        </is>
      </c>
      <c r="H1261" s="91" t="n">
        <v>109.9</v>
      </c>
      <c r="I1261" s="91" t="n">
        <v>79.90000000000001</v>
      </c>
      <c r="J1261" s="65" t="inlineStr">
        <is>
          <t>SIM</t>
        </is>
      </c>
      <c r="K1261" s="91" t="n">
        <v>79.90000000000001</v>
      </c>
      <c r="L1261" s="87" t="n">
        <v>79.90000000000001</v>
      </c>
      <c r="M1261" s="88" t="n">
        <v>1</v>
      </c>
      <c r="N1261" s="89" t="n">
        <v>45.73</v>
      </c>
      <c r="O1261" s="89">
        <f>ROUND(M1261*N1261,2)</f>
        <v/>
      </c>
      <c r="P1261" s="92">
        <f>IF($O1261="","",L1261-O1261-(L1261*IF(L1261&lt;=79.99,20%,14%)+IF(L1261&lt;=79.99,4,IF(L1261&lt;=99.99,16,IF(L1261&lt;=199.99,20,IF(L1261&lt;=499.99,26,28)))))-L1261*1.3%-L1261*6%-(L1261-O1261)*9.25%-L1261*3%-L1261*3%-1)</f>
        <v/>
      </c>
      <c r="Q1261" s="67" t="n">
        <v>0.273</v>
      </c>
      <c r="R1261" s="60" t="inlineStr">
        <is>
          <t>478840979931317, 484945860710786</t>
        </is>
      </c>
      <c r="S1261" s="68" t="n">
        <v>46227.73958333334</v>
      </c>
      <c r="T1261" s="68" t="n">
        <v>46248.99930555555</v>
      </c>
      <c r="U1261" s="60" t="n">
        <v>101313</v>
      </c>
      <c r="V1261" t="inlineStr">
        <is>
          <t>214480</t>
        </is>
      </c>
      <c r="W1261" t="inlineStr">
        <is>
          <t>venda casada (3 pedidos)</t>
        </is>
      </c>
      <c r="X1261" t="n">
        <v>3</v>
      </c>
      <c r="Y1261" t="inlineStr">
        <is>
          <t>ok</t>
        </is>
      </c>
    </row>
    <row r="1262" ht="18" customHeight="1">
      <c r="A1262" s="54" t="inlineStr">
        <is>
          <t>Donacor</t>
        </is>
      </c>
      <c r="B1262" s="54" t="inlineStr">
        <is>
          <t>Short Attack Lupo Original Feminino Bermuda Para Corrida Academia Treino Fitness Malhação Ideal Verão Calor</t>
        </is>
      </c>
      <c r="C1262" s="54" t="inlineStr">
        <is>
          <t>Azul,GG</t>
        </is>
      </c>
      <c r="D1262" s="54" t="inlineStr">
        <is>
          <t>SHORT-LUPO-GG-AZUL</t>
        </is>
      </c>
      <c r="E1262" s="54" t="n">
        <v>23494044629</v>
      </c>
      <c r="F1262" s="54" t="n">
        <v>270792273848</v>
      </c>
      <c r="G1262" s="54" t="inlineStr">
        <is>
          <t>NORMAL</t>
        </is>
      </c>
      <c r="H1262" s="86" t="n">
        <v>109.9</v>
      </c>
      <c r="I1262" s="86" t="n">
        <v>79.90000000000001</v>
      </c>
      <c r="J1262" s="56" t="inlineStr">
        <is>
          <t>SIM</t>
        </is>
      </c>
      <c r="K1262" s="86" t="n">
        <v>79.90000000000001</v>
      </c>
      <c r="L1262" s="87" t="n">
        <v>79.90000000000001</v>
      </c>
      <c r="M1262" s="88" t="n">
        <v>1</v>
      </c>
      <c r="N1262" s="89" t="n">
        <v>45.73</v>
      </c>
      <c r="O1262" s="89">
        <f>ROUND(M1262*N1262,2)</f>
        <v/>
      </c>
      <c r="P1262" s="90">
        <f>IF($O1262="","",L1262-O1262-(L1262*IF(L1262&lt;=79.99,20%,14%)+IF(L1262&lt;=79.99,4,IF(L1262&lt;=99.99,16,IF(L1262&lt;=199.99,20,IF(L1262&lt;=499.99,26,28)))))-L1262*1.3%-L1262*6%-(L1262-O1262)*9.25%-L1262*3%-L1262*3%-1)</f>
        <v/>
      </c>
      <c r="Q1262" s="58" t="n">
        <v>0.273</v>
      </c>
      <c r="R1262" s="54" t="inlineStr">
        <is>
          <t>478840979931317, 484945860710786</t>
        </is>
      </c>
      <c r="S1262" s="59" t="n">
        <v>46227.73958333334</v>
      </c>
      <c r="T1262" s="59" t="n">
        <v>46248.99930555555</v>
      </c>
      <c r="U1262" s="54" t="n">
        <v>101313</v>
      </c>
      <c r="V1262" t="inlineStr">
        <is>
          <t>214481</t>
        </is>
      </c>
      <c r="W1262" t="inlineStr">
        <is>
          <t>venda casada (2 pedidos)</t>
        </is>
      </c>
      <c r="X1262" t="n">
        <v>2</v>
      </c>
      <c r="Y1262" t="inlineStr">
        <is>
          <t>ok</t>
        </is>
      </c>
    </row>
    <row r="1263" ht="18" customHeight="1">
      <c r="A1263" s="60" t="inlineStr">
        <is>
          <t>Donacor</t>
        </is>
      </c>
      <c r="B1263" s="60" t="inlineStr">
        <is>
          <t>Short Attack Lupo Original Feminino Bermuda Para Corrida Academia Treino Fitness Malhação Ideal Verão Calor</t>
        </is>
      </c>
      <c r="C1263" s="60" t="inlineStr">
        <is>
          <t>Azul,M</t>
        </is>
      </c>
      <c r="D1263" s="60" t="inlineStr">
        <is>
          <t>SHORT-LUPO-M-AZUL</t>
        </is>
      </c>
      <c r="E1263" s="60" t="n">
        <v>23494044629</v>
      </c>
      <c r="F1263" s="60" t="n">
        <v>270792273846</v>
      </c>
      <c r="G1263" s="60" t="inlineStr">
        <is>
          <t>NORMAL</t>
        </is>
      </c>
      <c r="H1263" s="91" t="n">
        <v>109.9</v>
      </c>
      <c r="I1263" s="91" t="n">
        <v>79.90000000000001</v>
      </c>
      <c r="J1263" s="65" t="inlineStr">
        <is>
          <t>SIM</t>
        </is>
      </c>
      <c r="K1263" s="91" t="n">
        <v>79.90000000000001</v>
      </c>
      <c r="L1263" s="87" t="n">
        <v>79.90000000000001</v>
      </c>
      <c r="M1263" s="88" t="n">
        <v>1</v>
      </c>
      <c r="N1263" s="89" t="n">
        <v>45.73</v>
      </c>
      <c r="O1263" s="89">
        <f>ROUND(M1263*N1263,2)</f>
        <v/>
      </c>
      <c r="P1263" s="92">
        <f>IF($O1263="","",L1263-O1263-(L1263*IF(L1263&lt;=79.99,20%,14%)+IF(L1263&lt;=79.99,4,IF(L1263&lt;=99.99,16,IF(L1263&lt;=199.99,20,IF(L1263&lt;=499.99,26,28)))))-L1263*1.3%-L1263*6%-(L1263-O1263)*9.25%-L1263*3%-L1263*3%-1)</f>
        <v/>
      </c>
      <c r="Q1263" s="67" t="n">
        <v>0.273</v>
      </c>
      <c r="R1263" s="60" t="inlineStr">
        <is>
          <t>484945860710786, 478840979931317</t>
        </is>
      </c>
      <c r="S1263" s="68" t="n">
        <v>46227.73958333334</v>
      </c>
      <c r="T1263" s="68" t="n">
        <v>46248.99930555555</v>
      </c>
      <c r="U1263" s="60" t="n">
        <v>101313</v>
      </c>
      <c r="V1263" t="inlineStr">
        <is>
          <t>214479</t>
        </is>
      </c>
      <c r="W1263" t="inlineStr">
        <is>
          <t>venda casada (7 pedidos)</t>
        </is>
      </c>
      <c r="X1263" t="n">
        <v>7</v>
      </c>
      <c r="Y1263" t="inlineStr">
        <is>
          <t>ok</t>
        </is>
      </c>
    </row>
    <row r="1264" ht="18" customHeight="1">
      <c r="A1264" s="54" t="inlineStr">
        <is>
          <t>Donacor</t>
        </is>
      </c>
      <c r="B1264" s="54" t="inlineStr">
        <is>
          <t>Short Attack Lupo Original Feminino Bermuda Para Corrida Academia Treino Fitness Malhação Ideal Verão Calor</t>
        </is>
      </c>
      <c r="C1264" s="54" t="inlineStr">
        <is>
          <t>Azul,P</t>
        </is>
      </c>
      <c r="D1264" s="54" t="inlineStr">
        <is>
          <t>SHORT-LUPO-P-AZUL</t>
        </is>
      </c>
      <c r="E1264" s="54" t="n">
        <v>23494044629</v>
      </c>
      <c r="F1264" s="54" t="n">
        <v>270792273845</v>
      </c>
      <c r="G1264" s="54" t="inlineStr">
        <is>
          <t>NORMAL</t>
        </is>
      </c>
      <c r="H1264" s="86" t="n">
        <v>109.9</v>
      </c>
      <c r="I1264" s="86" t="n">
        <v>79.90000000000001</v>
      </c>
      <c r="J1264" s="56" t="inlineStr">
        <is>
          <t>SIM</t>
        </is>
      </c>
      <c r="K1264" s="86" t="n">
        <v>79.90000000000001</v>
      </c>
      <c r="L1264" s="87" t="n">
        <v>79.90000000000001</v>
      </c>
      <c r="M1264" s="88" t="n">
        <v>1</v>
      </c>
      <c r="N1264" s="89" t="n">
        <v>45.73</v>
      </c>
      <c r="O1264" s="89">
        <f>ROUND(M1264*N1264,2)</f>
        <v/>
      </c>
      <c r="P1264" s="90">
        <f>IF($O1264="","",L1264-O1264-(L1264*IF(L1264&lt;=79.99,20%,14%)+IF(L1264&lt;=79.99,4,IF(L1264&lt;=99.99,16,IF(L1264&lt;=199.99,20,IF(L1264&lt;=499.99,26,28)))))-L1264*1.3%-L1264*6%-(L1264-O1264)*9.25%-L1264*3%-L1264*3%-1)</f>
        <v/>
      </c>
      <c r="Q1264" s="58" t="n">
        <v>0.273</v>
      </c>
      <c r="R1264" s="54" t="inlineStr">
        <is>
          <t>478840979931317, 484945860710786</t>
        </is>
      </c>
      <c r="S1264" s="59" t="n">
        <v>46227.73958333334</v>
      </c>
      <c r="T1264" s="59" t="n">
        <v>46248.99930555555</v>
      </c>
      <c r="U1264" s="54" t="n">
        <v>101313</v>
      </c>
      <c r="V1264" t="inlineStr">
        <is>
          <t>214478</t>
        </is>
      </c>
      <c r="W1264" t="inlineStr">
        <is>
          <t>venda casada (8 pedidos)</t>
        </is>
      </c>
      <c r="X1264" t="n">
        <v>8</v>
      </c>
      <c r="Y1264" t="inlineStr">
        <is>
          <t>ok</t>
        </is>
      </c>
    </row>
    <row r="1265" ht="18" customHeight="1">
      <c r="A1265" s="60" t="inlineStr">
        <is>
          <t>Donacor</t>
        </is>
      </c>
      <c r="B1265" s="60" t="inlineStr">
        <is>
          <t>Short Attack Lupo Original Feminino Bermuda Para Corrida Academia Treino Fitness Malhação Ideal Verão Calor</t>
        </is>
      </c>
      <c r="C1265" s="60" t="inlineStr">
        <is>
          <t>Fúcsia,G</t>
        </is>
      </c>
      <c r="D1265" s="60" t="inlineStr">
        <is>
          <t>SHORT-LUPO-G-FÚCSIA</t>
        </is>
      </c>
      <c r="E1265" s="60" t="n">
        <v>23494044629</v>
      </c>
      <c r="F1265" s="60" t="n">
        <v>277453826473</v>
      </c>
      <c r="G1265" s="60" t="inlineStr">
        <is>
          <t>NORMAL</t>
        </is>
      </c>
      <c r="H1265" s="91" t="n">
        <v>109.9</v>
      </c>
      <c r="I1265" s="91" t="n">
        <v>79.90000000000001</v>
      </c>
      <c r="J1265" s="65" t="inlineStr">
        <is>
          <t>SIM</t>
        </is>
      </c>
      <c r="K1265" s="91" t="n">
        <v>79.90000000000001</v>
      </c>
      <c r="L1265" s="87" t="n">
        <v>79.90000000000001</v>
      </c>
      <c r="M1265" s="88" t="n">
        <v>1</v>
      </c>
      <c r="N1265" s="89" t="n">
        <v>49.42</v>
      </c>
      <c r="O1265" s="89">
        <f>ROUND(M1265*N1265,2)</f>
        <v/>
      </c>
      <c r="P1265" s="92">
        <f>IF($O1265="","",L1265-O1265-(L1265*IF(L1265&lt;=79.99,20%,14%)+IF(L1265&lt;=79.99,4,IF(L1265&lt;=99.99,16,IF(L1265&lt;=199.99,20,IF(L1265&lt;=499.99,26,28)))))-L1265*1.3%-L1265*6%-(L1265-O1265)*9.25%-L1265*3%-L1265*3%-1)</f>
        <v/>
      </c>
      <c r="Q1265" s="67" t="n">
        <v>0.273</v>
      </c>
      <c r="R1265" s="60" t="inlineStr">
        <is>
          <t>478840979931317, 484945860710786</t>
        </is>
      </c>
      <c r="S1265" s="68" t="n">
        <v>46227.73958333334</v>
      </c>
      <c r="T1265" s="68" t="n">
        <v>46248.99930555555</v>
      </c>
      <c r="U1265" s="60" t="n">
        <v>101313</v>
      </c>
      <c r="V1265" t="inlineStr">
        <is>
          <t>215188</t>
        </is>
      </c>
      <c r="W1265" t="inlineStr">
        <is>
          <t>venda casada (3 pedidos)</t>
        </is>
      </c>
      <c r="X1265" t="n">
        <v>3</v>
      </c>
      <c r="Y1265" t="inlineStr">
        <is>
          <t>ok</t>
        </is>
      </c>
    </row>
    <row r="1266" ht="18" customHeight="1">
      <c r="A1266" s="54" t="inlineStr">
        <is>
          <t>Donacor</t>
        </is>
      </c>
      <c r="B1266" s="54" t="inlineStr">
        <is>
          <t>Short Attack Lupo Original Feminino Bermuda Para Corrida Academia Treino Fitness Malhação Ideal Verão Calor</t>
        </is>
      </c>
      <c r="C1266" s="54" t="inlineStr">
        <is>
          <t>Fúcsia,GG</t>
        </is>
      </c>
      <c r="D1266" s="54" t="inlineStr">
        <is>
          <t>SHORT-LUPO-GG-FÚCSIA</t>
        </is>
      </c>
      <c r="E1266" s="54" t="n">
        <v>23494044629</v>
      </c>
      <c r="F1266" s="54" t="n">
        <v>277453826474</v>
      </c>
      <c r="G1266" s="54" t="inlineStr">
        <is>
          <t>NORMAL</t>
        </is>
      </c>
      <c r="H1266" s="86" t="n">
        <v>109.9</v>
      </c>
      <c r="I1266" s="86" t="n">
        <v>109.9</v>
      </c>
      <c r="J1266" s="69" t="inlineStr">
        <is>
          <t>NÃO</t>
        </is>
      </c>
      <c r="K1266" s="54" t="n"/>
      <c r="L1266" s="87" t="n">
        <v>109.9</v>
      </c>
      <c r="P1266" s="90">
        <f>IF($O1266="","",L1266-O1266-(L1266*IF(L1266&lt;=79.99,20%,14%)+IF(L1266&lt;=79.99,4,IF(L1266&lt;=99.99,16,IF(L1266&lt;=199.99,20,IF(L1266&lt;=499.99,26,28)))))-L1266*1.3%-L1266*6%-(L1266-O1266)*9.25%-L1266*3%-L1266*3%-1)</f>
        <v/>
      </c>
      <c r="Q1266" s="54">
        <f>IF(AND(K1266&lt;&gt;"",H1266&gt;0),(H1266-K1266)/H1266,"")</f>
        <v/>
      </c>
      <c r="R1266" s="54" t="n"/>
      <c r="S1266" s="54" t="n"/>
      <c r="T1266" s="54" t="n"/>
      <c r="U1266" s="54" t="n">
        <v>101313</v>
      </c>
      <c r="W1266" t="inlineStr">
        <is>
          <t>sem correspondência</t>
        </is>
      </c>
      <c r="Y1266" t="inlineStr"/>
    </row>
    <row r="1267" ht="18" customHeight="1">
      <c r="A1267" s="60" t="inlineStr">
        <is>
          <t>Donacor</t>
        </is>
      </c>
      <c r="B1267" s="60" t="inlineStr">
        <is>
          <t>Short Attack Lupo Original Feminino Bermuda Para Corrida Academia Treino Fitness Malhação Ideal Verão Calor</t>
        </is>
      </c>
      <c r="C1267" s="60" t="inlineStr">
        <is>
          <t>Fúcsia,M</t>
        </is>
      </c>
      <c r="D1267" s="60" t="inlineStr">
        <is>
          <t>SHORT-LUPO-M-FÚCSIA</t>
        </is>
      </c>
      <c r="E1267" s="60" t="n">
        <v>23494044629</v>
      </c>
      <c r="F1267" s="60" t="n">
        <v>277453826472</v>
      </c>
      <c r="G1267" s="60" t="inlineStr">
        <is>
          <t>NORMAL</t>
        </is>
      </c>
      <c r="H1267" s="91" t="n">
        <v>109.9</v>
      </c>
      <c r="I1267" s="91" t="n">
        <v>79.90000000000001</v>
      </c>
      <c r="J1267" s="65" t="inlineStr">
        <is>
          <t>SIM</t>
        </is>
      </c>
      <c r="K1267" s="91" t="n">
        <v>79.90000000000001</v>
      </c>
      <c r="L1267" s="87" t="n">
        <v>79.90000000000001</v>
      </c>
      <c r="M1267" s="88" t="n">
        <v>1</v>
      </c>
      <c r="N1267" s="89" t="n">
        <v>49.42</v>
      </c>
      <c r="O1267" s="89">
        <f>ROUND(M1267*N1267,2)</f>
        <v/>
      </c>
      <c r="P1267" s="92">
        <f>IF($O1267="","",L1267-O1267-(L1267*IF(L1267&lt;=79.99,20%,14%)+IF(L1267&lt;=79.99,4,IF(L1267&lt;=99.99,16,IF(L1267&lt;=199.99,20,IF(L1267&lt;=499.99,26,28)))))-L1267*1.3%-L1267*6%-(L1267-O1267)*9.25%-L1267*3%-L1267*3%-1)</f>
        <v/>
      </c>
      <c r="Q1267" s="67" t="n">
        <v>0.273</v>
      </c>
      <c r="R1267" s="60" t="inlineStr">
        <is>
          <t>484945860710786, 478840979931317</t>
        </is>
      </c>
      <c r="S1267" s="68" t="n">
        <v>46227.73958333334</v>
      </c>
      <c r="T1267" s="68" t="n">
        <v>46248.99930555555</v>
      </c>
      <c r="U1267" s="60" t="n">
        <v>101313</v>
      </c>
      <c r="V1267" t="inlineStr">
        <is>
          <t>215187</t>
        </is>
      </c>
      <c r="W1267" t="inlineStr">
        <is>
          <t>venda casada (7 pedidos)</t>
        </is>
      </c>
      <c r="X1267" t="n">
        <v>7</v>
      </c>
      <c r="Y1267" t="inlineStr">
        <is>
          <t>ok</t>
        </is>
      </c>
    </row>
    <row r="1268" ht="18" customHeight="1">
      <c r="A1268" s="54" t="inlineStr">
        <is>
          <t>Donacor</t>
        </is>
      </c>
      <c r="B1268" s="54" t="inlineStr">
        <is>
          <t>Short Attack Lupo Original Feminino Bermuda Para Corrida Academia Treino Fitness Malhação Ideal Verão Calor</t>
        </is>
      </c>
      <c r="C1268" s="54" t="inlineStr">
        <is>
          <t>Fúcsia,P</t>
        </is>
      </c>
      <c r="D1268" s="54" t="inlineStr">
        <is>
          <t>SHORT-LUPO-P-FÚCSIA</t>
        </is>
      </c>
      <c r="E1268" s="54" t="n">
        <v>23494044629</v>
      </c>
      <c r="F1268" s="54" t="n">
        <v>277453826471</v>
      </c>
      <c r="G1268" s="54" t="inlineStr">
        <is>
          <t>NORMAL</t>
        </is>
      </c>
      <c r="H1268" s="86" t="n">
        <v>109.9</v>
      </c>
      <c r="I1268" s="86" t="n">
        <v>79.90000000000001</v>
      </c>
      <c r="J1268" s="56" t="inlineStr">
        <is>
          <t>SIM</t>
        </is>
      </c>
      <c r="K1268" s="86" t="n">
        <v>79.90000000000001</v>
      </c>
      <c r="L1268" s="87" t="n">
        <v>79.90000000000001</v>
      </c>
      <c r="M1268" s="88" t="n">
        <v>1</v>
      </c>
      <c r="N1268" s="89" t="n">
        <v>49.42</v>
      </c>
      <c r="O1268" s="89">
        <f>ROUND(M1268*N1268,2)</f>
        <v/>
      </c>
      <c r="P1268" s="90">
        <f>IF($O1268="","",L1268-O1268-(L1268*IF(L1268&lt;=79.99,20%,14%)+IF(L1268&lt;=79.99,4,IF(L1268&lt;=99.99,16,IF(L1268&lt;=199.99,20,IF(L1268&lt;=499.99,26,28)))))-L1268*1.3%-L1268*6%-(L1268-O1268)*9.25%-L1268*3%-L1268*3%-1)</f>
        <v/>
      </c>
      <c r="Q1268" s="58" t="n">
        <v>0.273</v>
      </c>
      <c r="R1268" s="54" t="inlineStr">
        <is>
          <t>478840979931317, 484945860710786</t>
        </is>
      </c>
      <c r="S1268" s="59" t="n">
        <v>46227.73958333334</v>
      </c>
      <c r="T1268" s="59" t="n">
        <v>46248.99930555555</v>
      </c>
      <c r="U1268" s="54" t="n">
        <v>101313</v>
      </c>
      <c r="V1268" t="inlineStr">
        <is>
          <t>215186</t>
        </is>
      </c>
      <c r="W1268" t="inlineStr">
        <is>
          <t>venda casada (6 pedidos)</t>
        </is>
      </c>
      <c r="X1268" t="n">
        <v>6</v>
      </c>
      <c r="Y1268" t="inlineStr">
        <is>
          <t>ok</t>
        </is>
      </c>
    </row>
    <row r="1269" ht="18" customHeight="1">
      <c r="A1269" s="60" t="inlineStr">
        <is>
          <t>Donacor</t>
        </is>
      </c>
      <c r="B1269" s="60" t="inlineStr">
        <is>
          <t>Short Attack Lupo Original Feminino Bermuda Para Corrida Academia Treino Fitness Malhação Ideal Verão Calor</t>
        </is>
      </c>
      <c r="C1269" s="60" t="inlineStr">
        <is>
          <t>Preto,G</t>
        </is>
      </c>
      <c r="D1269" s="60" t="inlineStr">
        <is>
          <t>SHORT-LUPO-G-PRETO</t>
        </is>
      </c>
      <c r="E1269" s="60" t="n">
        <v>23494044629</v>
      </c>
      <c r="F1269" s="60" t="n">
        <v>270792273843</v>
      </c>
      <c r="G1269" s="60" t="inlineStr">
        <is>
          <t>NORMAL</t>
        </is>
      </c>
      <c r="H1269" s="91" t="n">
        <v>109.9</v>
      </c>
      <c r="I1269" s="91" t="n">
        <v>79.90000000000001</v>
      </c>
      <c r="J1269" s="65" t="inlineStr">
        <is>
          <t>SIM</t>
        </is>
      </c>
      <c r="K1269" s="91" t="n">
        <v>79.90000000000001</v>
      </c>
      <c r="L1269" s="87" t="n">
        <v>79.90000000000001</v>
      </c>
      <c r="M1269" s="88" t="n">
        <v>1</v>
      </c>
      <c r="N1269" s="89" t="n">
        <v>45.73</v>
      </c>
      <c r="O1269" s="89">
        <f>ROUND(M1269*N1269,2)</f>
        <v/>
      </c>
      <c r="P1269" s="92">
        <f>IF($O1269="","",L1269-O1269-(L1269*IF(L1269&lt;=79.99,20%,14%)+IF(L1269&lt;=79.99,4,IF(L1269&lt;=99.99,16,IF(L1269&lt;=199.99,20,IF(L1269&lt;=499.99,26,28)))))-L1269*1.3%-L1269*6%-(L1269-O1269)*9.25%-L1269*3%-L1269*3%-1)</f>
        <v/>
      </c>
      <c r="Q1269" s="67" t="n">
        <v>0.273</v>
      </c>
      <c r="R1269" s="60" t="inlineStr">
        <is>
          <t>478840979931317, 484945860710786</t>
        </is>
      </c>
      <c r="S1269" s="68" t="n">
        <v>46227.73958333334</v>
      </c>
      <c r="T1269" s="68" t="n">
        <v>46248.99930555555</v>
      </c>
      <c r="U1269" s="60" t="n">
        <v>101313</v>
      </c>
      <c r="V1269" t="inlineStr">
        <is>
          <t>214476</t>
        </is>
      </c>
      <c r="W1269" t="inlineStr">
        <is>
          <t>venda casada (18 pedidos)</t>
        </is>
      </c>
      <c r="X1269" t="n">
        <v>18</v>
      </c>
      <c r="Y1269" t="inlineStr">
        <is>
          <t>ok</t>
        </is>
      </c>
    </row>
    <row r="1270" ht="18" customHeight="1">
      <c r="A1270" s="54" t="inlineStr">
        <is>
          <t>Donacor</t>
        </is>
      </c>
      <c r="B1270" s="54" t="inlineStr">
        <is>
          <t>Short Attack Lupo Original Feminino Bermuda Para Corrida Academia Treino Fitness Malhação Ideal Verão Calor</t>
        </is>
      </c>
      <c r="C1270" s="54" t="inlineStr">
        <is>
          <t>Preto,GG</t>
        </is>
      </c>
      <c r="D1270" s="54" t="inlineStr">
        <is>
          <t>SHORT-LUPO-GG-PRETO</t>
        </is>
      </c>
      <c r="E1270" s="54" t="n">
        <v>23494044629</v>
      </c>
      <c r="F1270" s="54" t="n">
        <v>270792273844</v>
      </c>
      <c r="G1270" s="54" t="inlineStr">
        <is>
          <t>NORMAL</t>
        </is>
      </c>
      <c r="H1270" s="86" t="n">
        <v>109.9</v>
      </c>
      <c r="I1270" s="86" t="n">
        <v>79.90000000000001</v>
      </c>
      <c r="J1270" s="56" t="inlineStr">
        <is>
          <t>SIM</t>
        </is>
      </c>
      <c r="K1270" s="86" t="n">
        <v>79.90000000000001</v>
      </c>
      <c r="L1270" s="87" t="n">
        <v>79.90000000000001</v>
      </c>
      <c r="M1270" s="88" t="n">
        <v>1</v>
      </c>
      <c r="N1270" s="89" t="n">
        <v>45.73</v>
      </c>
      <c r="O1270" s="89">
        <f>ROUND(M1270*N1270,2)</f>
        <v/>
      </c>
      <c r="P1270" s="90">
        <f>IF($O1270="","",L1270-O1270-(L1270*IF(L1270&lt;=79.99,20%,14%)+IF(L1270&lt;=79.99,4,IF(L1270&lt;=99.99,16,IF(L1270&lt;=199.99,20,IF(L1270&lt;=499.99,26,28)))))-L1270*1.3%-L1270*6%-(L1270-O1270)*9.25%-L1270*3%-L1270*3%-1)</f>
        <v/>
      </c>
      <c r="Q1270" s="58" t="n">
        <v>0.273</v>
      </c>
      <c r="R1270" s="54" t="inlineStr">
        <is>
          <t>478840979931317, 484945860710786</t>
        </is>
      </c>
      <c r="S1270" s="59" t="n">
        <v>46227.73958333334</v>
      </c>
      <c r="T1270" s="59" t="n">
        <v>46248.99930555555</v>
      </c>
      <c r="U1270" s="54" t="n">
        <v>101313</v>
      </c>
      <c r="V1270" t="inlineStr">
        <is>
          <t>214477</t>
        </is>
      </c>
      <c r="W1270" t="inlineStr">
        <is>
          <t>venda casada (11 pedidos)</t>
        </is>
      </c>
      <c r="X1270" t="n">
        <v>11</v>
      </c>
      <c r="Y1270" t="inlineStr">
        <is>
          <t>ok</t>
        </is>
      </c>
    </row>
    <row r="1271" ht="18" customHeight="1">
      <c r="A1271" s="60" t="inlineStr">
        <is>
          <t>Donacor</t>
        </is>
      </c>
      <c r="B1271" s="60" t="inlineStr">
        <is>
          <t>Short Attack Lupo Original Feminino Bermuda Para Corrida Academia Treino Fitness Malhação Ideal Verão Calor</t>
        </is>
      </c>
      <c r="C1271" s="60" t="inlineStr">
        <is>
          <t>Preto,M</t>
        </is>
      </c>
      <c r="D1271" s="60" t="inlineStr">
        <is>
          <t>SHORT-LUPO-M-PRETO</t>
        </is>
      </c>
      <c r="E1271" s="60" t="n">
        <v>23494044629</v>
      </c>
      <c r="F1271" s="60" t="n">
        <v>270792273842</v>
      </c>
      <c r="G1271" s="60" t="inlineStr">
        <is>
          <t>NORMAL</t>
        </is>
      </c>
      <c r="H1271" s="91" t="n">
        <v>109.9</v>
      </c>
      <c r="I1271" s="91" t="n">
        <v>79.90000000000001</v>
      </c>
      <c r="J1271" s="65" t="inlineStr">
        <is>
          <t>SIM</t>
        </is>
      </c>
      <c r="K1271" s="91" t="n">
        <v>79.90000000000001</v>
      </c>
      <c r="L1271" s="87" t="n">
        <v>79.90000000000001</v>
      </c>
      <c r="M1271" s="88" t="n">
        <v>1</v>
      </c>
      <c r="N1271" s="89" t="n">
        <v>45.73</v>
      </c>
      <c r="O1271" s="89">
        <f>ROUND(M1271*N1271,2)</f>
        <v/>
      </c>
      <c r="P1271" s="92">
        <f>IF($O1271="","",L1271-O1271-(L1271*IF(L1271&lt;=79.99,20%,14%)+IF(L1271&lt;=79.99,4,IF(L1271&lt;=99.99,16,IF(L1271&lt;=199.99,20,IF(L1271&lt;=499.99,26,28)))))-L1271*1.3%-L1271*6%-(L1271-O1271)*9.25%-L1271*3%-L1271*3%-1)</f>
        <v/>
      </c>
      <c r="Q1271" s="67" t="n">
        <v>0.273</v>
      </c>
      <c r="R1271" s="60" t="inlineStr">
        <is>
          <t>478840979931317, 484945860710786</t>
        </is>
      </c>
      <c r="S1271" s="68" t="n">
        <v>46227.73958333334</v>
      </c>
      <c r="T1271" s="68" t="n">
        <v>46248.99930555555</v>
      </c>
      <c r="U1271" s="60" t="n">
        <v>101313</v>
      </c>
      <c r="V1271" t="inlineStr">
        <is>
          <t>214475</t>
        </is>
      </c>
      <c r="W1271" t="inlineStr">
        <is>
          <t>venda casada (57 pedidos)</t>
        </is>
      </c>
      <c r="X1271" t="n">
        <v>57</v>
      </c>
      <c r="Y1271" t="inlineStr">
        <is>
          <t>ok</t>
        </is>
      </c>
    </row>
    <row r="1272" ht="18" customHeight="1">
      <c r="A1272" s="54" t="inlineStr">
        <is>
          <t>Donacor</t>
        </is>
      </c>
      <c r="B1272" s="54" t="inlineStr">
        <is>
          <t>Short Attack Lupo Original Feminino Bermuda Para Corrida Academia Treino Fitness Malhação Ideal Verão Calor</t>
        </is>
      </c>
      <c r="C1272" s="54" t="inlineStr">
        <is>
          <t>Preto,P</t>
        </is>
      </c>
      <c r="D1272" s="54" t="inlineStr">
        <is>
          <t>SHORT-LUPO-P-PRETO</t>
        </is>
      </c>
      <c r="E1272" s="54" t="n">
        <v>23494044629</v>
      </c>
      <c r="F1272" s="54" t="n">
        <v>119723979570</v>
      </c>
      <c r="G1272" s="54" t="inlineStr">
        <is>
          <t>NORMAL</t>
        </is>
      </c>
      <c r="H1272" s="86" t="n">
        <v>109.9</v>
      </c>
      <c r="I1272" s="86" t="n">
        <v>79.90000000000001</v>
      </c>
      <c r="J1272" s="56" t="inlineStr">
        <is>
          <t>SIM</t>
        </is>
      </c>
      <c r="K1272" s="86" t="n">
        <v>79.90000000000001</v>
      </c>
      <c r="L1272" s="87" t="n">
        <v>79.90000000000001</v>
      </c>
      <c r="M1272" s="88" t="n">
        <v>1</v>
      </c>
      <c r="N1272" s="89" t="n">
        <v>45.73</v>
      </c>
      <c r="O1272" s="89">
        <f>ROUND(M1272*N1272,2)</f>
        <v/>
      </c>
      <c r="P1272" s="90">
        <f>IF($O1272="","",L1272-O1272-(L1272*IF(L1272&lt;=79.99,20%,14%)+IF(L1272&lt;=79.99,4,IF(L1272&lt;=99.99,16,IF(L1272&lt;=199.99,20,IF(L1272&lt;=499.99,26,28)))))-L1272*1.3%-L1272*6%-(L1272-O1272)*9.25%-L1272*3%-L1272*3%-1)</f>
        <v/>
      </c>
      <c r="Q1272" s="58" t="n">
        <v>0.273</v>
      </c>
      <c r="R1272" s="54" t="n">
        <v>484945860710786</v>
      </c>
      <c r="S1272" s="59" t="n">
        <v>46227.73958333334</v>
      </c>
      <c r="T1272" s="59" t="n">
        <v>46405.45833333334</v>
      </c>
      <c r="U1272" s="54" t="n">
        <v>101313</v>
      </c>
      <c r="V1272" t="inlineStr">
        <is>
          <t>214474</t>
        </is>
      </c>
      <c r="W1272" t="inlineStr">
        <is>
          <t>venda casada (33 pedidos)</t>
        </is>
      </c>
      <c r="X1272" t="n">
        <v>33</v>
      </c>
      <c r="Y1272" t="inlineStr">
        <is>
          <t>ok</t>
        </is>
      </c>
    </row>
    <row r="1273" ht="18" customHeight="1">
      <c r="A1273" s="60" t="inlineStr">
        <is>
          <t>Donacor</t>
        </is>
      </c>
      <c r="B1273" s="60" t="inlineStr">
        <is>
          <t>Short Attack Lupo Original Feminino Bermuda Para Corrida Academia Treino Fitness Malhação Ideal Verão Calor</t>
        </is>
      </c>
      <c r="C1273" s="60" t="inlineStr">
        <is>
          <t>Rosa,G</t>
        </is>
      </c>
      <c r="D1273" s="60" t="inlineStr">
        <is>
          <t>SHORT-LUPO-G-ROSA</t>
        </is>
      </c>
      <c r="E1273" s="60" t="n">
        <v>23494044629</v>
      </c>
      <c r="F1273" s="60" t="n">
        <v>270792273851</v>
      </c>
      <c r="G1273" s="60" t="inlineStr">
        <is>
          <t>NORMAL</t>
        </is>
      </c>
      <c r="H1273" s="91" t="n">
        <v>109.9</v>
      </c>
      <c r="I1273" s="91" t="n">
        <v>109.9</v>
      </c>
      <c r="J1273" s="62" t="inlineStr">
        <is>
          <t>NÃO</t>
        </is>
      </c>
      <c r="K1273" s="60" t="inlineStr">
        <is>
          <t> </t>
        </is>
      </c>
      <c r="L1273" s="87" t="n">
        <v>109.9</v>
      </c>
      <c r="P1273" s="92">
        <f>IF($O1273="","",L1273-O1273-(L1273*IF(L1273&lt;=79.99,20%,14%)+IF(L1273&lt;=79.99,4,IF(L1273&lt;=99.99,16,IF(L1273&lt;=199.99,20,IF(L1273&lt;=499.99,26,28)))))-L1273*1.3%-L1273*6%-(L1273-O1273)*9.25%-L1273*3%-L1273*3%-1)</f>
        <v/>
      </c>
      <c r="Q1273" s="60" t="inlineStr">
        <is>
          <t> </t>
        </is>
      </c>
      <c r="R1273" s="60" t="inlineStr">
        <is>
          <t> </t>
        </is>
      </c>
      <c r="S1273" s="60" t="inlineStr">
        <is>
          <t> </t>
        </is>
      </c>
      <c r="T1273" s="60" t="inlineStr">
        <is>
          <t> </t>
        </is>
      </c>
      <c r="U1273" s="60" t="n">
        <v>101313</v>
      </c>
      <c r="V1273" t="inlineStr">
        <is>
          <t>SHORT-LUPO-G-ROSA</t>
        </is>
      </c>
      <c r="W1273" t="inlineStr">
        <is>
          <t>SKU idêntico na Olist · CUSTO ZERADO na Olist (conferido hoje)</t>
        </is>
      </c>
      <c r="Y1273" t="inlineStr">
        <is>
          <t>ok</t>
        </is>
      </c>
    </row>
    <row r="1274" ht="18" customHeight="1">
      <c r="A1274" s="54" t="inlineStr">
        <is>
          <t>Donacor</t>
        </is>
      </c>
      <c r="B1274" s="54" t="inlineStr">
        <is>
          <t>Short Attack Lupo Original Feminino Bermuda Para Corrida Academia Treino Fitness Malhação Ideal Verão Calor</t>
        </is>
      </c>
      <c r="C1274" s="54" t="inlineStr">
        <is>
          <t>Rosa,GG</t>
        </is>
      </c>
      <c r="D1274" s="54" t="inlineStr">
        <is>
          <t>SHORT-LUPO-GG-ROSA</t>
        </is>
      </c>
      <c r="E1274" s="54" t="n">
        <v>23494044629</v>
      </c>
      <c r="F1274" s="54" t="n">
        <v>270792273852</v>
      </c>
      <c r="G1274" s="54" t="inlineStr">
        <is>
          <t>NORMAL</t>
        </is>
      </c>
      <c r="H1274" s="86" t="n">
        <v>109.9</v>
      </c>
      <c r="I1274" s="86" t="n">
        <v>109.9</v>
      </c>
      <c r="J1274" s="69" t="inlineStr">
        <is>
          <t>NÃO</t>
        </is>
      </c>
      <c r="K1274" s="54" t="n"/>
      <c r="L1274" s="87" t="n">
        <v>109.9</v>
      </c>
      <c r="P1274" s="90">
        <f>IF($O1274="","",L1274-O1274-(L1274*IF(L1274&lt;=79.99,20%,14%)+IF(L1274&lt;=79.99,4,IF(L1274&lt;=99.99,16,IF(L1274&lt;=199.99,20,IF(L1274&lt;=499.99,26,28)))))-L1274*1.3%-L1274*6%-(L1274-O1274)*9.25%-L1274*3%-L1274*3%-1)</f>
        <v/>
      </c>
      <c r="Q1274" s="54">
        <f>IF(AND(K1274&lt;&gt;"",H1274&gt;0),(H1274-K1274)/H1274,"")</f>
        <v/>
      </c>
      <c r="R1274" s="54" t="n"/>
      <c r="S1274" s="54" t="n"/>
      <c r="T1274" s="54" t="n"/>
      <c r="U1274" s="54" t="n">
        <v>101313</v>
      </c>
      <c r="W1274" t="inlineStr">
        <is>
          <t>sem correspondência</t>
        </is>
      </c>
      <c r="Y1274" t="inlineStr"/>
    </row>
    <row r="1275" ht="18" customHeight="1">
      <c r="A1275" s="60" t="inlineStr">
        <is>
          <t>Donacor</t>
        </is>
      </c>
      <c r="B1275" s="60" t="inlineStr">
        <is>
          <t>Short Attack Lupo Original Feminino Bermuda Para Corrida Academia Treino Fitness Malhação Ideal Verão Calor</t>
        </is>
      </c>
      <c r="C1275" s="60" t="inlineStr">
        <is>
          <t>Rosa,M</t>
        </is>
      </c>
      <c r="D1275" s="60" t="inlineStr">
        <is>
          <t>SHORT-LUPO-M-ROSA</t>
        </is>
      </c>
      <c r="E1275" s="60" t="n">
        <v>23494044629</v>
      </c>
      <c r="F1275" s="60" t="n">
        <v>270792273850</v>
      </c>
      <c r="G1275" s="60" t="inlineStr">
        <is>
          <t>NORMAL</t>
        </is>
      </c>
      <c r="H1275" s="91" t="n">
        <v>109.9</v>
      </c>
      <c r="I1275" s="91" t="n">
        <v>109.9</v>
      </c>
      <c r="J1275" s="62" t="inlineStr">
        <is>
          <t>NÃO</t>
        </is>
      </c>
      <c r="K1275" s="60" t="inlineStr">
        <is>
          <t> </t>
        </is>
      </c>
      <c r="L1275" s="87" t="n">
        <v>109.9</v>
      </c>
      <c r="P1275" s="92">
        <f>IF($O1275="","",L1275-O1275-(L1275*IF(L1275&lt;=79.99,20%,14%)+IF(L1275&lt;=79.99,4,IF(L1275&lt;=99.99,16,IF(L1275&lt;=199.99,20,IF(L1275&lt;=499.99,26,28)))))-L1275*1.3%-L1275*6%-(L1275-O1275)*9.25%-L1275*3%-L1275*3%-1)</f>
        <v/>
      </c>
      <c r="Q1275" s="60" t="inlineStr">
        <is>
          <t> </t>
        </is>
      </c>
      <c r="R1275" s="60" t="inlineStr">
        <is>
          <t> </t>
        </is>
      </c>
      <c r="S1275" s="60" t="inlineStr">
        <is>
          <t> </t>
        </is>
      </c>
      <c r="T1275" s="60" t="inlineStr">
        <is>
          <t> </t>
        </is>
      </c>
      <c r="U1275" s="60" t="n">
        <v>101313</v>
      </c>
      <c r="V1275" t="inlineStr">
        <is>
          <t>SHORT-LUPO-M-ROSA</t>
        </is>
      </c>
      <c r="W1275" t="inlineStr">
        <is>
          <t>SKU idêntico na Olist · CUSTO ZERADO na Olist (conferido hoje)</t>
        </is>
      </c>
      <c r="Y1275" t="inlineStr">
        <is>
          <t>ok</t>
        </is>
      </c>
    </row>
    <row r="1276" ht="18" customHeight="1">
      <c r="A1276" s="54" t="inlineStr">
        <is>
          <t>Donacor</t>
        </is>
      </c>
      <c r="B1276" s="54" t="inlineStr">
        <is>
          <t>Short Attack Lupo Original Feminino Bermuda Para Corrida Academia Treino Fitness Malhação Ideal Verão Calor</t>
        </is>
      </c>
      <c r="C1276" s="54" t="inlineStr">
        <is>
          <t>Rosa,P</t>
        </is>
      </c>
      <c r="D1276" s="54" t="inlineStr">
        <is>
          <t>SHORT-LUPO-P-ROSA</t>
        </is>
      </c>
      <c r="E1276" s="54" t="n">
        <v>23494044629</v>
      </c>
      <c r="F1276" s="54" t="n">
        <v>270792273849</v>
      </c>
      <c r="G1276" s="54" t="inlineStr">
        <is>
          <t>NORMAL</t>
        </is>
      </c>
      <c r="H1276" s="86" t="n">
        <v>109.9</v>
      </c>
      <c r="I1276" s="86" t="n">
        <v>109.9</v>
      </c>
      <c r="J1276" s="69" t="inlineStr">
        <is>
          <t>NÃO</t>
        </is>
      </c>
      <c r="K1276" s="54" t="n"/>
      <c r="L1276" s="87" t="n">
        <v>109.9</v>
      </c>
      <c r="P1276" s="90">
        <f>IF($O1276="","",L1276-O1276-(L1276*IF(L1276&lt;=79.99,20%,14%)+IF(L1276&lt;=79.99,4,IF(L1276&lt;=99.99,16,IF(L1276&lt;=199.99,20,IF(L1276&lt;=499.99,26,28)))))-L1276*1.3%-L1276*6%-(L1276-O1276)*9.25%-L1276*3%-L1276*3%-1)</f>
        <v/>
      </c>
      <c r="Q1276" s="54">
        <f>IF(AND(K1276&lt;&gt;"",H1276&gt;0),(H1276-K1276)/H1276,"")</f>
        <v/>
      </c>
      <c r="R1276" s="54" t="n"/>
      <c r="S1276" s="54" t="n"/>
      <c r="T1276" s="54" t="n"/>
      <c r="U1276" s="54" t="n">
        <v>101313</v>
      </c>
      <c r="V1276" t="inlineStr">
        <is>
          <t>SHORT-LUPO-P-ROSA</t>
        </is>
      </c>
      <c r="W1276" t="inlineStr">
        <is>
          <t>SKU idêntico na Olist · CUSTO ZERADO na Olist (conferido hoje)</t>
        </is>
      </c>
      <c r="Y1276" t="inlineStr">
        <is>
          <t>ok</t>
        </is>
      </c>
    </row>
    <row r="1277" ht="18" customHeight="1">
      <c r="A1277" s="60" t="inlineStr">
        <is>
          <t>Donacor</t>
        </is>
      </c>
      <c r="B1277" s="60" t="inlineStr">
        <is>
          <t>Short Lsport Up Levanta Bumbum Lupo Original</t>
        </is>
      </c>
      <c r="C1277" s="60" t="inlineStr">
        <is>
          <t>Goiaba,G</t>
        </is>
      </c>
      <c r="D1277" s="60" t="inlineStr">
        <is>
          <t>SHORTS-LSPORT-GOIABA-G</t>
        </is>
      </c>
      <c r="E1277" s="60" t="n">
        <v>41920636894</v>
      </c>
      <c r="F1277" s="60" t="n">
        <v>390639699244</v>
      </c>
      <c r="G1277" s="60" t="inlineStr">
        <is>
          <t>NORMAL</t>
        </is>
      </c>
      <c r="H1277" s="91" t="n">
        <v>129.9</v>
      </c>
      <c r="I1277" s="91" t="n">
        <v>78.90000000000001</v>
      </c>
      <c r="J1277" s="65" t="inlineStr">
        <is>
          <t>SIM</t>
        </is>
      </c>
      <c r="K1277" s="91" t="n">
        <v>78.90000000000001</v>
      </c>
      <c r="L1277" s="87" t="n">
        <v>78.90000000000001</v>
      </c>
      <c r="M1277" s="88" t="n">
        <v>1</v>
      </c>
      <c r="N1277" s="89" t="n">
        <v>49.42</v>
      </c>
      <c r="O1277" s="89">
        <f>ROUND(M1277*N1277,2)</f>
        <v/>
      </c>
      <c r="P1277" s="92">
        <f>IF($O1277="","",L1277-O1277-(L1277*IF(L1277&lt;=79.99,20%,14%)+IF(L1277&lt;=79.99,4,IF(L1277&lt;=99.99,16,IF(L1277&lt;=199.99,20,IF(L1277&lt;=499.99,26,28)))))-L1277*1.3%-L1277*6%-(L1277-O1277)*9.25%-L1277*3%-L1277*3%-1)</f>
        <v/>
      </c>
      <c r="Q1277" s="67" t="n">
        <v>0.393</v>
      </c>
      <c r="R1277" s="60" t="inlineStr">
        <is>
          <t>484945860710786, 478840979931317</t>
        </is>
      </c>
      <c r="S1277" s="68" t="n">
        <v>46227.73958333334</v>
      </c>
      <c r="T1277" s="68" t="n">
        <v>46248.99930555555</v>
      </c>
      <c r="U1277" s="60" t="n">
        <v>101313</v>
      </c>
      <c r="V1277" t="inlineStr">
        <is>
          <t>215119</t>
        </is>
      </c>
      <c r="W1277" t="inlineStr">
        <is>
          <t>venda casada (3 pedidos)</t>
        </is>
      </c>
      <c r="X1277" t="n">
        <v>3</v>
      </c>
      <c r="Y1277" t="inlineStr">
        <is>
          <t>ok</t>
        </is>
      </c>
    </row>
    <row r="1278" ht="18" customHeight="1">
      <c r="A1278" s="54" t="inlineStr">
        <is>
          <t>Donacor</t>
        </is>
      </c>
      <c r="B1278" s="54" t="inlineStr">
        <is>
          <t>Short Lsport Up Levanta Bumbum Lupo Original</t>
        </is>
      </c>
      <c r="C1278" s="54" t="inlineStr">
        <is>
          <t>Goiaba,GG</t>
        </is>
      </c>
      <c r="D1278" s="54" t="inlineStr">
        <is>
          <t>SHORTS-LSPORT-GOIABA-GG</t>
        </is>
      </c>
      <c r="E1278" s="54" t="n">
        <v>41920636894</v>
      </c>
      <c r="F1278" s="54" t="n">
        <v>390639699245</v>
      </c>
      <c r="G1278" s="54" t="inlineStr">
        <is>
          <t>NORMAL</t>
        </is>
      </c>
      <c r="H1278" s="86" t="n">
        <v>129.9</v>
      </c>
      <c r="I1278" s="86" t="n">
        <v>78.90000000000001</v>
      </c>
      <c r="J1278" s="56" t="inlineStr">
        <is>
          <t>SIM</t>
        </is>
      </c>
      <c r="K1278" s="86" t="n">
        <v>78.90000000000001</v>
      </c>
      <c r="L1278" s="87" t="n">
        <v>78.90000000000001</v>
      </c>
      <c r="M1278" s="88" t="n">
        <v>1</v>
      </c>
      <c r="N1278" s="89" t="n">
        <v>49.42</v>
      </c>
      <c r="O1278" s="89">
        <f>ROUND(M1278*N1278,2)</f>
        <v/>
      </c>
      <c r="P1278" s="90">
        <f>IF($O1278="","",L1278-O1278-(L1278*IF(L1278&lt;=79.99,20%,14%)+IF(L1278&lt;=79.99,4,IF(L1278&lt;=99.99,16,IF(L1278&lt;=199.99,20,IF(L1278&lt;=499.99,26,28)))))-L1278*1.3%-L1278*6%-(L1278-O1278)*9.25%-L1278*3%-L1278*3%-1)</f>
        <v/>
      </c>
      <c r="Q1278" s="58" t="n">
        <v>0.393</v>
      </c>
      <c r="R1278" s="54" t="inlineStr">
        <is>
          <t>484945860710786, 478840979931317</t>
        </is>
      </c>
      <c r="S1278" s="59" t="n">
        <v>46227.73958333334</v>
      </c>
      <c r="T1278" s="59" t="n">
        <v>46248.99930555555</v>
      </c>
      <c r="U1278" s="54" t="n">
        <v>101313</v>
      </c>
      <c r="V1278" t="inlineStr">
        <is>
          <t>215120</t>
        </is>
      </c>
      <c r="W1278" t="inlineStr">
        <is>
          <t>venda casada (1 pedido)</t>
        </is>
      </c>
      <c r="X1278" t="n">
        <v>1</v>
      </c>
      <c r="Y1278" t="inlineStr">
        <is>
          <t>⚠ evidência fraca (1 pedido)</t>
        </is>
      </c>
    </row>
    <row r="1279" ht="18" customHeight="1">
      <c r="A1279" s="60" t="inlineStr">
        <is>
          <t>Donacor</t>
        </is>
      </c>
      <c r="B1279" s="60" t="inlineStr">
        <is>
          <t>Short Lsport Up Levanta Bumbum Lupo Original</t>
        </is>
      </c>
      <c r="C1279" s="60" t="inlineStr">
        <is>
          <t>Goiaba,M</t>
        </is>
      </c>
      <c r="D1279" s="60" t="inlineStr">
        <is>
          <t>SHORTS-LSPORT-GOIABA-M</t>
        </is>
      </c>
      <c r="E1279" s="60" t="n">
        <v>41920636894</v>
      </c>
      <c r="F1279" s="60" t="n">
        <v>390639699243</v>
      </c>
      <c r="G1279" s="60" t="inlineStr">
        <is>
          <t>NORMAL</t>
        </is>
      </c>
      <c r="H1279" s="91" t="n">
        <v>129.9</v>
      </c>
      <c r="I1279" s="91" t="n">
        <v>78.90000000000001</v>
      </c>
      <c r="J1279" s="65" t="inlineStr">
        <is>
          <t>SIM</t>
        </is>
      </c>
      <c r="K1279" s="91" t="n">
        <v>78.90000000000001</v>
      </c>
      <c r="L1279" s="87" t="n">
        <v>78.90000000000001</v>
      </c>
      <c r="M1279" s="88" t="n">
        <v>1</v>
      </c>
      <c r="N1279" s="89" t="n">
        <v>49.42</v>
      </c>
      <c r="O1279" s="89">
        <f>ROUND(M1279*N1279,2)</f>
        <v/>
      </c>
      <c r="P1279" s="92">
        <f>IF($O1279="","",L1279-O1279-(L1279*IF(L1279&lt;=79.99,20%,14%)+IF(L1279&lt;=79.99,4,IF(L1279&lt;=99.99,16,IF(L1279&lt;=199.99,20,IF(L1279&lt;=499.99,26,28)))))-L1279*1.3%-L1279*6%-(L1279-O1279)*9.25%-L1279*3%-L1279*3%-1)</f>
        <v/>
      </c>
      <c r="Q1279" s="67" t="n">
        <v>0.393</v>
      </c>
      <c r="R1279" s="60" t="inlineStr">
        <is>
          <t>478840979931317, 484945860710786</t>
        </is>
      </c>
      <c r="S1279" s="68" t="n">
        <v>46227.73958333334</v>
      </c>
      <c r="T1279" s="68" t="n">
        <v>46248.99930555555</v>
      </c>
      <c r="U1279" s="60" t="n">
        <v>101313</v>
      </c>
      <c r="V1279" t="inlineStr">
        <is>
          <t>215118</t>
        </is>
      </c>
      <c r="W1279" t="inlineStr">
        <is>
          <t>venda casada (10 pedidos)</t>
        </is>
      </c>
      <c r="X1279" t="n">
        <v>10</v>
      </c>
      <c r="Y1279" t="inlineStr">
        <is>
          <t>ok</t>
        </is>
      </c>
    </row>
    <row r="1280" ht="18" customHeight="1">
      <c r="A1280" s="54" t="inlineStr">
        <is>
          <t>Donacor</t>
        </is>
      </c>
      <c r="B1280" s="54" t="inlineStr">
        <is>
          <t>Short Lsport Up Levanta Bumbum Lupo Original</t>
        </is>
      </c>
      <c r="C1280" s="54" t="inlineStr">
        <is>
          <t>Goiaba,P</t>
        </is>
      </c>
      <c r="D1280" s="54" t="inlineStr">
        <is>
          <t>SHORTS-LSPORT-GOIABA-P</t>
        </is>
      </c>
      <c r="E1280" s="54" t="n">
        <v>41920636894</v>
      </c>
      <c r="F1280" s="54" t="n">
        <v>390639699242</v>
      </c>
      <c r="G1280" s="54" t="inlineStr">
        <is>
          <t>NORMAL</t>
        </is>
      </c>
      <c r="H1280" s="86" t="n">
        <v>129.9</v>
      </c>
      <c r="I1280" s="86" t="n">
        <v>78.90000000000001</v>
      </c>
      <c r="J1280" s="56" t="inlineStr">
        <is>
          <t>SIM</t>
        </is>
      </c>
      <c r="K1280" s="86" t="n">
        <v>78.90000000000001</v>
      </c>
      <c r="L1280" s="87" t="n">
        <v>78.90000000000001</v>
      </c>
      <c r="M1280" s="88" t="n">
        <v>1</v>
      </c>
      <c r="N1280" s="89" t="n">
        <v>49.42</v>
      </c>
      <c r="O1280" s="89">
        <f>ROUND(M1280*N1280,2)</f>
        <v/>
      </c>
      <c r="P1280" s="90">
        <f>IF($O1280="","",L1280-O1280-(L1280*IF(L1280&lt;=79.99,20%,14%)+IF(L1280&lt;=79.99,4,IF(L1280&lt;=99.99,16,IF(L1280&lt;=199.99,20,IF(L1280&lt;=499.99,26,28)))))-L1280*1.3%-L1280*6%-(L1280-O1280)*9.25%-L1280*3%-L1280*3%-1)</f>
        <v/>
      </c>
      <c r="Q1280" s="58" t="n">
        <v>0.393</v>
      </c>
      <c r="R1280" s="54" t="inlineStr">
        <is>
          <t>478840979931317, 484945860710786</t>
        </is>
      </c>
      <c r="S1280" s="59" t="n">
        <v>46227.73958333334</v>
      </c>
      <c r="T1280" s="59" t="n">
        <v>46248.99930555555</v>
      </c>
      <c r="U1280" s="54" t="n">
        <v>101313</v>
      </c>
      <c r="V1280" t="inlineStr">
        <is>
          <t>215117</t>
        </is>
      </c>
      <c r="W1280" t="inlineStr">
        <is>
          <t>venda casada (7 pedidos)</t>
        </is>
      </c>
      <c r="X1280" t="n">
        <v>7</v>
      </c>
      <c r="Y1280" t="inlineStr">
        <is>
          <t>ok</t>
        </is>
      </c>
    </row>
    <row r="1281" ht="18" customHeight="1">
      <c r="A1281" s="60" t="inlineStr">
        <is>
          <t>Donacor</t>
        </is>
      </c>
      <c r="B1281" s="60" t="inlineStr">
        <is>
          <t>Short Lsport Up Levanta Bumbum Lupo Original</t>
        </is>
      </c>
      <c r="C1281" s="60" t="inlineStr">
        <is>
          <t>Preto,G</t>
        </is>
      </c>
      <c r="D1281" s="60" t="inlineStr">
        <is>
          <t>SHORTS-LSPORT-PRETO-G</t>
        </is>
      </c>
      <c r="E1281" s="60" t="n">
        <v>41920636894</v>
      </c>
      <c r="F1281" s="60" t="n">
        <v>286686038095</v>
      </c>
      <c r="G1281" s="60" t="inlineStr">
        <is>
          <t>NORMAL</t>
        </is>
      </c>
      <c r="H1281" s="91" t="n">
        <v>129.9</v>
      </c>
      <c r="I1281" s="91" t="n">
        <v>78.90000000000001</v>
      </c>
      <c r="J1281" s="65" t="inlineStr">
        <is>
          <t>SIM</t>
        </is>
      </c>
      <c r="K1281" s="91" t="n">
        <v>78.90000000000001</v>
      </c>
      <c r="L1281" s="87" t="n">
        <v>78.90000000000001</v>
      </c>
      <c r="M1281" s="88" t="n">
        <v>1</v>
      </c>
      <c r="N1281" s="89" t="n">
        <v>49.42</v>
      </c>
      <c r="O1281" s="89">
        <f>ROUND(M1281*N1281,2)</f>
        <v/>
      </c>
      <c r="P1281" s="92">
        <f>IF($O1281="","",L1281-O1281-(L1281*IF(L1281&lt;=79.99,20%,14%)+IF(L1281&lt;=79.99,4,IF(L1281&lt;=99.99,16,IF(L1281&lt;=199.99,20,IF(L1281&lt;=499.99,26,28)))))-L1281*1.3%-L1281*6%-(L1281-O1281)*9.25%-L1281*3%-L1281*3%-1)</f>
        <v/>
      </c>
      <c r="Q1281" s="67" t="n">
        <v>0.393</v>
      </c>
      <c r="R1281" s="60" t="inlineStr">
        <is>
          <t>478840979931317, 484945860710786</t>
        </is>
      </c>
      <c r="S1281" s="68" t="n">
        <v>46227.73958333334</v>
      </c>
      <c r="T1281" s="68" t="n">
        <v>46248.99930555555</v>
      </c>
      <c r="U1281" s="60" t="n">
        <v>101313</v>
      </c>
      <c r="V1281" t="inlineStr">
        <is>
          <t>215115</t>
        </is>
      </c>
      <c r="W1281" t="inlineStr">
        <is>
          <t>venda casada (18 pedidos)</t>
        </is>
      </c>
      <c r="X1281" t="n">
        <v>18</v>
      </c>
      <c r="Y1281" t="inlineStr">
        <is>
          <t>ok</t>
        </is>
      </c>
    </row>
    <row r="1282" ht="18" customHeight="1">
      <c r="A1282" s="54" t="inlineStr">
        <is>
          <t>Donacor</t>
        </is>
      </c>
      <c r="B1282" s="54" t="inlineStr">
        <is>
          <t>Short Lsport Up Levanta Bumbum Lupo Original</t>
        </is>
      </c>
      <c r="C1282" s="54" t="inlineStr">
        <is>
          <t>Preto,GG</t>
        </is>
      </c>
      <c r="D1282" s="54" t="inlineStr">
        <is>
          <t>SHORTS-LSPORT-PRETO-GG</t>
        </is>
      </c>
      <c r="E1282" s="54" t="n">
        <v>41920636894</v>
      </c>
      <c r="F1282" s="54" t="n">
        <v>360554901163</v>
      </c>
      <c r="G1282" s="54" t="inlineStr">
        <is>
          <t>NORMAL</t>
        </is>
      </c>
      <c r="H1282" s="86" t="n">
        <v>129.9</v>
      </c>
      <c r="I1282" s="86" t="n">
        <v>78.90000000000001</v>
      </c>
      <c r="J1282" s="56" t="inlineStr">
        <is>
          <t>SIM</t>
        </is>
      </c>
      <c r="K1282" s="86" t="n">
        <v>78.90000000000001</v>
      </c>
      <c r="L1282" s="87" t="n">
        <v>78.90000000000001</v>
      </c>
      <c r="M1282" s="88" t="n">
        <v>1</v>
      </c>
      <c r="N1282" s="89" t="n">
        <v>49.42</v>
      </c>
      <c r="O1282" s="89">
        <f>ROUND(M1282*N1282,2)</f>
        <v/>
      </c>
      <c r="P1282" s="90">
        <f>IF($O1282="","",L1282-O1282-(L1282*IF(L1282&lt;=79.99,20%,14%)+IF(L1282&lt;=79.99,4,IF(L1282&lt;=99.99,16,IF(L1282&lt;=199.99,20,IF(L1282&lt;=499.99,26,28)))))-L1282*1.3%-L1282*6%-(L1282-O1282)*9.25%-L1282*3%-L1282*3%-1)</f>
        <v/>
      </c>
      <c r="Q1282" s="58" t="n">
        <v>0.393</v>
      </c>
      <c r="R1282" s="54" t="inlineStr">
        <is>
          <t>484945860710786, 478840979931317</t>
        </is>
      </c>
      <c r="S1282" s="59" t="n">
        <v>46227.73958333334</v>
      </c>
      <c r="T1282" s="59" t="n">
        <v>46248.99930555555</v>
      </c>
      <c r="U1282" s="54" t="n">
        <v>101313</v>
      </c>
      <c r="V1282" t="inlineStr">
        <is>
          <t>215116</t>
        </is>
      </c>
      <c r="W1282" t="inlineStr">
        <is>
          <t>venda casada (7 pedidos)</t>
        </is>
      </c>
      <c r="X1282" t="n">
        <v>7</v>
      </c>
      <c r="Y1282" t="inlineStr">
        <is>
          <t>ok</t>
        </is>
      </c>
    </row>
    <row r="1283" ht="18" customHeight="1">
      <c r="A1283" s="60" t="inlineStr">
        <is>
          <t>Donacor</t>
        </is>
      </c>
      <c r="B1283" s="60" t="inlineStr">
        <is>
          <t>Short Lsport Up Levanta Bumbum Lupo Original</t>
        </is>
      </c>
      <c r="C1283" s="60" t="inlineStr">
        <is>
          <t>Preto,M</t>
        </is>
      </c>
      <c r="D1283" s="60" t="inlineStr">
        <is>
          <t>SHORTS-LSPORT-PRETO-M</t>
        </is>
      </c>
      <c r="E1283" s="60" t="n">
        <v>41920636894</v>
      </c>
      <c r="F1283" s="60" t="n">
        <v>286686038094</v>
      </c>
      <c r="G1283" s="60" t="inlineStr">
        <is>
          <t>NORMAL</t>
        </is>
      </c>
      <c r="H1283" s="91" t="n">
        <v>129.9</v>
      </c>
      <c r="I1283" s="91" t="n">
        <v>78.90000000000001</v>
      </c>
      <c r="J1283" s="65" t="inlineStr">
        <is>
          <t>SIM</t>
        </is>
      </c>
      <c r="K1283" s="91" t="n">
        <v>78.90000000000001</v>
      </c>
      <c r="L1283" s="87" t="n">
        <v>78.90000000000001</v>
      </c>
      <c r="M1283" s="88" t="n">
        <v>1</v>
      </c>
      <c r="N1283" s="89" t="n">
        <v>49.42</v>
      </c>
      <c r="O1283" s="89">
        <f>ROUND(M1283*N1283,2)</f>
        <v/>
      </c>
      <c r="P1283" s="92">
        <f>IF($O1283="","",L1283-O1283-(L1283*IF(L1283&lt;=79.99,20%,14%)+IF(L1283&lt;=79.99,4,IF(L1283&lt;=99.99,16,IF(L1283&lt;=199.99,20,IF(L1283&lt;=499.99,26,28)))))-L1283*1.3%-L1283*6%-(L1283-O1283)*9.25%-L1283*3%-L1283*3%-1)</f>
        <v/>
      </c>
      <c r="Q1283" s="67" t="n">
        <v>0.393</v>
      </c>
      <c r="R1283" s="60" t="inlineStr">
        <is>
          <t>478840979931317, 484945860710786</t>
        </is>
      </c>
      <c r="S1283" s="68" t="n">
        <v>46227.73958333334</v>
      </c>
      <c r="T1283" s="68" t="n">
        <v>46248.99930555555</v>
      </c>
      <c r="U1283" s="60" t="n">
        <v>101313</v>
      </c>
      <c r="V1283" t="inlineStr">
        <is>
          <t>215114</t>
        </is>
      </c>
      <c r="W1283" t="inlineStr">
        <is>
          <t>venda casada (29 pedidos)</t>
        </is>
      </c>
      <c r="X1283" t="n">
        <v>29</v>
      </c>
      <c r="Y1283" t="inlineStr">
        <is>
          <t>ok</t>
        </is>
      </c>
    </row>
    <row r="1284" ht="18" customHeight="1">
      <c r="A1284" s="54" t="inlineStr">
        <is>
          <t>Donacor</t>
        </is>
      </c>
      <c r="B1284" s="54" t="inlineStr">
        <is>
          <t>Short Lsport Up Levanta Bumbum Lupo Original</t>
        </is>
      </c>
      <c r="C1284" s="54" t="inlineStr">
        <is>
          <t>Preto,P</t>
        </is>
      </c>
      <c r="D1284" s="54" t="inlineStr">
        <is>
          <t>SHORTS-LSPORT-PRETO-P</t>
        </is>
      </c>
      <c r="E1284" s="54" t="n">
        <v>41920636894</v>
      </c>
      <c r="F1284" s="54" t="n">
        <v>286686038093</v>
      </c>
      <c r="G1284" s="54" t="inlineStr">
        <is>
          <t>NORMAL</t>
        </is>
      </c>
      <c r="H1284" s="86" t="n">
        <v>129.9</v>
      </c>
      <c r="I1284" s="86" t="n">
        <v>78.90000000000001</v>
      </c>
      <c r="J1284" s="56" t="inlineStr">
        <is>
          <t>SIM</t>
        </is>
      </c>
      <c r="K1284" s="86" t="n">
        <v>78.90000000000001</v>
      </c>
      <c r="L1284" s="87" t="n">
        <v>78.90000000000001</v>
      </c>
      <c r="M1284" s="88" t="n">
        <v>1</v>
      </c>
      <c r="N1284" s="89" t="n">
        <v>49.42</v>
      </c>
      <c r="O1284" s="89">
        <f>ROUND(M1284*N1284,2)</f>
        <v/>
      </c>
      <c r="P1284" s="90">
        <f>IF($O1284="","",L1284-O1284-(L1284*IF(L1284&lt;=79.99,20%,14%)+IF(L1284&lt;=79.99,4,IF(L1284&lt;=99.99,16,IF(L1284&lt;=199.99,20,IF(L1284&lt;=499.99,26,28)))))-L1284*1.3%-L1284*6%-(L1284-O1284)*9.25%-L1284*3%-L1284*3%-1)</f>
        <v/>
      </c>
      <c r="Q1284" s="58" t="n">
        <v>0.393</v>
      </c>
      <c r="R1284" s="54" t="inlineStr">
        <is>
          <t>478840979931317, 484945860710786</t>
        </is>
      </c>
      <c r="S1284" s="59" t="n">
        <v>46227.73958333334</v>
      </c>
      <c r="T1284" s="59" t="n">
        <v>46248.99930555555</v>
      </c>
      <c r="U1284" s="54" t="n">
        <v>101313</v>
      </c>
      <c r="V1284" t="inlineStr">
        <is>
          <t>215113</t>
        </is>
      </c>
      <c r="W1284" t="inlineStr">
        <is>
          <t>venda casada (26 pedidos)</t>
        </is>
      </c>
      <c r="X1284" t="n">
        <v>26</v>
      </c>
      <c r="Y1284" t="inlineStr">
        <is>
          <t>ok</t>
        </is>
      </c>
    </row>
    <row r="1285" ht="18" customHeight="1">
      <c r="A1285" s="60" t="inlineStr">
        <is>
          <t>Donacor</t>
        </is>
      </c>
      <c r="B1285" s="60" t="inlineStr">
        <is>
          <t>Short Lsport Up Levanta Bumbum Lupo Original</t>
        </is>
      </c>
      <c r="C1285" s="60" t="inlineStr">
        <is>
          <t>Purple,G</t>
        </is>
      </c>
      <c r="D1285" s="60" t="inlineStr">
        <is>
          <t>SHORTS-LSPORT-PURPLE-G</t>
        </is>
      </c>
      <c r="E1285" s="60" t="n">
        <v>41920636894</v>
      </c>
      <c r="F1285" s="60" t="n">
        <v>360554901166</v>
      </c>
      <c r="G1285" s="60" t="inlineStr">
        <is>
          <t>NORMAL</t>
        </is>
      </c>
      <c r="H1285" s="91" t="n">
        <v>129.9</v>
      </c>
      <c r="I1285" s="91" t="n">
        <v>78.90000000000001</v>
      </c>
      <c r="J1285" s="65" t="inlineStr">
        <is>
          <t>SIM</t>
        </is>
      </c>
      <c r="K1285" s="91" t="n">
        <v>78.90000000000001</v>
      </c>
      <c r="L1285" s="87" t="n">
        <v>78.90000000000001</v>
      </c>
      <c r="M1285" s="88" t="n">
        <v>1</v>
      </c>
      <c r="N1285" s="89" t="n">
        <v>49.42</v>
      </c>
      <c r="O1285" s="89">
        <f>ROUND(M1285*N1285,2)</f>
        <v/>
      </c>
      <c r="P1285" s="92">
        <f>IF($O1285="","",L1285-O1285-(L1285*IF(L1285&lt;=79.99,20%,14%)+IF(L1285&lt;=79.99,4,IF(L1285&lt;=99.99,16,IF(L1285&lt;=199.99,20,IF(L1285&lt;=499.99,26,28)))))-L1285*1.3%-L1285*6%-(L1285-O1285)*9.25%-L1285*3%-L1285*3%-1)</f>
        <v/>
      </c>
      <c r="Q1285" s="67" t="n">
        <v>0.393</v>
      </c>
      <c r="R1285" s="60" t="inlineStr">
        <is>
          <t>478840979931317, 484945860710786</t>
        </is>
      </c>
      <c r="S1285" s="68" t="n">
        <v>46227.73958333334</v>
      </c>
      <c r="T1285" s="68" t="n">
        <v>46248.99930555555</v>
      </c>
      <c r="U1285" s="60" t="n">
        <v>101313</v>
      </c>
      <c r="V1285" t="inlineStr">
        <is>
          <t>215209</t>
        </is>
      </c>
      <c r="W1285" t="inlineStr">
        <is>
          <t>venda casada (7 pedidos)</t>
        </is>
      </c>
      <c r="X1285" t="n">
        <v>7</v>
      </c>
      <c r="Y1285" t="inlineStr">
        <is>
          <t>ok</t>
        </is>
      </c>
    </row>
    <row r="1286" ht="18" customHeight="1">
      <c r="A1286" s="54" t="inlineStr">
        <is>
          <t>Donacor</t>
        </is>
      </c>
      <c r="B1286" s="54" t="inlineStr">
        <is>
          <t>Short Lsport Up Levanta Bumbum Lupo Original</t>
        </is>
      </c>
      <c r="C1286" s="54" t="inlineStr">
        <is>
          <t>Purple,GG</t>
        </is>
      </c>
      <c r="D1286" s="54" t="inlineStr">
        <is>
          <t>SHORTS-LSPORT-PURPLE-GG</t>
        </is>
      </c>
      <c r="E1286" s="54" t="n">
        <v>41920636894</v>
      </c>
      <c r="F1286" s="54" t="n">
        <v>360554901167</v>
      </c>
      <c r="G1286" s="54" t="inlineStr">
        <is>
          <t>NORMAL</t>
        </is>
      </c>
      <c r="H1286" s="86" t="n">
        <v>129.9</v>
      </c>
      <c r="I1286" s="86" t="n">
        <v>129.9</v>
      </c>
      <c r="J1286" s="69" t="inlineStr">
        <is>
          <t>NÃO</t>
        </is>
      </c>
      <c r="K1286" s="54" t="n"/>
      <c r="L1286" s="87" t="n">
        <v>129.9</v>
      </c>
      <c r="M1286" s="88" t="n">
        <v>1</v>
      </c>
      <c r="N1286" s="89" t="n">
        <v>49.42</v>
      </c>
      <c r="O1286" s="89">
        <f>ROUND(M1286*N1286,2)</f>
        <v/>
      </c>
      <c r="P1286" s="90">
        <f>IF($O1286="","",L1286-O1286-(L1286*IF(L1286&lt;=79.99,20%,14%)+IF(L1286&lt;=79.99,4,IF(L1286&lt;=99.99,16,IF(L1286&lt;=199.99,20,IF(L1286&lt;=499.99,26,28)))))-L1286*1.3%-L1286*6%-(L1286-O1286)*9.25%-L1286*3%-L1286*3%-1)</f>
        <v/>
      </c>
      <c r="Q1286" s="54">
        <f>IF(AND(K1286&lt;&gt;"",H1286&gt;0),(H1286-K1286)/H1286,"")</f>
        <v/>
      </c>
      <c r="R1286" s="54" t="n"/>
      <c r="S1286" s="54" t="n"/>
      <c r="T1286" s="54" t="n"/>
      <c r="U1286" s="54" t="n">
        <v>101313</v>
      </c>
      <c r="V1286" t="inlineStr">
        <is>
          <t>215210</t>
        </is>
      </c>
      <c r="W1286" t="inlineStr">
        <is>
          <t>venda casada (2 pedidos)</t>
        </is>
      </c>
      <c r="X1286" t="n">
        <v>2</v>
      </c>
      <c r="Y1286" t="inlineStr">
        <is>
          <t>ok</t>
        </is>
      </c>
    </row>
    <row r="1287" ht="18" customHeight="1">
      <c r="A1287" s="60" t="inlineStr">
        <is>
          <t>Donacor</t>
        </is>
      </c>
      <c r="B1287" s="60" t="inlineStr">
        <is>
          <t>Short Lsport Up Levanta Bumbum Lupo Original</t>
        </is>
      </c>
      <c r="C1287" s="60" t="inlineStr">
        <is>
          <t>Purple,M</t>
        </is>
      </c>
      <c r="D1287" s="60" t="inlineStr">
        <is>
          <t>SHORTS-LSPORT-PURPLE-M</t>
        </is>
      </c>
      <c r="E1287" s="60" t="n">
        <v>41920636894</v>
      </c>
      <c r="F1287" s="60" t="n">
        <v>360554901165</v>
      </c>
      <c r="G1287" s="60" t="inlineStr">
        <is>
          <t>NORMAL</t>
        </is>
      </c>
      <c r="H1287" s="91" t="n">
        <v>129.9</v>
      </c>
      <c r="I1287" s="91" t="n">
        <v>78.90000000000001</v>
      </c>
      <c r="J1287" s="65" t="inlineStr">
        <is>
          <t>SIM</t>
        </is>
      </c>
      <c r="K1287" s="91" t="n">
        <v>78.90000000000001</v>
      </c>
      <c r="L1287" s="87" t="n">
        <v>78.90000000000001</v>
      </c>
      <c r="M1287" s="88" t="n">
        <v>1</v>
      </c>
      <c r="N1287" s="89" t="n">
        <v>49.42</v>
      </c>
      <c r="O1287" s="89">
        <f>ROUND(M1287*N1287,2)</f>
        <v/>
      </c>
      <c r="P1287" s="92">
        <f>IF($O1287="","",L1287-O1287-(L1287*IF(L1287&lt;=79.99,20%,14%)+IF(L1287&lt;=79.99,4,IF(L1287&lt;=99.99,16,IF(L1287&lt;=199.99,20,IF(L1287&lt;=499.99,26,28)))))-L1287*1.3%-L1287*6%-(L1287-O1287)*9.25%-L1287*3%-L1287*3%-1)</f>
        <v/>
      </c>
      <c r="Q1287" s="67" t="n">
        <v>0.393</v>
      </c>
      <c r="R1287" s="60" t="inlineStr">
        <is>
          <t>478840979931317, 484945860710786</t>
        </is>
      </c>
      <c r="S1287" s="68" t="n">
        <v>46227.73958333334</v>
      </c>
      <c r="T1287" s="68" t="n">
        <v>46248.99930555555</v>
      </c>
      <c r="U1287" s="60" t="n">
        <v>101313</v>
      </c>
      <c r="V1287" t="inlineStr">
        <is>
          <t>215208</t>
        </is>
      </c>
      <c r="W1287" t="inlineStr">
        <is>
          <t>venda casada (14 pedidos)</t>
        </is>
      </c>
      <c r="X1287" t="n">
        <v>14</v>
      </c>
      <c r="Y1287" t="inlineStr">
        <is>
          <t>ok</t>
        </is>
      </c>
    </row>
    <row r="1288" ht="18" customHeight="1">
      <c r="A1288" s="54" t="inlineStr">
        <is>
          <t>Donacor</t>
        </is>
      </c>
      <c r="B1288" s="54" t="inlineStr">
        <is>
          <t>Short Lsport Up Levanta Bumbum Lupo Original</t>
        </is>
      </c>
      <c r="C1288" s="54" t="inlineStr">
        <is>
          <t>Purple,P</t>
        </is>
      </c>
      <c r="D1288" s="54" t="inlineStr">
        <is>
          <t>SHORTS-LSPORT-PURPLE-P</t>
        </is>
      </c>
      <c r="E1288" s="54" t="n">
        <v>41920636894</v>
      </c>
      <c r="F1288" s="54" t="n">
        <v>360554901164</v>
      </c>
      <c r="G1288" s="54" t="inlineStr">
        <is>
          <t>NORMAL</t>
        </is>
      </c>
      <c r="H1288" s="86" t="n">
        <v>129.9</v>
      </c>
      <c r="I1288" s="86" t="n">
        <v>78.90000000000001</v>
      </c>
      <c r="J1288" s="56" t="inlineStr">
        <is>
          <t>SIM</t>
        </is>
      </c>
      <c r="K1288" s="86" t="n">
        <v>78.90000000000001</v>
      </c>
      <c r="L1288" s="87" t="n">
        <v>78.90000000000001</v>
      </c>
      <c r="M1288" s="88" t="n">
        <v>1</v>
      </c>
      <c r="N1288" s="89" t="n">
        <v>49.42</v>
      </c>
      <c r="O1288" s="89">
        <f>ROUND(M1288*N1288,2)</f>
        <v/>
      </c>
      <c r="P1288" s="90">
        <f>IF($O1288="","",L1288-O1288-(L1288*IF(L1288&lt;=79.99,20%,14%)+IF(L1288&lt;=79.99,4,IF(L1288&lt;=99.99,16,IF(L1288&lt;=199.99,20,IF(L1288&lt;=499.99,26,28)))))-L1288*1.3%-L1288*6%-(L1288-O1288)*9.25%-L1288*3%-L1288*3%-1)</f>
        <v/>
      </c>
      <c r="Q1288" s="58" t="n">
        <v>0.393</v>
      </c>
      <c r="R1288" s="54" t="inlineStr">
        <is>
          <t>478840979931317, 484945860710786</t>
        </is>
      </c>
      <c r="S1288" s="59" t="n">
        <v>46227.73958333334</v>
      </c>
      <c r="T1288" s="59" t="n">
        <v>46248.99930555555</v>
      </c>
      <c r="U1288" s="54" t="n">
        <v>101313</v>
      </c>
      <c r="V1288" t="inlineStr">
        <is>
          <t>215207</t>
        </is>
      </c>
      <c r="W1288" t="inlineStr">
        <is>
          <t>venda casada (5 pedidos)</t>
        </is>
      </c>
      <c r="X1288" t="n">
        <v>5</v>
      </c>
      <c r="Y1288" t="inlineStr">
        <is>
          <t>ok</t>
        </is>
      </c>
    </row>
    <row r="1289" ht="18" customHeight="1">
      <c r="A1289" s="60" t="inlineStr">
        <is>
          <t>Donacor</t>
        </is>
      </c>
      <c r="B1289" s="60" t="inlineStr">
        <is>
          <t>Short Lsport Up Levanta Bumbum Lupo Original</t>
        </is>
      </c>
      <c r="C1289" s="60" t="inlineStr">
        <is>
          <t>Verde,G</t>
        </is>
      </c>
      <c r="D1289" s="60" t="inlineStr">
        <is>
          <t>SHORTS-LSPORT-VERDE-G</t>
        </is>
      </c>
      <c r="E1289" s="60" t="n">
        <v>41920636894</v>
      </c>
      <c r="F1289" s="60" t="n">
        <v>440639697965</v>
      </c>
      <c r="G1289" s="60" t="inlineStr">
        <is>
          <t>NORMAL</t>
        </is>
      </c>
      <c r="H1289" s="91" t="n">
        <v>129.9</v>
      </c>
      <c r="I1289" s="91" t="n">
        <v>78.90000000000001</v>
      </c>
      <c r="J1289" s="65" t="inlineStr">
        <is>
          <t>SIM</t>
        </is>
      </c>
      <c r="K1289" s="91" t="n">
        <v>78.90000000000001</v>
      </c>
      <c r="L1289" s="87" t="n">
        <v>78.90000000000001</v>
      </c>
      <c r="M1289" s="88" t="n">
        <v>1</v>
      </c>
      <c r="N1289" s="89" t="n">
        <v>49.42</v>
      </c>
      <c r="O1289" s="89">
        <f>ROUND(M1289*N1289,2)</f>
        <v/>
      </c>
      <c r="P1289" s="92">
        <f>IF($O1289="","",L1289-O1289-(L1289*IF(L1289&lt;=79.99,20%,14%)+IF(L1289&lt;=79.99,4,IF(L1289&lt;=99.99,16,IF(L1289&lt;=199.99,20,IF(L1289&lt;=499.99,26,28)))))-L1289*1.3%-L1289*6%-(L1289-O1289)*9.25%-L1289*3%-L1289*3%-1)</f>
        <v/>
      </c>
      <c r="Q1289" s="67" t="n">
        <v>0.393</v>
      </c>
      <c r="R1289" s="60" t="inlineStr">
        <is>
          <t>478840979931317, 484945860710786</t>
        </is>
      </c>
      <c r="S1289" s="68" t="n">
        <v>46227.73958333334</v>
      </c>
      <c r="T1289" s="68" t="n">
        <v>46248.99930555555</v>
      </c>
      <c r="U1289" s="60" t="n">
        <v>101313</v>
      </c>
      <c r="V1289" t="inlineStr">
        <is>
          <t>215123</t>
        </is>
      </c>
      <c r="W1289" t="inlineStr">
        <is>
          <t>venda casada (2 pedidos)</t>
        </is>
      </c>
      <c r="X1289" t="n">
        <v>2</v>
      </c>
      <c r="Y1289" t="inlineStr">
        <is>
          <t>ok</t>
        </is>
      </c>
    </row>
    <row r="1290" ht="18" customHeight="1">
      <c r="A1290" s="54" t="inlineStr">
        <is>
          <t>Donacor</t>
        </is>
      </c>
      <c r="B1290" s="54" t="inlineStr">
        <is>
          <t>Short Lsport Up Levanta Bumbum Lupo Original</t>
        </is>
      </c>
      <c r="C1290" s="54" t="inlineStr">
        <is>
          <t>Verde,GG</t>
        </is>
      </c>
      <c r="D1290" s="54" t="inlineStr">
        <is>
          <t>SHORTS-LSPORT-VERDE-GG</t>
        </is>
      </c>
      <c r="E1290" s="54" t="n">
        <v>41920636894</v>
      </c>
      <c r="F1290" s="54" t="n">
        <v>440639697966</v>
      </c>
      <c r="G1290" s="54" t="inlineStr">
        <is>
          <t>NORMAL</t>
        </is>
      </c>
      <c r="H1290" s="86" t="n">
        <v>129.9</v>
      </c>
      <c r="I1290" s="86" t="n">
        <v>78.90000000000001</v>
      </c>
      <c r="J1290" s="56" t="inlineStr">
        <is>
          <t>SIM</t>
        </is>
      </c>
      <c r="K1290" s="86" t="n">
        <v>78.90000000000001</v>
      </c>
      <c r="L1290" s="87" t="n">
        <v>78.90000000000001</v>
      </c>
      <c r="P1290" s="90">
        <f>IF($O1290="","",L1290-O1290-(L1290*IF(L1290&lt;=79.99,20%,14%)+IF(L1290&lt;=79.99,4,IF(L1290&lt;=99.99,16,IF(L1290&lt;=199.99,20,IF(L1290&lt;=499.99,26,28)))))-L1290*1.3%-L1290*6%-(L1290-O1290)*9.25%-L1290*3%-L1290*3%-1)</f>
        <v/>
      </c>
      <c r="Q1290" s="58" t="n">
        <v>0.393</v>
      </c>
      <c r="R1290" s="54" t="inlineStr">
        <is>
          <t>478840979931317, 484945860710786</t>
        </is>
      </c>
      <c r="S1290" s="59" t="n">
        <v>46227.73958333334</v>
      </c>
      <c r="T1290" s="59" t="n">
        <v>46248.99930555555</v>
      </c>
      <c r="U1290" s="54" t="n">
        <v>101313</v>
      </c>
      <c r="W1290" t="inlineStr">
        <is>
          <t>sem correspondência</t>
        </is>
      </c>
      <c r="Y1290" t="inlineStr"/>
    </row>
    <row r="1291" ht="18" customHeight="1">
      <c r="A1291" s="60" t="inlineStr">
        <is>
          <t>Donacor</t>
        </is>
      </c>
      <c r="B1291" s="60" t="inlineStr">
        <is>
          <t>Short Lsport Up Levanta Bumbum Lupo Original</t>
        </is>
      </c>
      <c r="C1291" s="60" t="inlineStr">
        <is>
          <t>Verde,M</t>
        </is>
      </c>
      <c r="D1291" s="60" t="inlineStr">
        <is>
          <t>SHORTS-LSPORT-VERDE-M</t>
        </is>
      </c>
      <c r="E1291" s="60" t="n">
        <v>41920636894</v>
      </c>
      <c r="F1291" s="60" t="n">
        <v>440639697964</v>
      </c>
      <c r="G1291" s="60" t="inlineStr">
        <is>
          <t>NORMAL</t>
        </is>
      </c>
      <c r="H1291" s="91" t="n">
        <v>129.9</v>
      </c>
      <c r="I1291" s="91" t="n">
        <v>78.90000000000001</v>
      </c>
      <c r="J1291" s="65" t="inlineStr">
        <is>
          <t>SIM</t>
        </is>
      </c>
      <c r="K1291" s="91" t="n">
        <v>78.90000000000001</v>
      </c>
      <c r="L1291" s="87" t="n">
        <v>78.90000000000001</v>
      </c>
      <c r="M1291" s="88" t="n">
        <v>1</v>
      </c>
      <c r="N1291" s="89" t="n">
        <v>49.42</v>
      </c>
      <c r="O1291" s="89">
        <f>ROUND(M1291*N1291,2)</f>
        <v/>
      </c>
      <c r="P1291" s="92">
        <f>IF($O1291="","",L1291-O1291-(L1291*IF(L1291&lt;=79.99,20%,14%)+IF(L1291&lt;=79.99,4,IF(L1291&lt;=99.99,16,IF(L1291&lt;=199.99,20,IF(L1291&lt;=499.99,26,28)))))-L1291*1.3%-L1291*6%-(L1291-O1291)*9.25%-L1291*3%-L1291*3%-1)</f>
        <v/>
      </c>
      <c r="Q1291" s="67" t="n">
        <v>0.393</v>
      </c>
      <c r="R1291" s="60" t="n">
        <v>484945860710786</v>
      </c>
      <c r="S1291" s="68" t="n">
        <v>46227.73958333334</v>
      </c>
      <c r="T1291" s="68" t="n">
        <v>46405.45833333334</v>
      </c>
      <c r="U1291" s="60" t="n">
        <v>101313</v>
      </c>
      <c r="V1291" t="inlineStr">
        <is>
          <t>215122</t>
        </is>
      </c>
      <c r="W1291" t="inlineStr">
        <is>
          <t>venda casada (3 pedidos)</t>
        </is>
      </c>
      <c r="X1291" t="n">
        <v>3</v>
      </c>
      <c r="Y1291" t="inlineStr">
        <is>
          <t>ok</t>
        </is>
      </c>
    </row>
    <row r="1292" ht="18" customHeight="1">
      <c r="A1292" s="54" t="inlineStr">
        <is>
          <t>Donacor</t>
        </is>
      </c>
      <c r="B1292" s="54" t="inlineStr">
        <is>
          <t>Short Lsport Up Levanta Bumbum Lupo Original</t>
        </is>
      </c>
      <c r="C1292" s="54" t="inlineStr">
        <is>
          <t>Verde,P</t>
        </is>
      </c>
      <c r="D1292" s="54" t="inlineStr">
        <is>
          <t>SHORTS-LSPORT-VERDE-P</t>
        </is>
      </c>
      <c r="E1292" s="54" t="n">
        <v>41920636894</v>
      </c>
      <c r="F1292" s="54" t="n">
        <v>440639697963</v>
      </c>
      <c r="G1292" s="54" t="inlineStr">
        <is>
          <t>NORMAL</t>
        </is>
      </c>
      <c r="H1292" s="86" t="n">
        <v>129.9</v>
      </c>
      <c r="I1292" s="86" t="n">
        <v>129.9</v>
      </c>
      <c r="J1292" s="69" t="inlineStr">
        <is>
          <t>NÃO</t>
        </is>
      </c>
      <c r="K1292" s="54" t="n"/>
      <c r="L1292" s="87" t="n">
        <v>129.9</v>
      </c>
      <c r="M1292" s="88" t="n">
        <v>1</v>
      </c>
      <c r="N1292" s="89" t="n">
        <v>49.42</v>
      </c>
      <c r="O1292" s="89">
        <f>ROUND(M1292*N1292,2)</f>
        <v/>
      </c>
      <c r="P1292" s="90">
        <f>IF($O1292="","",L1292-O1292-(L1292*IF(L1292&lt;=79.99,20%,14%)+IF(L1292&lt;=79.99,4,IF(L1292&lt;=99.99,16,IF(L1292&lt;=199.99,20,IF(L1292&lt;=499.99,26,28)))))-L1292*1.3%-L1292*6%-(L1292-O1292)*9.25%-L1292*3%-L1292*3%-1)</f>
        <v/>
      </c>
      <c r="Q1292" s="54">
        <f>IF(AND(K1292&lt;&gt;"",H1292&gt;0),(H1292-K1292)/H1292,"")</f>
        <v/>
      </c>
      <c r="R1292" s="54" t="n"/>
      <c r="S1292" s="54" t="n"/>
      <c r="T1292" s="54" t="n"/>
      <c r="U1292" s="54" t="n">
        <v>101313</v>
      </c>
      <c r="V1292" t="inlineStr">
        <is>
          <t>215121</t>
        </is>
      </c>
      <c r="W1292" t="inlineStr">
        <is>
          <t>venda casada (3 pedidos)</t>
        </is>
      </c>
      <c r="X1292" t="n">
        <v>3</v>
      </c>
      <c r="Y1292" t="inlineStr">
        <is>
          <t>ok</t>
        </is>
      </c>
    </row>
    <row r="1293" ht="18" customHeight="1">
      <c r="A1293" s="60" t="inlineStr">
        <is>
          <t>Donacor</t>
        </is>
      </c>
      <c r="B1293" s="60" t="inlineStr">
        <is>
          <t>Shorts Legging Feminino Academia Sem Costura Original Lupo</t>
        </is>
      </c>
      <c r="C1293" s="60" t="inlineStr">
        <is>
          <t>Preto,G</t>
        </is>
      </c>
      <c r="D1293" s="60" t="inlineStr">
        <is>
          <t>71348-001-G</t>
        </is>
      </c>
      <c r="E1293" s="60" t="n">
        <v>23097543633</v>
      </c>
      <c r="F1293" s="60" t="n">
        <v>159777423274</v>
      </c>
      <c r="G1293" s="60" t="inlineStr">
        <is>
          <t>NORMAL</t>
        </is>
      </c>
      <c r="H1293" s="91" t="n">
        <v>109.9</v>
      </c>
      <c r="I1293" s="91" t="n">
        <v>109.9</v>
      </c>
      <c r="J1293" s="62" t="inlineStr">
        <is>
          <t>NÃO</t>
        </is>
      </c>
      <c r="K1293" s="60" t="inlineStr">
        <is>
          <t> </t>
        </is>
      </c>
      <c r="L1293" s="87" t="n">
        <v>109.9</v>
      </c>
      <c r="P1293" s="92">
        <f>IF($O1293="","",L1293-O1293-(L1293*IF(L1293&lt;=79.99,20%,14%)+IF(L1293&lt;=79.99,4,IF(L1293&lt;=99.99,16,IF(L1293&lt;=199.99,20,IF(L1293&lt;=499.99,26,28)))))-L1293*1.3%-L1293*6%-(L1293-O1293)*9.25%-L1293*3%-L1293*3%-1)</f>
        <v/>
      </c>
      <c r="Q1293" s="60" t="inlineStr">
        <is>
          <t> </t>
        </is>
      </c>
      <c r="R1293" s="60" t="inlineStr">
        <is>
          <t> </t>
        </is>
      </c>
      <c r="S1293" s="60" t="inlineStr">
        <is>
          <t> </t>
        </is>
      </c>
      <c r="T1293" s="60" t="inlineStr">
        <is>
          <t> </t>
        </is>
      </c>
      <c r="U1293" s="60" t="n">
        <v>100357</v>
      </c>
      <c r="W1293" t="inlineStr">
        <is>
          <t>sem correspondência</t>
        </is>
      </c>
      <c r="Y1293" t="inlineStr"/>
    </row>
    <row r="1294" ht="18" customHeight="1">
      <c r="A1294" s="54" t="inlineStr">
        <is>
          <t>Donacor</t>
        </is>
      </c>
      <c r="B1294" s="54" t="inlineStr">
        <is>
          <t>Shorts Legging Feminino Academia Sem Costura Original Lupo</t>
        </is>
      </c>
      <c r="C1294" s="54" t="inlineStr">
        <is>
          <t>Preto,M</t>
        </is>
      </c>
      <c r="D1294" s="54" t="inlineStr">
        <is>
          <t>71348-001-M</t>
        </is>
      </c>
      <c r="E1294" s="54" t="n">
        <v>23097543633</v>
      </c>
      <c r="F1294" s="54" t="n">
        <v>159777423273</v>
      </c>
      <c r="G1294" s="54" t="inlineStr">
        <is>
          <t>NORMAL</t>
        </is>
      </c>
      <c r="H1294" s="86" t="n">
        <v>109.9</v>
      </c>
      <c r="I1294" s="86" t="n">
        <v>109.9</v>
      </c>
      <c r="J1294" s="69" t="inlineStr">
        <is>
          <t>NÃO</t>
        </is>
      </c>
      <c r="K1294" s="54" t="n"/>
      <c r="L1294" s="87" t="n">
        <v>109.9</v>
      </c>
      <c r="P1294" s="90">
        <f>IF($O1294="","",L1294-O1294-(L1294*IF(L1294&lt;=79.99,20%,14%)+IF(L1294&lt;=79.99,4,IF(L1294&lt;=99.99,16,IF(L1294&lt;=199.99,20,IF(L1294&lt;=499.99,26,28)))))-L1294*1.3%-L1294*6%-(L1294-O1294)*9.25%-L1294*3%-L1294*3%-1)</f>
        <v/>
      </c>
      <c r="Q1294" s="54">
        <f>IF(AND(K1294&lt;&gt;"",H1294&gt;0),(H1294-K1294)/H1294,"")</f>
        <v/>
      </c>
      <c r="R1294" s="54" t="n"/>
      <c r="S1294" s="54" t="n"/>
      <c r="T1294" s="54" t="n"/>
      <c r="U1294" s="54" t="n">
        <v>100357</v>
      </c>
      <c r="W1294" t="inlineStr">
        <is>
          <t>sem correspondência</t>
        </is>
      </c>
      <c r="Y1294" t="inlineStr"/>
    </row>
    <row r="1295" ht="18" customHeight="1">
      <c r="A1295" s="60" t="inlineStr">
        <is>
          <t>Donacor</t>
        </is>
      </c>
      <c r="B1295" s="60" t="inlineStr">
        <is>
          <t>Shorts Legging Feminino Academia Sem Costura Original Lupo</t>
        </is>
      </c>
      <c r="C1295" s="60" t="inlineStr">
        <is>
          <t>Preto,P</t>
        </is>
      </c>
      <c r="D1295" s="60" t="inlineStr">
        <is>
          <t>71348-001-P</t>
        </is>
      </c>
      <c r="E1295" s="60" t="n">
        <v>23097543633</v>
      </c>
      <c r="F1295" s="60" t="n">
        <v>159777423276</v>
      </c>
      <c r="G1295" s="60" t="inlineStr">
        <is>
          <t>NORMAL</t>
        </is>
      </c>
      <c r="H1295" s="91" t="n">
        <v>109.9</v>
      </c>
      <c r="I1295" s="91" t="n">
        <v>109.9</v>
      </c>
      <c r="J1295" s="62" t="inlineStr">
        <is>
          <t>NÃO</t>
        </is>
      </c>
      <c r="K1295" s="60" t="inlineStr">
        <is>
          <t> </t>
        </is>
      </c>
      <c r="L1295" s="87" t="n">
        <v>109.9</v>
      </c>
      <c r="P1295" s="92">
        <f>IF($O1295="","",L1295-O1295-(L1295*IF(L1295&lt;=79.99,20%,14%)+IF(L1295&lt;=79.99,4,IF(L1295&lt;=99.99,16,IF(L1295&lt;=199.99,20,IF(L1295&lt;=499.99,26,28)))))-L1295*1.3%-L1295*6%-(L1295-O1295)*9.25%-L1295*3%-L1295*3%-1)</f>
        <v/>
      </c>
      <c r="Q1295" s="60" t="inlineStr">
        <is>
          <t> </t>
        </is>
      </c>
      <c r="R1295" s="60" t="inlineStr">
        <is>
          <t> </t>
        </is>
      </c>
      <c r="S1295" s="60" t="inlineStr">
        <is>
          <t> </t>
        </is>
      </c>
      <c r="T1295" s="60" t="inlineStr">
        <is>
          <t> </t>
        </is>
      </c>
      <c r="U1295" s="60" t="n">
        <v>100357</v>
      </c>
      <c r="W1295" t="inlineStr">
        <is>
          <t>sem correspondência</t>
        </is>
      </c>
      <c r="Y1295" t="inlineStr"/>
    </row>
    <row r="1296" ht="18" customHeight="1">
      <c r="A1296" s="54" t="inlineStr">
        <is>
          <t>Donacor</t>
        </is>
      </c>
      <c r="B1296" s="54" t="inlineStr">
        <is>
          <t>Suplemento Omega 3 Cão/gato - Omega 3 Bepet - 45ml - 3un</t>
        </is>
      </c>
      <c r="C1296" s="54" t="inlineStr">
        <is>
          <t>Sem variação</t>
        </is>
      </c>
      <c r="D1296" s="54" t="n">
        <v>880</v>
      </c>
      <c r="E1296" s="54" t="n">
        <v>23097507447</v>
      </c>
      <c r="F1296" s="54" t="n">
        <v>0</v>
      </c>
      <c r="G1296" s="54" t="inlineStr">
        <is>
          <t>NORMAL</t>
        </is>
      </c>
      <c r="H1296" s="86" t="n">
        <v>249.4</v>
      </c>
      <c r="I1296" s="86" t="n">
        <v>121.9</v>
      </c>
      <c r="J1296" s="56" t="inlineStr">
        <is>
          <t>SIM</t>
        </is>
      </c>
      <c r="K1296" s="86" t="n">
        <v>121.9</v>
      </c>
      <c r="L1296" s="87" t="n">
        <v>121.9</v>
      </c>
      <c r="P1296" s="90">
        <f>IF($O1296="","",L1296-O1296-(L1296*IF(L1296&lt;=79.99,20%,14%)+IF(L1296&lt;=79.99,4,IF(L1296&lt;=99.99,16,IF(L1296&lt;=199.99,20,IF(L1296&lt;=499.99,26,28)))))-L1296*1.3%-L1296*6%-(L1296-O1296)*9.25%-L1296*3%-L1296*3%-1)</f>
        <v/>
      </c>
      <c r="Q1296" s="58" t="n">
        <v>0.511</v>
      </c>
      <c r="R1296" s="54" t="inlineStr">
        <is>
          <t>478840979931317, 484946028474774</t>
        </is>
      </c>
      <c r="S1296" s="59" t="n">
        <v>46227.74097222222</v>
      </c>
      <c r="T1296" s="59" t="n">
        <v>46248.99930555555</v>
      </c>
      <c r="U1296" s="54" t="n">
        <v>100944</v>
      </c>
      <c r="W1296" t="inlineStr">
        <is>
          <t>sem correspondência</t>
        </is>
      </c>
      <c r="Y1296" t="inlineStr"/>
    </row>
    <row r="1297" ht="18" customHeight="1">
      <c r="A1297" s="60" t="inlineStr">
        <is>
          <t>Donacor</t>
        </is>
      </c>
      <c r="B1297" s="60" t="inlineStr">
        <is>
          <t>Sutiã Básico Microfibra Sem Costura Alça Fina Loba Original Lupo</t>
        </is>
      </c>
      <c r="C1297" s="60" t="inlineStr">
        <is>
          <t>Natural,G</t>
        </is>
      </c>
      <c r="D1297" s="60" t="inlineStr">
        <is>
          <t>SUTIA-SEM-COSTURA-NATURAL-G</t>
        </is>
      </c>
      <c r="E1297" s="60" t="n">
        <v>23897582797</v>
      </c>
      <c r="F1297" s="60" t="n">
        <v>139828752941</v>
      </c>
      <c r="G1297" s="60" t="inlineStr">
        <is>
          <t>NORMAL</t>
        </is>
      </c>
      <c r="H1297" s="91" t="n">
        <v>89.90000000000001</v>
      </c>
      <c r="I1297" s="91" t="n">
        <v>89.90000000000001</v>
      </c>
      <c r="J1297" s="62" t="inlineStr">
        <is>
          <t>NÃO</t>
        </is>
      </c>
      <c r="K1297" s="60" t="inlineStr">
        <is>
          <t> </t>
        </is>
      </c>
      <c r="L1297" s="87" t="n">
        <v>89.90000000000001</v>
      </c>
      <c r="P1297" s="92">
        <f>IF($O1297="","",L1297-O1297-(L1297*IF(L1297&lt;=79.99,20%,14%)+IF(L1297&lt;=79.99,4,IF(L1297&lt;=99.99,16,IF(L1297&lt;=199.99,20,IF(L1297&lt;=499.99,26,28)))))-L1297*1.3%-L1297*6%-(L1297-O1297)*9.25%-L1297*3%-L1297*3%-1)</f>
        <v/>
      </c>
      <c r="Q1297" s="60" t="inlineStr">
        <is>
          <t> </t>
        </is>
      </c>
      <c r="R1297" s="60" t="inlineStr">
        <is>
          <t> </t>
        </is>
      </c>
      <c r="S1297" s="60" t="inlineStr">
        <is>
          <t> </t>
        </is>
      </c>
      <c r="T1297" s="60" t="inlineStr">
        <is>
          <t> </t>
        </is>
      </c>
      <c r="U1297" s="60" t="n">
        <v>100381</v>
      </c>
      <c r="W1297" t="inlineStr">
        <is>
          <t>sem correspondência</t>
        </is>
      </c>
      <c r="Y1297" t="inlineStr"/>
    </row>
    <row r="1298" ht="18" customHeight="1">
      <c r="A1298" s="54" t="inlineStr">
        <is>
          <t>Donacor</t>
        </is>
      </c>
      <c r="B1298" s="54" t="inlineStr">
        <is>
          <t>Sutiã Básico Microfibra Sem Costura Alça Fina Loba Original Lupo</t>
        </is>
      </c>
      <c r="C1298" s="54" t="inlineStr">
        <is>
          <t>Natural,GG</t>
        </is>
      </c>
      <c r="D1298" s="54" t="inlineStr">
        <is>
          <t>SUTIA-SEM-COSTURA-NATURAL-GG</t>
        </is>
      </c>
      <c r="E1298" s="54" t="n">
        <v>23897582797</v>
      </c>
      <c r="F1298" s="54" t="n">
        <v>139828752934</v>
      </c>
      <c r="G1298" s="54" t="inlineStr">
        <is>
          <t>NORMAL</t>
        </is>
      </c>
      <c r="H1298" s="86" t="n">
        <v>89.90000000000001</v>
      </c>
      <c r="I1298" s="86" t="n">
        <v>39.9</v>
      </c>
      <c r="J1298" s="56" t="inlineStr">
        <is>
          <t>SIM</t>
        </is>
      </c>
      <c r="K1298" s="86" t="n">
        <v>39.9</v>
      </c>
      <c r="L1298" s="87" t="n">
        <v>39.9</v>
      </c>
      <c r="M1298" s="88" t="n">
        <v>1</v>
      </c>
      <c r="N1298" s="89" t="n">
        <v>60.86</v>
      </c>
      <c r="O1298" s="89">
        <f>ROUND(M1298*N1298,2)</f>
        <v/>
      </c>
      <c r="P1298" s="90">
        <f>IF($O1298="","",L1298-O1298-(L1298*IF(L1298&lt;=79.99,20%,14%)+IF(L1298&lt;=79.99,4,IF(L1298&lt;=99.99,16,IF(L1298&lt;=199.99,20,IF(L1298&lt;=499.99,26,28)))))-L1298*1.3%-L1298*6%-(L1298-O1298)*9.25%-L1298*3%-L1298*3%-1)</f>
        <v/>
      </c>
      <c r="Q1298" s="58" t="n">
        <v>0.556</v>
      </c>
      <c r="R1298" s="54" t="inlineStr">
        <is>
          <t>478840979931317, 484946028474774</t>
        </is>
      </c>
      <c r="S1298" s="59" t="n">
        <v>46227.74097222222</v>
      </c>
      <c r="T1298" s="59" t="n">
        <v>46248.99930555555</v>
      </c>
      <c r="U1298" s="54" t="n">
        <v>100381</v>
      </c>
      <c r="V1298" t="inlineStr">
        <is>
          <t>214769</t>
        </is>
      </c>
      <c r="W1298" t="inlineStr">
        <is>
          <t>venda casada (2 pedidos)</t>
        </is>
      </c>
      <c r="X1298" t="n">
        <v>2</v>
      </c>
      <c r="Y1298" t="inlineStr">
        <is>
          <t>ok</t>
        </is>
      </c>
    </row>
    <row r="1299" ht="18" customHeight="1">
      <c r="A1299" s="60" t="inlineStr">
        <is>
          <t>Donacor</t>
        </is>
      </c>
      <c r="B1299" s="60" t="inlineStr">
        <is>
          <t>Sutiã Básico Microfibra Sem Costura Alça Fina Loba Original Lupo</t>
        </is>
      </c>
      <c r="C1299" s="60" t="inlineStr">
        <is>
          <t>Natural,M</t>
        </is>
      </c>
      <c r="D1299" s="60" t="inlineStr">
        <is>
          <t>SUTIA-SEM-COSTURA-NATURAL-M</t>
        </is>
      </c>
      <c r="E1299" s="60" t="n">
        <v>23897582797</v>
      </c>
      <c r="F1299" s="60" t="n">
        <v>139828752940</v>
      </c>
      <c r="G1299" s="60" t="inlineStr">
        <is>
          <t>NORMAL</t>
        </is>
      </c>
      <c r="H1299" s="91" t="n">
        <v>89.90000000000001</v>
      </c>
      <c r="I1299" s="91" t="n">
        <v>89.90000000000001</v>
      </c>
      <c r="J1299" s="62" t="inlineStr">
        <is>
          <t>NÃO</t>
        </is>
      </c>
      <c r="K1299" s="60" t="inlineStr">
        <is>
          <t> </t>
        </is>
      </c>
      <c r="L1299" s="87" t="n">
        <v>89.90000000000001</v>
      </c>
      <c r="P1299" s="92">
        <f>IF($O1299="","",L1299-O1299-(L1299*IF(L1299&lt;=79.99,20%,14%)+IF(L1299&lt;=79.99,4,IF(L1299&lt;=99.99,16,IF(L1299&lt;=199.99,20,IF(L1299&lt;=499.99,26,28)))))-L1299*1.3%-L1299*6%-(L1299-O1299)*9.25%-L1299*3%-L1299*3%-1)</f>
        <v/>
      </c>
      <c r="Q1299" s="60" t="inlineStr">
        <is>
          <t> </t>
        </is>
      </c>
      <c r="R1299" s="60" t="inlineStr">
        <is>
          <t> </t>
        </is>
      </c>
      <c r="S1299" s="60" t="inlineStr">
        <is>
          <t> </t>
        </is>
      </c>
      <c r="T1299" s="60" t="inlineStr">
        <is>
          <t> </t>
        </is>
      </c>
      <c r="U1299" s="60" t="n">
        <v>100381</v>
      </c>
      <c r="W1299" t="inlineStr">
        <is>
          <t>sem correspondência</t>
        </is>
      </c>
      <c r="Y1299" t="inlineStr"/>
    </row>
    <row r="1300" ht="18" customHeight="1">
      <c r="A1300" s="54" t="inlineStr">
        <is>
          <t>Donacor</t>
        </is>
      </c>
      <c r="B1300" s="54" t="inlineStr">
        <is>
          <t>Sutiã Básico Microfibra Sem Costura Alça Fina Loba Original Lupo</t>
        </is>
      </c>
      <c r="C1300" s="54" t="inlineStr">
        <is>
          <t>Natural,P</t>
        </is>
      </c>
      <c r="D1300" s="54" t="inlineStr">
        <is>
          <t>SUTIA-SEM-COSTURA-NATURAL-P</t>
        </is>
      </c>
      <c r="E1300" s="54" t="n">
        <v>23897582797</v>
      </c>
      <c r="F1300" s="54" t="n">
        <v>139828752932</v>
      </c>
      <c r="G1300" s="54" t="inlineStr">
        <is>
          <t>NORMAL</t>
        </is>
      </c>
      <c r="H1300" s="86" t="n">
        <v>89.90000000000001</v>
      </c>
      <c r="I1300" s="86" t="n">
        <v>89.90000000000001</v>
      </c>
      <c r="J1300" s="69" t="inlineStr">
        <is>
          <t>NÃO</t>
        </is>
      </c>
      <c r="K1300" s="54" t="n"/>
      <c r="L1300" s="87" t="n">
        <v>89.90000000000001</v>
      </c>
      <c r="P1300" s="90">
        <f>IF($O1300="","",L1300-O1300-(L1300*IF(L1300&lt;=79.99,20%,14%)+IF(L1300&lt;=79.99,4,IF(L1300&lt;=99.99,16,IF(L1300&lt;=199.99,20,IF(L1300&lt;=499.99,26,28)))))-L1300*1.3%-L1300*6%-(L1300-O1300)*9.25%-L1300*3%-L1300*3%-1)</f>
        <v/>
      </c>
      <c r="Q1300" s="54">
        <f>IF(AND(K1300&lt;&gt;"",H1300&gt;0),(H1300-K1300)/H1300,"")</f>
        <v/>
      </c>
      <c r="R1300" s="54" t="n"/>
      <c r="S1300" s="54" t="n"/>
      <c r="T1300" s="54" t="n"/>
      <c r="U1300" s="54" t="n">
        <v>100381</v>
      </c>
      <c r="W1300" t="inlineStr">
        <is>
          <t>sem correspondência</t>
        </is>
      </c>
      <c r="Y1300" t="inlineStr"/>
    </row>
    <row r="1301" ht="18" customHeight="1">
      <c r="A1301" s="60" t="inlineStr">
        <is>
          <t>Donacor</t>
        </is>
      </c>
      <c r="B1301" s="60" t="inlineStr">
        <is>
          <t>Sutiã Básico Microfibra Sem Costura Alça Fina Loba Original Lupo</t>
        </is>
      </c>
      <c r="C1301" s="60" t="inlineStr">
        <is>
          <t>Nude,G</t>
        </is>
      </c>
      <c r="D1301" s="60" t="inlineStr">
        <is>
          <t>SUTIA-SEM-COSTURA-NUDE-G</t>
        </is>
      </c>
      <c r="E1301" s="60" t="n">
        <v>23897582797</v>
      </c>
      <c r="F1301" s="60" t="n">
        <v>139828752938</v>
      </c>
      <c r="G1301" s="60" t="inlineStr">
        <is>
          <t>NORMAL</t>
        </is>
      </c>
      <c r="H1301" s="91" t="n">
        <v>89.90000000000001</v>
      </c>
      <c r="I1301" s="91" t="n">
        <v>39.9</v>
      </c>
      <c r="J1301" s="65" t="inlineStr">
        <is>
          <t>SIM</t>
        </is>
      </c>
      <c r="K1301" s="91" t="n">
        <v>39.9</v>
      </c>
      <c r="L1301" s="87" t="n">
        <v>39.9</v>
      </c>
      <c r="M1301" s="88" t="n">
        <v>1</v>
      </c>
      <c r="N1301" s="89" t="n">
        <v>60.86</v>
      </c>
      <c r="O1301" s="89">
        <f>ROUND(M1301*N1301,2)</f>
        <v/>
      </c>
      <c r="P1301" s="92">
        <f>IF($O1301="","",L1301-O1301-(L1301*IF(L1301&lt;=79.99,20%,14%)+IF(L1301&lt;=79.99,4,IF(L1301&lt;=99.99,16,IF(L1301&lt;=199.99,20,IF(L1301&lt;=499.99,26,28)))))-L1301*1.3%-L1301*6%-(L1301-O1301)*9.25%-L1301*3%-L1301*3%-1)</f>
        <v/>
      </c>
      <c r="Q1301" s="67" t="n">
        <v>0.556</v>
      </c>
      <c r="R1301" s="60" t="inlineStr">
        <is>
          <t>478840979931317, 484946028474774</t>
        </is>
      </c>
      <c r="S1301" s="68" t="n">
        <v>46227.74097222222</v>
      </c>
      <c r="T1301" s="68" t="n">
        <v>46248.99930555555</v>
      </c>
      <c r="U1301" s="60" t="n">
        <v>100381</v>
      </c>
      <c r="V1301" t="inlineStr">
        <is>
          <t>214776</t>
        </is>
      </c>
      <c r="W1301" t="inlineStr">
        <is>
          <t>venda casada (2 pedidos)</t>
        </is>
      </c>
      <c r="X1301" t="n">
        <v>2</v>
      </c>
      <c r="Y1301" t="inlineStr">
        <is>
          <t>ok</t>
        </is>
      </c>
    </row>
    <row r="1302" ht="18" customHeight="1">
      <c r="A1302" s="54" t="inlineStr">
        <is>
          <t>Donacor</t>
        </is>
      </c>
      <c r="B1302" s="54" t="inlineStr">
        <is>
          <t>Sutiã Básico Microfibra Sem Costura Alça Fina Loba Original Lupo</t>
        </is>
      </c>
      <c r="C1302" s="54" t="inlineStr">
        <is>
          <t>Nude,GG</t>
        </is>
      </c>
      <c r="D1302" s="54" t="inlineStr">
        <is>
          <t>SUTIA-SEM-COSTURA-NUDE-GG</t>
        </is>
      </c>
      <c r="E1302" s="54" t="n">
        <v>23897582797</v>
      </c>
      <c r="F1302" s="54" t="n">
        <v>139828752939</v>
      </c>
      <c r="G1302" s="54" t="inlineStr">
        <is>
          <t>NORMAL</t>
        </is>
      </c>
      <c r="H1302" s="86" t="n">
        <v>89.90000000000001</v>
      </c>
      <c r="I1302" s="86" t="n">
        <v>89.90000000000001</v>
      </c>
      <c r="J1302" s="69" t="inlineStr">
        <is>
          <t>NÃO</t>
        </is>
      </c>
      <c r="K1302" s="54" t="n"/>
      <c r="L1302" s="87" t="n">
        <v>89.90000000000001</v>
      </c>
      <c r="P1302" s="90">
        <f>IF($O1302="","",L1302-O1302-(L1302*IF(L1302&lt;=79.99,20%,14%)+IF(L1302&lt;=79.99,4,IF(L1302&lt;=99.99,16,IF(L1302&lt;=199.99,20,IF(L1302&lt;=499.99,26,28)))))-L1302*1.3%-L1302*6%-(L1302-O1302)*9.25%-L1302*3%-L1302*3%-1)</f>
        <v/>
      </c>
      <c r="Q1302" s="54">
        <f>IF(AND(K1302&lt;&gt;"",H1302&gt;0),(H1302-K1302)/H1302,"")</f>
        <v/>
      </c>
      <c r="R1302" s="54" t="n"/>
      <c r="S1302" s="54" t="n"/>
      <c r="T1302" s="54" t="n"/>
      <c r="U1302" s="54" t="n">
        <v>100381</v>
      </c>
      <c r="W1302" t="inlineStr">
        <is>
          <t>sem correspondência</t>
        </is>
      </c>
      <c r="Y1302" t="inlineStr"/>
    </row>
    <row r="1303" ht="18" customHeight="1">
      <c r="A1303" s="60" t="inlineStr">
        <is>
          <t>Donacor</t>
        </is>
      </c>
      <c r="B1303" s="60" t="inlineStr">
        <is>
          <t>Sutiã Básico Microfibra Sem Costura Alça Fina Loba Original Lupo</t>
        </is>
      </c>
      <c r="C1303" s="60" t="inlineStr">
        <is>
          <t>Nude,M</t>
        </is>
      </c>
      <c r="D1303" s="60" t="inlineStr">
        <is>
          <t>SUTIA-SEM-COSTURA-NUDE-M</t>
        </is>
      </c>
      <c r="E1303" s="60" t="n">
        <v>23897582797</v>
      </c>
      <c r="F1303" s="60" t="n">
        <v>139828752937</v>
      </c>
      <c r="G1303" s="60" t="inlineStr">
        <is>
          <t>NORMAL</t>
        </is>
      </c>
      <c r="H1303" s="91" t="n">
        <v>89.90000000000001</v>
      </c>
      <c r="I1303" s="91" t="n">
        <v>39.9</v>
      </c>
      <c r="J1303" s="65" t="inlineStr">
        <is>
          <t>SIM</t>
        </is>
      </c>
      <c r="K1303" s="91" t="n">
        <v>39.9</v>
      </c>
      <c r="L1303" s="87" t="n">
        <v>39.9</v>
      </c>
      <c r="M1303" s="88" t="n">
        <v>1</v>
      </c>
      <c r="N1303" s="89" t="n">
        <v>60.86</v>
      </c>
      <c r="O1303" s="89">
        <f>ROUND(M1303*N1303,2)</f>
        <v/>
      </c>
      <c r="P1303" s="92">
        <f>IF($O1303="","",L1303-O1303-(L1303*IF(L1303&lt;=79.99,20%,14%)+IF(L1303&lt;=79.99,4,IF(L1303&lt;=99.99,16,IF(L1303&lt;=199.99,20,IF(L1303&lt;=499.99,26,28)))))-L1303*1.3%-L1303*6%-(L1303-O1303)*9.25%-L1303*3%-L1303*3%-1)</f>
        <v/>
      </c>
      <c r="Q1303" s="67" t="n">
        <v>0.556</v>
      </c>
      <c r="R1303" s="60" t="n">
        <v>484946028474774</v>
      </c>
      <c r="S1303" s="68" t="n">
        <v>46227.74097222222</v>
      </c>
      <c r="T1303" s="68" t="n">
        <v>46405.45833333334</v>
      </c>
      <c r="U1303" s="60" t="n">
        <v>100381</v>
      </c>
      <c r="V1303" t="inlineStr">
        <is>
          <t>214775</t>
        </is>
      </c>
      <c r="W1303" t="inlineStr">
        <is>
          <t>venda casada (3 pedidos)</t>
        </is>
      </c>
      <c r="X1303" t="n">
        <v>3</v>
      </c>
      <c r="Y1303" t="inlineStr">
        <is>
          <t>ok</t>
        </is>
      </c>
    </row>
    <row r="1304" ht="18" customHeight="1">
      <c r="A1304" s="54" t="inlineStr">
        <is>
          <t>Donacor</t>
        </is>
      </c>
      <c r="B1304" s="54" t="inlineStr">
        <is>
          <t>Sutiã Básico Microfibra Sem Costura Alça Fina Loba Original Lupo</t>
        </is>
      </c>
      <c r="C1304" s="54" t="inlineStr">
        <is>
          <t>Nude,P</t>
        </is>
      </c>
      <c r="D1304" s="54" t="inlineStr">
        <is>
          <t>SUTIA-SEM-COSTURA-NUDE-P</t>
        </is>
      </c>
      <c r="E1304" s="54" t="n">
        <v>23897582797</v>
      </c>
      <c r="F1304" s="54" t="n">
        <v>139828752931</v>
      </c>
      <c r="G1304" s="54" t="inlineStr">
        <is>
          <t>NORMAL</t>
        </is>
      </c>
      <c r="H1304" s="86" t="n">
        <v>89.90000000000001</v>
      </c>
      <c r="I1304" s="86" t="n">
        <v>89.90000000000001</v>
      </c>
      <c r="J1304" s="69" t="inlineStr">
        <is>
          <t>NÃO</t>
        </is>
      </c>
      <c r="K1304" s="54" t="n"/>
      <c r="L1304" s="87" t="n">
        <v>89.90000000000001</v>
      </c>
      <c r="M1304" s="88" t="n">
        <v>1</v>
      </c>
      <c r="N1304" s="89" t="n">
        <v>60.86</v>
      </c>
      <c r="O1304" s="89">
        <f>ROUND(M1304*N1304,2)</f>
        <v/>
      </c>
      <c r="P1304" s="90">
        <f>IF($O1304="","",L1304-O1304-(L1304*IF(L1304&lt;=79.99,20%,14%)+IF(L1304&lt;=79.99,4,IF(L1304&lt;=99.99,16,IF(L1304&lt;=199.99,20,IF(L1304&lt;=499.99,26,28)))))-L1304*1.3%-L1304*6%-(L1304-O1304)*9.25%-L1304*3%-L1304*3%-1)</f>
        <v/>
      </c>
      <c r="Q1304" s="54">
        <f>IF(AND(K1304&lt;&gt;"",H1304&gt;0),(H1304-K1304)/H1304,"")</f>
        <v/>
      </c>
      <c r="R1304" s="54" t="n"/>
      <c r="S1304" s="54" t="n"/>
      <c r="T1304" s="54" t="n"/>
      <c r="U1304" s="54" t="n">
        <v>100381</v>
      </c>
      <c r="V1304" t="inlineStr">
        <is>
          <t>214774</t>
        </is>
      </c>
      <c r="W1304" t="inlineStr">
        <is>
          <t>venda casada (1 pedido)</t>
        </is>
      </c>
      <c r="X1304" t="n">
        <v>1</v>
      </c>
      <c r="Y1304" t="inlineStr">
        <is>
          <t>⚠ evidência fraca (1 pedido)</t>
        </is>
      </c>
    </row>
    <row r="1305" ht="18" customHeight="1">
      <c r="A1305" s="60" t="inlineStr">
        <is>
          <t>Donacor</t>
        </is>
      </c>
      <c r="B1305" s="60" t="inlineStr">
        <is>
          <t>Sutiã Básico Microfibra Sem Costura Alça Fina Loba Original Lupo</t>
        </is>
      </c>
      <c r="C1305" s="60" t="inlineStr">
        <is>
          <t>Preto,G</t>
        </is>
      </c>
      <c r="D1305" s="60" t="inlineStr">
        <is>
          <t>SUTIA-SEM-COSTURA-PRETO-G</t>
        </is>
      </c>
      <c r="E1305" s="60" t="n">
        <v>23897582797</v>
      </c>
      <c r="F1305" s="60" t="n">
        <v>139645422558</v>
      </c>
      <c r="G1305" s="60" t="inlineStr">
        <is>
          <t>NORMAL</t>
        </is>
      </c>
      <c r="H1305" s="91" t="n">
        <v>89.90000000000001</v>
      </c>
      <c r="I1305" s="91" t="n">
        <v>89.90000000000001</v>
      </c>
      <c r="J1305" s="62" t="inlineStr">
        <is>
          <t>NÃO</t>
        </is>
      </c>
      <c r="K1305" s="60" t="inlineStr">
        <is>
          <t> </t>
        </is>
      </c>
      <c r="L1305" s="87" t="n">
        <v>89.90000000000001</v>
      </c>
      <c r="P1305" s="92">
        <f>IF($O1305="","",L1305-O1305-(L1305*IF(L1305&lt;=79.99,20%,14%)+IF(L1305&lt;=79.99,4,IF(L1305&lt;=99.99,16,IF(L1305&lt;=199.99,20,IF(L1305&lt;=499.99,26,28)))))-L1305*1.3%-L1305*6%-(L1305-O1305)*9.25%-L1305*3%-L1305*3%-1)</f>
        <v/>
      </c>
      <c r="Q1305" s="60" t="inlineStr">
        <is>
          <t> </t>
        </is>
      </c>
      <c r="R1305" s="60" t="inlineStr">
        <is>
          <t> </t>
        </is>
      </c>
      <c r="S1305" s="60" t="inlineStr">
        <is>
          <t> </t>
        </is>
      </c>
      <c r="T1305" s="60" t="inlineStr">
        <is>
          <t> </t>
        </is>
      </c>
      <c r="U1305" s="60" t="n">
        <v>100381</v>
      </c>
      <c r="W1305" t="inlineStr">
        <is>
          <t>sem correspondência</t>
        </is>
      </c>
      <c r="Y1305" t="inlineStr"/>
    </row>
    <row r="1306" ht="18" customHeight="1">
      <c r="A1306" s="54" t="inlineStr">
        <is>
          <t>Donacor</t>
        </is>
      </c>
      <c r="B1306" s="54" t="inlineStr">
        <is>
          <t>Sutiã Básico Microfibra Sem Costura Alça Fina Loba Original Lupo</t>
        </is>
      </c>
      <c r="C1306" s="54" t="inlineStr">
        <is>
          <t>Preto,GG</t>
        </is>
      </c>
      <c r="D1306" s="54" t="inlineStr">
        <is>
          <t>SUTIA-SEM-COSTURA-PRETO-GG</t>
        </is>
      </c>
      <c r="E1306" s="54" t="n">
        <v>23897582797</v>
      </c>
      <c r="F1306" s="54" t="n">
        <v>139828752936</v>
      </c>
      <c r="G1306" s="54" t="inlineStr">
        <is>
          <t>NORMAL</t>
        </is>
      </c>
      <c r="H1306" s="86" t="n">
        <v>89.90000000000001</v>
      </c>
      <c r="I1306" s="86" t="n">
        <v>39.9</v>
      </c>
      <c r="J1306" s="56" t="inlineStr">
        <is>
          <t>SIM</t>
        </is>
      </c>
      <c r="K1306" s="86" t="n">
        <v>39.9</v>
      </c>
      <c r="L1306" s="87" t="n">
        <v>39.9</v>
      </c>
      <c r="P1306" s="90">
        <f>IF($O1306="","",L1306-O1306-(L1306*IF(L1306&lt;=79.99,20%,14%)+IF(L1306&lt;=79.99,4,IF(L1306&lt;=99.99,16,IF(L1306&lt;=199.99,20,IF(L1306&lt;=499.99,26,28)))))-L1306*1.3%-L1306*6%-(L1306-O1306)*9.25%-L1306*3%-L1306*3%-1)</f>
        <v/>
      </c>
      <c r="Q1306" s="58" t="n">
        <v>0.556</v>
      </c>
      <c r="R1306" s="54" t="inlineStr">
        <is>
          <t>484946028474774, 478840979931317</t>
        </is>
      </c>
      <c r="S1306" s="59" t="n">
        <v>46227.74097222222</v>
      </c>
      <c r="T1306" s="59" t="n">
        <v>46248.99930555555</v>
      </c>
      <c r="U1306" s="54" t="n">
        <v>100381</v>
      </c>
      <c r="W1306" t="inlineStr">
        <is>
          <t>sem correspondência</t>
        </is>
      </c>
      <c r="Y1306" t="inlineStr"/>
    </row>
    <row r="1307" ht="18" customHeight="1">
      <c r="A1307" s="60" t="inlineStr">
        <is>
          <t>Donacor</t>
        </is>
      </c>
      <c r="B1307" s="60" t="inlineStr">
        <is>
          <t>Sutiã Básico Microfibra Sem Costura Alça Fina Loba Original Lupo</t>
        </is>
      </c>
      <c r="C1307" s="60" t="inlineStr">
        <is>
          <t>Preto,M</t>
        </is>
      </c>
      <c r="D1307" s="60" t="inlineStr">
        <is>
          <t>SUTIA-SEM-COSTURA-PRETO-M</t>
        </is>
      </c>
      <c r="E1307" s="60" t="n">
        <v>23897582797</v>
      </c>
      <c r="F1307" s="60" t="n">
        <v>139828752933</v>
      </c>
      <c r="G1307" s="60" t="inlineStr">
        <is>
          <t>NORMAL</t>
        </is>
      </c>
      <c r="H1307" s="91" t="n">
        <v>89.90000000000001</v>
      </c>
      <c r="I1307" s="91" t="n">
        <v>39.9</v>
      </c>
      <c r="J1307" s="65" t="inlineStr">
        <is>
          <t>SIM</t>
        </is>
      </c>
      <c r="K1307" s="91" t="n">
        <v>39.9</v>
      </c>
      <c r="L1307" s="87" t="n">
        <v>39.9</v>
      </c>
      <c r="M1307" s="88" t="n">
        <v>1</v>
      </c>
      <c r="N1307" s="89" t="n">
        <v>60.86</v>
      </c>
      <c r="O1307" s="89">
        <f>ROUND(M1307*N1307,2)</f>
        <v/>
      </c>
      <c r="P1307" s="92">
        <f>IF($O1307="","",L1307-O1307-(L1307*IF(L1307&lt;=79.99,20%,14%)+IF(L1307&lt;=79.99,4,IF(L1307&lt;=99.99,16,IF(L1307&lt;=199.99,20,IF(L1307&lt;=499.99,26,28)))))-L1307*1.3%-L1307*6%-(L1307-O1307)*9.25%-L1307*3%-L1307*3%-1)</f>
        <v/>
      </c>
      <c r="Q1307" s="67" t="n">
        <v>0.556</v>
      </c>
      <c r="R1307" s="60" t="n">
        <v>484946028474774</v>
      </c>
      <c r="S1307" s="68" t="n">
        <v>46227.74097222222</v>
      </c>
      <c r="T1307" s="68" t="n">
        <v>46405.45833333334</v>
      </c>
      <c r="U1307" s="60" t="n">
        <v>100381</v>
      </c>
      <c r="V1307" t="inlineStr">
        <is>
          <t>214763</t>
        </is>
      </c>
      <c r="W1307" t="inlineStr">
        <is>
          <t>venda casada (4 pedidos)</t>
        </is>
      </c>
      <c r="X1307" t="n">
        <v>4</v>
      </c>
      <c r="Y1307" t="inlineStr">
        <is>
          <t>ok</t>
        </is>
      </c>
    </row>
    <row r="1308" ht="18" customHeight="1">
      <c r="A1308" s="54" t="inlineStr">
        <is>
          <t>Donacor</t>
        </is>
      </c>
      <c r="B1308" s="54" t="inlineStr">
        <is>
          <t>Sutiã Básico Microfibra Sem Costura Alça Fina Loba Original Lupo</t>
        </is>
      </c>
      <c r="C1308" s="54" t="inlineStr">
        <is>
          <t>Preto,P</t>
        </is>
      </c>
      <c r="D1308" s="54" t="inlineStr">
        <is>
          <t>SUTIA-SEM-COSTURA-PRETO-P</t>
        </is>
      </c>
      <c r="E1308" s="54" t="n">
        <v>23897582797</v>
      </c>
      <c r="F1308" s="54" t="n">
        <v>139828752935</v>
      </c>
      <c r="G1308" s="54" t="inlineStr">
        <is>
          <t>NORMAL</t>
        </is>
      </c>
      <c r="H1308" s="86" t="n">
        <v>89.90000000000001</v>
      </c>
      <c r="I1308" s="86" t="n">
        <v>39.9</v>
      </c>
      <c r="J1308" s="56" t="inlineStr">
        <is>
          <t>SIM</t>
        </is>
      </c>
      <c r="K1308" s="86" t="n">
        <v>39.9</v>
      </c>
      <c r="L1308" s="87" t="n">
        <v>39.9</v>
      </c>
      <c r="M1308" s="88" t="n">
        <v>1</v>
      </c>
      <c r="N1308" s="89" t="n">
        <v>60.86</v>
      </c>
      <c r="O1308" s="89">
        <f>ROUND(M1308*N1308,2)</f>
        <v/>
      </c>
      <c r="P1308" s="90">
        <f>IF($O1308="","",L1308-O1308-(L1308*IF(L1308&lt;=79.99,20%,14%)+IF(L1308&lt;=79.99,4,IF(L1308&lt;=99.99,16,IF(L1308&lt;=199.99,20,IF(L1308&lt;=499.99,26,28)))))-L1308*1.3%-L1308*6%-(L1308-O1308)*9.25%-L1308*3%-L1308*3%-1)</f>
        <v/>
      </c>
      <c r="Q1308" s="58" t="n">
        <v>0.556</v>
      </c>
      <c r="R1308" s="54" t="n">
        <v>484946028474774</v>
      </c>
      <c r="S1308" s="59" t="n">
        <v>46227.74097222222</v>
      </c>
      <c r="T1308" s="59" t="n">
        <v>46405.45833333334</v>
      </c>
      <c r="U1308" s="54" t="n">
        <v>100381</v>
      </c>
      <c r="V1308" t="inlineStr">
        <is>
          <t>214762</t>
        </is>
      </c>
      <c r="W1308" t="inlineStr">
        <is>
          <t>venda casada (1 pedido)</t>
        </is>
      </c>
      <c r="X1308" t="n">
        <v>1</v>
      </c>
      <c r="Y1308" t="inlineStr">
        <is>
          <t>⚠ evidência fraca (1 pedido)</t>
        </is>
      </c>
    </row>
    <row r="1309" ht="18" customHeight="1">
      <c r="A1309" s="60" t="inlineStr">
        <is>
          <t>Donacor</t>
        </is>
      </c>
      <c r="B1309" s="60" t="inlineStr">
        <is>
          <t>Sutiã Top Loba Sem Costura Lupo Original Soutien Antimicrobial Original</t>
        </is>
      </c>
      <c r="C1309" s="60" t="inlineStr">
        <is>
          <t>NUDE,G</t>
        </is>
      </c>
      <c r="D1309" s="60" t="inlineStr">
        <is>
          <t>TOP-LUPO-NUDE-G</t>
        </is>
      </c>
      <c r="E1309" s="60" t="n">
        <v>22393068229</v>
      </c>
      <c r="F1309" s="60" t="n">
        <v>199595906158</v>
      </c>
      <c r="G1309" s="60" t="inlineStr">
        <is>
          <t>NORMAL</t>
        </is>
      </c>
      <c r="H1309" s="91" t="n">
        <v>49.9</v>
      </c>
      <c r="I1309" s="91" t="n">
        <v>49.9</v>
      </c>
      <c r="J1309" s="62" t="inlineStr">
        <is>
          <t>NÃO</t>
        </is>
      </c>
      <c r="K1309" s="60" t="inlineStr">
        <is>
          <t> </t>
        </is>
      </c>
      <c r="L1309" s="87" t="n">
        <v>49.9</v>
      </c>
      <c r="M1309" s="88" t="n">
        <v>1</v>
      </c>
      <c r="N1309" s="89" t="n">
        <v>25.65</v>
      </c>
      <c r="O1309" s="89">
        <f>ROUND(M1309*N1309,2)</f>
        <v/>
      </c>
      <c r="P1309" s="92">
        <f>IF($O1309="","",L1309-O1309-(L1309*IF(L1309&lt;=79.99,20%,14%)+IF(L1309&lt;=79.99,4,IF(L1309&lt;=99.99,16,IF(L1309&lt;=199.99,20,IF(L1309&lt;=499.99,26,28)))))-L1309*1.3%-L1309*6%-(L1309-O1309)*9.25%-L1309*3%-L1309*3%-1)</f>
        <v/>
      </c>
      <c r="Q1309" s="60" t="inlineStr">
        <is>
          <t> </t>
        </is>
      </c>
      <c r="R1309" s="60" t="inlineStr">
        <is>
          <t> </t>
        </is>
      </c>
      <c r="S1309" s="60" t="inlineStr">
        <is>
          <t> </t>
        </is>
      </c>
      <c r="T1309" s="60" t="inlineStr">
        <is>
          <t> </t>
        </is>
      </c>
      <c r="U1309" s="60" t="n">
        <v>100381</v>
      </c>
      <c r="V1309" t="inlineStr">
        <is>
          <t>214597</t>
        </is>
      </c>
      <c r="W1309" t="inlineStr">
        <is>
          <t>venda casada (1 pedido)</t>
        </is>
      </c>
      <c r="X1309" t="n">
        <v>1</v>
      </c>
      <c r="Y1309" t="inlineStr">
        <is>
          <t>⚠ evidência fraca (1 pedido)</t>
        </is>
      </c>
    </row>
    <row r="1310" ht="18" customHeight="1">
      <c r="A1310" s="54" t="inlineStr">
        <is>
          <t>Donacor</t>
        </is>
      </c>
      <c r="B1310" s="54" t="inlineStr">
        <is>
          <t>Sutiã Top Loba Sem Costura Lupo Original Soutien Antimicrobial Original</t>
        </is>
      </c>
      <c r="C1310" s="54" t="inlineStr">
        <is>
          <t>NUDE,M</t>
        </is>
      </c>
      <c r="D1310" s="54" t="inlineStr">
        <is>
          <t>TOP-LUPO-NUDE-M</t>
        </is>
      </c>
      <c r="E1310" s="54" t="n">
        <v>22393068229</v>
      </c>
      <c r="F1310" s="54" t="n">
        <v>199595906157</v>
      </c>
      <c r="G1310" s="54" t="inlineStr">
        <is>
          <t>NORMAL</t>
        </is>
      </c>
      <c r="H1310" s="86" t="n">
        <v>49.9</v>
      </c>
      <c r="I1310" s="86" t="n">
        <v>49.9</v>
      </c>
      <c r="J1310" s="69" t="inlineStr">
        <is>
          <t>NÃO</t>
        </is>
      </c>
      <c r="K1310" s="54" t="n"/>
      <c r="L1310" s="87" t="n">
        <v>49.9</v>
      </c>
      <c r="P1310" s="90">
        <f>IF($O1310="","",L1310-O1310-(L1310*IF(L1310&lt;=79.99,20%,14%)+IF(L1310&lt;=79.99,4,IF(L1310&lt;=99.99,16,IF(L1310&lt;=199.99,20,IF(L1310&lt;=499.99,26,28)))))-L1310*1.3%-L1310*6%-(L1310-O1310)*9.25%-L1310*3%-L1310*3%-1)</f>
        <v/>
      </c>
      <c r="Q1310" s="54">
        <f>IF(AND(K1310&lt;&gt;"",H1310&gt;0),(H1310-K1310)/H1310,"")</f>
        <v/>
      </c>
      <c r="R1310" s="54" t="n"/>
      <c r="S1310" s="54" t="n"/>
      <c r="T1310" s="54" t="n"/>
      <c r="U1310" s="54" t="n">
        <v>100381</v>
      </c>
      <c r="W1310" t="inlineStr">
        <is>
          <t>sem correspondência</t>
        </is>
      </c>
      <c r="Y1310" t="inlineStr"/>
    </row>
    <row r="1311" ht="18" customHeight="1">
      <c r="A1311" s="60" t="inlineStr">
        <is>
          <t>Donacor</t>
        </is>
      </c>
      <c r="B1311" s="60" t="inlineStr">
        <is>
          <t>Sutiã Top Loba Sem Costura Lupo Original Soutien Antimicrobial Original</t>
        </is>
      </c>
      <c r="C1311" s="60" t="inlineStr">
        <is>
          <t>NUDE,P</t>
        </is>
      </c>
      <c r="D1311" s="60" t="inlineStr">
        <is>
          <t>TOP-LUPO-NUDE-P</t>
        </is>
      </c>
      <c r="E1311" s="60" t="n">
        <v>22393068229</v>
      </c>
      <c r="F1311" s="60" t="n">
        <v>199595906156</v>
      </c>
      <c r="G1311" s="60" t="inlineStr">
        <is>
          <t>NORMAL</t>
        </is>
      </c>
      <c r="H1311" s="91" t="n">
        <v>49.9</v>
      </c>
      <c r="I1311" s="91" t="n">
        <v>49.9</v>
      </c>
      <c r="J1311" s="62" t="inlineStr">
        <is>
          <t>NÃO</t>
        </is>
      </c>
      <c r="K1311" s="60" t="inlineStr">
        <is>
          <t> </t>
        </is>
      </c>
      <c r="L1311" s="87" t="n">
        <v>49.9</v>
      </c>
      <c r="M1311" s="88" t="n">
        <v>1</v>
      </c>
      <c r="N1311" s="89" t="n">
        <v>25.65</v>
      </c>
      <c r="O1311" s="89">
        <f>ROUND(M1311*N1311,2)</f>
        <v/>
      </c>
      <c r="P1311" s="92">
        <f>IF($O1311="","",L1311-O1311-(L1311*IF(L1311&lt;=79.99,20%,14%)+IF(L1311&lt;=79.99,4,IF(L1311&lt;=99.99,16,IF(L1311&lt;=199.99,20,IF(L1311&lt;=499.99,26,28)))))-L1311*1.3%-L1311*6%-(L1311-O1311)*9.25%-L1311*3%-L1311*3%-1)</f>
        <v/>
      </c>
      <c r="Q1311" s="60" t="inlineStr">
        <is>
          <t> </t>
        </is>
      </c>
      <c r="R1311" s="60" t="inlineStr">
        <is>
          <t> </t>
        </is>
      </c>
      <c r="S1311" s="60" t="inlineStr">
        <is>
          <t> </t>
        </is>
      </c>
      <c r="T1311" s="60" t="inlineStr">
        <is>
          <t> </t>
        </is>
      </c>
      <c r="U1311" s="60" t="n">
        <v>100381</v>
      </c>
      <c r="V1311" t="inlineStr">
        <is>
          <t>214595</t>
        </is>
      </c>
      <c r="W1311" t="inlineStr">
        <is>
          <t>venda casada (1 pedido)</t>
        </is>
      </c>
      <c r="X1311" t="n">
        <v>1</v>
      </c>
      <c r="Y1311" t="inlineStr">
        <is>
          <t>⚠ evidência fraca (1 pedido)</t>
        </is>
      </c>
    </row>
    <row r="1312" ht="18" customHeight="1">
      <c r="A1312" s="54" t="inlineStr">
        <is>
          <t>Donacor</t>
        </is>
      </c>
      <c r="B1312" s="54" t="inlineStr">
        <is>
          <t>Sutiã Top Loba Sem Costura Lupo Original Soutien Antimicrobial Original</t>
        </is>
      </c>
      <c r="C1312" s="54" t="inlineStr">
        <is>
          <t>Preto,G</t>
        </is>
      </c>
      <c r="D1312" s="54" t="inlineStr">
        <is>
          <t>TOP-LUPO-PRETO-G</t>
        </is>
      </c>
      <c r="E1312" s="54" t="n">
        <v>22393068229</v>
      </c>
      <c r="F1312" s="54" t="n">
        <v>199595906154</v>
      </c>
      <c r="G1312" s="54" t="inlineStr">
        <is>
          <t>NORMAL</t>
        </is>
      </c>
      <c r="H1312" s="86" t="n">
        <v>49.9</v>
      </c>
      <c r="I1312" s="86" t="n">
        <v>49.9</v>
      </c>
      <c r="J1312" s="69" t="inlineStr">
        <is>
          <t>NÃO</t>
        </is>
      </c>
      <c r="K1312" s="54" t="n"/>
      <c r="L1312" s="87" t="n">
        <v>49.9</v>
      </c>
      <c r="P1312" s="90">
        <f>IF($O1312="","",L1312-O1312-(L1312*IF(L1312&lt;=79.99,20%,14%)+IF(L1312&lt;=79.99,4,IF(L1312&lt;=99.99,16,IF(L1312&lt;=199.99,20,IF(L1312&lt;=499.99,26,28)))))-L1312*1.3%-L1312*6%-(L1312-O1312)*9.25%-L1312*3%-L1312*3%-1)</f>
        <v/>
      </c>
      <c r="Q1312" s="54">
        <f>IF(AND(K1312&lt;&gt;"",H1312&gt;0),(H1312-K1312)/H1312,"")</f>
        <v/>
      </c>
      <c r="R1312" s="54" t="n"/>
      <c r="S1312" s="54" t="n"/>
      <c r="T1312" s="54" t="n"/>
      <c r="U1312" s="54" t="n">
        <v>100381</v>
      </c>
      <c r="W1312" t="inlineStr">
        <is>
          <t>sem correspondência</t>
        </is>
      </c>
      <c r="Y1312" t="inlineStr"/>
    </row>
    <row r="1313" ht="18" customHeight="1">
      <c r="A1313" s="60" t="inlineStr">
        <is>
          <t>Donacor</t>
        </is>
      </c>
      <c r="B1313" s="60" t="inlineStr">
        <is>
          <t>Sutiã Top Loba Sem Costura Lupo Original Soutien Antimicrobial Original</t>
        </is>
      </c>
      <c r="C1313" s="60" t="inlineStr">
        <is>
          <t>Preto,M</t>
        </is>
      </c>
      <c r="D1313" s="60" t="inlineStr">
        <is>
          <t>TOP-LUPO-PRETO-M</t>
        </is>
      </c>
      <c r="E1313" s="60" t="n">
        <v>22393068229</v>
      </c>
      <c r="F1313" s="60" t="n">
        <v>199595906161</v>
      </c>
      <c r="G1313" s="60" t="inlineStr">
        <is>
          <t>NORMAL</t>
        </is>
      </c>
      <c r="H1313" s="91" t="n">
        <v>49.9</v>
      </c>
      <c r="I1313" s="91" t="n">
        <v>49.9</v>
      </c>
      <c r="J1313" s="62" t="inlineStr">
        <is>
          <t>NÃO</t>
        </is>
      </c>
      <c r="K1313" s="60" t="inlineStr">
        <is>
          <t> </t>
        </is>
      </c>
      <c r="L1313" s="87" t="n">
        <v>49.9</v>
      </c>
      <c r="P1313" s="92">
        <f>IF($O1313="","",L1313-O1313-(L1313*IF(L1313&lt;=79.99,20%,14%)+IF(L1313&lt;=79.99,4,IF(L1313&lt;=99.99,16,IF(L1313&lt;=199.99,20,IF(L1313&lt;=499.99,26,28)))))-L1313*1.3%-L1313*6%-(L1313-O1313)*9.25%-L1313*3%-L1313*3%-1)</f>
        <v/>
      </c>
      <c r="Q1313" s="60" t="inlineStr">
        <is>
          <t> </t>
        </is>
      </c>
      <c r="R1313" s="60" t="inlineStr">
        <is>
          <t> </t>
        </is>
      </c>
      <c r="S1313" s="60" t="inlineStr">
        <is>
          <t> </t>
        </is>
      </c>
      <c r="T1313" s="60" t="inlineStr">
        <is>
          <t> </t>
        </is>
      </c>
      <c r="U1313" s="60" t="n">
        <v>100381</v>
      </c>
      <c r="W1313" t="inlineStr">
        <is>
          <t>sem correspondência</t>
        </is>
      </c>
      <c r="Y1313" t="inlineStr"/>
    </row>
    <row r="1314" ht="18" customHeight="1">
      <c r="A1314" s="54" t="inlineStr">
        <is>
          <t>Donacor</t>
        </is>
      </c>
      <c r="B1314" s="54" t="inlineStr">
        <is>
          <t>Sutiã Top Loba Sem Costura Lupo Original Soutien Antimicrobial Original</t>
        </is>
      </c>
      <c r="C1314" s="54" t="inlineStr">
        <is>
          <t>Preto,P</t>
        </is>
      </c>
      <c r="D1314" s="54" t="inlineStr">
        <is>
          <t>TOP-LUPO-PRETO-P</t>
        </is>
      </c>
      <c r="E1314" s="54" t="n">
        <v>22393068229</v>
      </c>
      <c r="F1314" s="54" t="n">
        <v>199595906160</v>
      </c>
      <c r="G1314" s="54" t="inlineStr">
        <is>
          <t>NORMAL</t>
        </is>
      </c>
      <c r="H1314" s="86" t="n">
        <v>49.9</v>
      </c>
      <c r="I1314" s="86" t="n">
        <v>39.9</v>
      </c>
      <c r="J1314" s="56" t="inlineStr">
        <is>
          <t>SIM</t>
        </is>
      </c>
      <c r="K1314" s="86" t="n">
        <v>39.9</v>
      </c>
      <c r="L1314" s="87" t="n">
        <v>39.9</v>
      </c>
      <c r="M1314" s="88" t="n">
        <v>1</v>
      </c>
      <c r="N1314" s="89" t="n">
        <v>25.65</v>
      </c>
      <c r="O1314" s="89">
        <f>ROUND(M1314*N1314,2)</f>
        <v/>
      </c>
      <c r="P1314" s="90">
        <f>IF($O1314="","",L1314-O1314-(L1314*IF(L1314&lt;=79.99,20%,14%)+IF(L1314&lt;=79.99,4,IF(L1314&lt;=99.99,16,IF(L1314&lt;=199.99,20,IF(L1314&lt;=499.99,26,28)))))-L1314*1.3%-L1314*6%-(L1314-O1314)*9.25%-L1314*3%-L1314*3%-1)</f>
        <v/>
      </c>
      <c r="Q1314" s="58" t="n">
        <v>0.2</v>
      </c>
      <c r="R1314" s="54" t="inlineStr">
        <is>
          <t>478840979931317, 484946028474774</t>
        </is>
      </c>
      <c r="S1314" s="59" t="n">
        <v>46227.74097222222</v>
      </c>
      <c r="T1314" s="59" t="n">
        <v>46248.99930555555</v>
      </c>
      <c r="U1314" s="54" t="n">
        <v>100381</v>
      </c>
      <c r="V1314" t="inlineStr">
        <is>
          <t>214599</t>
        </is>
      </c>
      <c r="W1314" t="inlineStr">
        <is>
          <t>venda casada (4 pedidos)</t>
        </is>
      </c>
      <c r="X1314" t="n">
        <v>4</v>
      </c>
      <c r="Y1314" t="inlineStr">
        <is>
          <t>ok</t>
        </is>
      </c>
    </row>
    <row r="1315" ht="18" customHeight="1">
      <c r="A1315" s="60" t="inlineStr">
        <is>
          <t>Donacor</t>
        </is>
      </c>
      <c r="B1315" s="60" t="inlineStr">
        <is>
          <t>Tapete Higienico 60un  Espaço De Dicho P/ Cães E Gatos 60x60</t>
        </is>
      </c>
      <c r="C1315" s="60" t="inlineStr">
        <is>
          <t>Sem variação</t>
        </is>
      </c>
      <c r="D1315" s="60" t="n">
        <v>698</v>
      </c>
      <c r="E1315" s="60" t="n">
        <v>22797508066</v>
      </c>
      <c r="F1315" s="60" t="n">
        <v>0</v>
      </c>
      <c r="G1315" s="60" t="inlineStr">
        <is>
          <t>NORMAL</t>
        </is>
      </c>
      <c r="H1315" s="91" t="n">
        <v>149.9</v>
      </c>
      <c r="I1315" s="91" t="n">
        <v>79.90000000000001</v>
      </c>
      <c r="J1315" s="65" t="inlineStr">
        <is>
          <t>SIM</t>
        </is>
      </c>
      <c r="K1315" s="91" t="n">
        <v>79.90000000000001</v>
      </c>
      <c r="L1315" s="87" t="n">
        <v>79.90000000000001</v>
      </c>
      <c r="M1315" s="88" t="n">
        <v>2</v>
      </c>
      <c r="N1315" s="89" t="n">
        <v>19.58</v>
      </c>
      <c r="O1315" s="89">
        <f>ROUND(M1315*N1315,2)</f>
        <v/>
      </c>
      <c r="P1315" s="92">
        <f>IF($O1315="","",L1315-O1315-(L1315*IF(L1315&lt;=79.99,20%,14%)+IF(L1315&lt;=79.99,4,IF(L1315&lt;=99.99,16,IF(L1315&lt;=199.99,20,IF(L1315&lt;=499.99,26,28)))))-L1315*1.3%-L1315*6%-(L1315-O1315)*9.25%-L1315*3%-L1315*3%-1)</f>
        <v/>
      </c>
      <c r="Q1315" s="67" t="n">
        <v>0.467</v>
      </c>
      <c r="R1315" s="60" t="inlineStr">
        <is>
          <t>478840979931317, 484945860710786</t>
        </is>
      </c>
      <c r="S1315" s="68" t="n">
        <v>46227.73958333334</v>
      </c>
      <c r="T1315" s="68" t="n">
        <v>46248.99930555555</v>
      </c>
      <c r="U1315" s="60" t="n">
        <v>100926</v>
      </c>
      <c r="V1315" t="inlineStr">
        <is>
          <t>212952</t>
        </is>
      </c>
      <c r="W1315" t="inlineStr">
        <is>
          <t>venda casada (23 pedidos) · custo do KIT 212446 (2× 212952)</t>
        </is>
      </c>
      <c r="X1315" t="n">
        <v>23</v>
      </c>
      <c r="Y1315" t="inlineStr">
        <is>
          <t>ok</t>
        </is>
      </c>
    </row>
    <row r="1316" ht="18" customHeight="1">
      <c r="A1316" s="54" t="inlineStr">
        <is>
          <t>Donacor</t>
        </is>
      </c>
      <c r="B1316" s="54" t="inlineStr">
        <is>
          <t>Tapete Higiênico Espaço De Bicho 100 un Envio Imediato</t>
        </is>
      </c>
      <c r="C1316" s="54" t="inlineStr">
        <is>
          <t>Sem variação</t>
        </is>
      </c>
      <c r="D1316" s="54" t="n">
        <v>694</v>
      </c>
      <c r="E1316" s="54" t="n">
        <v>22693010957</v>
      </c>
      <c r="F1316" s="54" t="n">
        <v>0</v>
      </c>
      <c r="G1316" s="54" t="inlineStr">
        <is>
          <t>NORMAL</t>
        </is>
      </c>
      <c r="H1316" s="86" t="n">
        <v>159.9</v>
      </c>
      <c r="I1316" s="86" t="n">
        <v>129.9</v>
      </c>
      <c r="J1316" s="56" t="inlineStr">
        <is>
          <t>SIM</t>
        </is>
      </c>
      <c r="K1316" s="86" t="n">
        <v>129.9</v>
      </c>
      <c r="L1316" s="87" t="n">
        <v>129.9</v>
      </c>
      <c r="M1316" s="88" t="n">
        <v>2</v>
      </c>
      <c r="N1316" s="89" t="n">
        <v>33.1</v>
      </c>
      <c r="O1316" s="89">
        <f>ROUND(M1316*N1316,2)</f>
        <v/>
      </c>
      <c r="P1316" s="90">
        <f>IF($O1316="","",L1316-O1316-(L1316*IF(L1316&lt;=79.99,20%,14%)+IF(L1316&lt;=79.99,4,IF(L1316&lt;=99.99,16,IF(L1316&lt;=199.99,20,IF(L1316&lt;=499.99,26,28)))))-L1316*1.3%-L1316*6%-(L1316-O1316)*9.25%-L1316*3%-L1316*3%-1)</f>
        <v/>
      </c>
      <c r="Q1316" s="58" t="n">
        <v>0.188</v>
      </c>
      <c r="R1316" s="54" t="inlineStr">
        <is>
          <t>478840979931317, 484945860710786</t>
        </is>
      </c>
      <c r="S1316" s="59" t="n">
        <v>46227.73958333334</v>
      </c>
      <c r="T1316" s="59" t="n">
        <v>46248.99930555555</v>
      </c>
      <c r="U1316" s="54" t="n">
        <v>100926</v>
      </c>
      <c r="V1316" t="inlineStr">
        <is>
          <t>EDB60X60-50UN</t>
        </is>
      </c>
      <c r="W1316" t="inlineStr">
        <is>
          <t>venda casada (71 pedidos) · custo do KIT 212444 (2× EDB60X60-50UN)</t>
        </is>
      </c>
      <c r="X1316" t="n">
        <v>71</v>
      </c>
      <c r="Y1316" t="inlineStr">
        <is>
          <t>ok</t>
        </is>
      </c>
    </row>
    <row r="1317" ht="18" customHeight="1">
      <c r="A1317" s="60" t="inlineStr">
        <is>
          <t>Donacor</t>
        </is>
      </c>
      <c r="B1317" s="60" t="inlineStr">
        <is>
          <t>Tapete Higienico Espaço de Bicho 50 Unidades Envio Imediato</t>
        </is>
      </c>
      <c r="C1317" s="60" t="inlineStr">
        <is>
          <t>Sem variação</t>
        </is>
      </c>
      <c r="D1317" s="60" t="n">
        <v>697</v>
      </c>
      <c r="E1317" s="60" t="n">
        <v>22793011529</v>
      </c>
      <c r="F1317" s="60" t="n">
        <v>0</v>
      </c>
      <c r="G1317" s="60" t="inlineStr">
        <is>
          <t>NORMAL</t>
        </is>
      </c>
      <c r="H1317" s="91" t="n">
        <v>99.90000000000001</v>
      </c>
      <c r="I1317" s="91" t="n">
        <v>61.9</v>
      </c>
      <c r="J1317" s="65" t="inlineStr">
        <is>
          <t>SIM</t>
        </is>
      </c>
      <c r="K1317" s="91" t="n">
        <v>61.9</v>
      </c>
      <c r="L1317" s="87" t="n">
        <v>61.9</v>
      </c>
      <c r="M1317" s="88" t="n">
        <v>1</v>
      </c>
      <c r="N1317" s="89" t="n">
        <v>33.1</v>
      </c>
      <c r="O1317" s="89">
        <f>ROUND(M1317*N1317,2)</f>
        <v/>
      </c>
      <c r="P1317" s="92">
        <f>IF($O1317="","",L1317-O1317-(L1317*IF(L1317&lt;=79.99,20%,14%)+IF(L1317&lt;=79.99,4,IF(L1317&lt;=99.99,16,IF(L1317&lt;=199.99,20,IF(L1317&lt;=499.99,26,28)))))-L1317*1.3%-L1317*6%-(L1317-O1317)*9.25%-L1317*3%-L1317*3%-1)</f>
        <v/>
      </c>
      <c r="Q1317" s="67" t="n">
        <v>0.38</v>
      </c>
      <c r="R1317" s="60" t="inlineStr">
        <is>
          <t>478840979931317, 484945860710786</t>
        </is>
      </c>
      <c r="S1317" s="68" t="n">
        <v>46227.73958333334</v>
      </c>
      <c r="T1317" s="68" t="n">
        <v>46248.99930555555</v>
      </c>
      <c r="U1317" s="60" t="n">
        <v>100926</v>
      </c>
      <c r="V1317" t="inlineStr">
        <is>
          <t>EDB60X60-50UN</t>
        </is>
      </c>
      <c r="W1317" t="inlineStr">
        <is>
          <t>venda casada (42 pedidos) · custo do KIT 213839 (1× EDB60X60-50UN)</t>
        </is>
      </c>
      <c r="X1317" t="n">
        <v>42</v>
      </c>
      <c r="Y1317" t="inlineStr">
        <is>
          <t>ok</t>
        </is>
      </c>
    </row>
    <row r="1318" ht="18" customHeight="1">
      <c r="A1318" s="54" t="inlineStr">
        <is>
          <t>Donacor</t>
        </is>
      </c>
      <c r="B1318" s="54" t="inlineStr">
        <is>
          <t>Tapete Higiênico Espaço de Bicho 60x60 c/30 Unidades( Envio Imediato )</t>
        </is>
      </c>
      <c r="C1318" s="54" t="inlineStr">
        <is>
          <t>Sem variação</t>
        </is>
      </c>
      <c r="D1318" s="54" t="n">
        <v>696</v>
      </c>
      <c r="E1318" s="54" t="n">
        <v>22593010933</v>
      </c>
      <c r="F1318" s="54" t="n">
        <v>0</v>
      </c>
      <c r="G1318" s="54" t="inlineStr">
        <is>
          <t>NORMAL</t>
        </is>
      </c>
      <c r="H1318" s="86" t="n">
        <v>49.9</v>
      </c>
      <c r="I1318" s="86" t="n">
        <v>41.9</v>
      </c>
      <c r="J1318" s="56" t="inlineStr">
        <is>
          <t>SIM</t>
        </is>
      </c>
      <c r="K1318" s="86" t="n">
        <v>41.9</v>
      </c>
      <c r="L1318" s="87" t="n">
        <v>41.9</v>
      </c>
      <c r="M1318" s="88" t="n">
        <v>1</v>
      </c>
      <c r="N1318" s="89" t="n">
        <v>19.58</v>
      </c>
      <c r="O1318" s="89">
        <f>ROUND(M1318*N1318,2)</f>
        <v/>
      </c>
      <c r="P1318" s="90">
        <f>IF($O1318="","",L1318-O1318-(L1318*IF(L1318&lt;=79.99,20%,14%)+IF(L1318&lt;=79.99,4,IF(L1318&lt;=99.99,16,IF(L1318&lt;=199.99,20,IF(L1318&lt;=499.99,26,28)))))-L1318*1.3%-L1318*6%-(L1318-O1318)*9.25%-L1318*3%-L1318*3%-1)</f>
        <v/>
      </c>
      <c r="Q1318" s="58" t="n">
        <v>0.16</v>
      </c>
      <c r="R1318" s="54" t="inlineStr">
        <is>
          <t>478840979931317, 484945860710786</t>
        </is>
      </c>
      <c r="S1318" s="59" t="n">
        <v>46227.73958333334</v>
      </c>
      <c r="T1318" s="59" t="n">
        <v>46248.99930555555</v>
      </c>
      <c r="U1318" s="54" t="n">
        <v>100926</v>
      </c>
      <c r="V1318" t="inlineStr">
        <is>
          <t>212952</t>
        </is>
      </c>
      <c r="W1318" t="inlineStr">
        <is>
          <t>venda casada (70 pedidos) · custo do KIT 213841 (1× 212952)</t>
        </is>
      </c>
      <c r="X1318" t="n">
        <v>70</v>
      </c>
      <c r="Y1318" t="inlineStr">
        <is>
          <t>ok</t>
        </is>
      </c>
    </row>
    <row r="1319" ht="18" customHeight="1">
      <c r="A1319" s="60" t="inlineStr">
        <is>
          <t>Donacor</t>
        </is>
      </c>
      <c r="B1319" s="60" t="inlineStr">
        <is>
          <t>Tapete Higienico Good Pad 50 Unidades Envio Imediato</t>
        </is>
      </c>
      <c r="C1319" s="60" t="inlineStr">
        <is>
          <t>30 Unidades</t>
        </is>
      </c>
      <c r="D1319" s="60" t="n">
        <v>770</v>
      </c>
      <c r="E1319" s="60" t="n">
        <v>18199267642</v>
      </c>
      <c r="F1319" s="60" t="n">
        <v>179398347748</v>
      </c>
      <c r="G1319" s="60" t="inlineStr">
        <is>
          <t>NORMAL</t>
        </is>
      </c>
      <c r="H1319" s="91" t="n">
        <v>79.90000000000001</v>
      </c>
      <c r="I1319" s="91" t="n">
        <v>41.59</v>
      </c>
      <c r="J1319" s="65" t="inlineStr">
        <is>
          <t>SIM</t>
        </is>
      </c>
      <c r="K1319" s="91" t="n">
        <v>41.59</v>
      </c>
      <c r="L1319" s="87" t="n">
        <v>41.59</v>
      </c>
      <c r="M1319" s="88" t="n">
        <v>1</v>
      </c>
      <c r="N1319" s="89" t="n">
        <v>18.75</v>
      </c>
      <c r="O1319" s="89">
        <f>ROUND(M1319*N1319,2)</f>
        <v/>
      </c>
      <c r="P1319" s="92">
        <f>IF($O1319="","",L1319-O1319-(L1319*IF(L1319&lt;=79.99,20%,14%)+IF(L1319&lt;=79.99,4,IF(L1319&lt;=99.99,16,IF(L1319&lt;=199.99,20,IF(L1319&lt;=499.99,26,28)))))-L1319*1.3%-L1319*6%-(L1319-O1319)*9.25%-L1319*3%-L1319*3%-1)</f>
        <v/>
      </c>
      <c r="Q1319" s="67" t="n">
        <v>0.479</v>
      </c>
      <c r="R1319" s="60" t="n">
        <v>492459130044625</v>
      </c>
      <c r="S1319" s="68" t="n">
        <v>46248.47222222222</v>
      </c>
      <c r="T1319" s="68" t="n">
        <v>46254.99930555555</v>
      </c>
      <c r="U1319" s="60" t="n">
        <v>100926</v>
      </c>
      <c r="V1319" t="inlineStr">
        <is>
          <t>212960</t>
        </is>
      </c>
      <c r="W1319" t="inlineStr">
        <is>
          <t>venda casada (3 pedidos) · custo do KIT 213829 (1× 212960)</t>
        </is>
      </c>
      <c r="X1319" t="n">
        <v>3</v>
      </c>
      <c r="Y1319" t="inlineStr">
        <is>
          <t>ok</t>
        </is>
      </c>
    </row>
    <row r="1320" ht="18" customHeight="1">
      <c r="A1320" s="54" t="inlineStr">
        <is>
          <t>Donacor</t>
        </is>
      </c>
      <c r="B1320" s="54" t="inlineStr">
        <is>
          <t>Tapete Higienico Good Pad 50 Unidades Envio Imediato</t>
        </is>
      </c>
      <c r="C1320" s="54" t="inlineStr">
        <is>
          <t>50 Unidades</t>
        </is>
      </c>
      <c r="D1320" s="54" t="n">
        <v>771</v>
      </c>
      <c r="E1320" s="54" t="n">
        <v>18199267642</v>
      </c>
      <c r="F1320" s="54" t="n">
        <v>179398347749</v>
      </c>
      <c r="G1320" s="54" t="inlineStr">
        <is>
          <t>NORMAL</t>
        </is>
      </c>
      <c r="H1320" s="86" t="n">
        <v>99</v>
      </c>
      <c r="I1320" s="86" t="n">
        <v>45.39</v>
      </c>
      <c r="J1320" s="56" t="inlineStr">
        <is>
          <t>SIM</t>
        </is>
      </c>
      <c r="K1320" s="86" t="n">
        <v>45.39</v>
      </c>
      <c r="L1320" s="87" t="n">
        <v>45.39</v>
      </c>
      <c r="M1320" s="88" t="n">
        <v>1</v>
      </c>
      <c r="N1320" s="89" t="n">
        <v>33.46</v>
      </c>
      <c r="O1320" s="89">
        <f>ROUND(M1320*N1320,2)</f>
        <v/>
      </c>
      <c r="P1320" s="93">
        <f>IF($O1320="","",L1320-O1320-(L1320*IF(L1320&lt;=79.99,20%,14%)+IF(L1320&lt;=79.99,4,IF(L1320&lt;=99.99,16,IF(L1320&lt;=199.99,20,IF(L1320&lt;=499.99,26,28)))))-L1320*1.3%-L1320*6%-(L1320-O1320)*9.25%-L1320*3%-L1320*3%-1)</f>
        <v/>
      </c>
      <c r="Q1320" s="58" t="n">
        <v>0.542</v>
      </c>
      <c r="R1320" s="54" t="n">
        <v>492459130044625</v>
      </c>
      <c r="S1320" s="59" t="n">
        <v>46248.47222222222</v>
      </c>
      <c r="T1320" s="59" t="n">
        <v>46254.99930555555</v>
      </c>
      <c r="U1320" s="54" t="n">
        <v>100926</v>
      </c>
      <c r="V1320" t="inlineStr">
        <is>
          <t>212961</t>
        </is>
      </c>
      <c r="W1320" t="inlineStr">
        <is>
          <t>venda casada (70 pedidos) · custo do KIT 213830 (1× 212961)</t>
        </is>
      </c>
      <c r="X1320" t="n">
        <v>70</v>
      </c>
      <c r="Y1320" t="inlineStr">
        <is>
          <t>ok</t>
        </is>
      </c>
    </row>
    <row r="1321" ht="18" customHeight="1">
      <c r="A1321" s="60" t="inlineStr">
        <is>
          <t>Donacor</t>
        </is>
      </c>
      <c r="B1321" s="60" t="inlineStr">
        <is>
          <t>Tapete Higiênico Good Pad 60x60 com 150 unidades</t>
        </is>
      </c>
      <c r="C1321" s="60" t="inlineStr">
        <is>
          <t>Sem variação</t>
        </is>
      </c>
      <c r="D1321" s="60" t="n">
        <v>1351</v>
      </c>
      <c r="E1321" s="60" t="n">
        <v>22797507971</v>
      </c>
      <c r="F1321" s="60" t="n">
        <v>0</v>
      </c>
      <c r="G1321" s="60" t="inlineStr">
        <is>
          <t>NORMAL</t>
        </is>
      </c>
      <c r="H1321" s="91" t="n">
        <v>299.9</v>
      </c>
      <c r="I1321" s="91" t="n">
        <v>184.9</v>
      </c>
      <c r="J1321" s="65" t="inlineStr">
        <is>
          <t>SIM</t>
        </is>
      </c>
      <c r="K1321" s="91" t="n">
        <v>184.9</v>
      </c>
      <c r="L1321" s="87" t="n">
        <v>184.9</v>
      </c>
      <c r="P1321" s="92">
        <f>IF($O1321="","",L1321-O1321-(L1321*IF(L1321&lt;=79.99,20%,14%)+IF(L1321&lt;=79.99,4,IF(L1321&lt;=99.99,16,IF(L1321&lt;=199.99,20,IF(L1321&lt;=499.99,26,28)))))-L1321*1.3%-L1321*6%-(L1321-O1321)*9.25%-L1321*3%-L1321*3%-1)</f>
        <v/>
      </c>
      <c r="Q1321" s="67" t="n">
        <v>0.383</v>
      </c>
      <c r="R1321" s="60" t="inlineStr">
        <is>
          <t>478840979931317, 484945860710786</t>
        </is>
      </c>
      <c r="S1321" s="68" t="n">
        <v>46227.73958333334</v>
      </c>
      <c r="T1321" s="68" t="n">
        <v>46248.99930555555</v>
      </c>
      <c r="U1321" s="60" t="n">
        <v>100926</v>
      </c>
      <c r="W1321" t="inlineStr">
        <is>
          <t>sem correspondência</t>
        </is>
      </c>
      <c r="Y1321" t="inlineStr"/>
    </row>
    <row r="1322" ht="18" customHeight="1">
      <c r="A1322" s="54" t="inlineStr">
        <is>
          <t>Donacor</t>
        </is>
      </c>
      <c r="B1322" s="54" t="inlineStr">
        <is>
          <t>Tapete Higienico Good Pad P/ Cães E Gatos 60x60 Com 30</t>
        </is>
      </c>
      <c r="C1322" s="54" t="inlineStr">
        <is>
          <t>Sem variação</t>
        </is>
      </c>
      <c r="D1322" s="54" t="n">
        <v>711</v>
      </c>
      <c r="E1322" s="54" t="n">
        <v>23493006104</v>
      </c>
      <c r="F1322" s="54" t="n">
        <v>0</v>
      </c>
      <c r="G1322" s="54" t="inlineStr">
        <is>
          <t>NORMAL</t>
        </is>
      </c>
      <c r="H1322" s="86" t="n">
        <v>44.9</v>
      </c>
      <c r="I1322" s="86" t="n">
        <v>44.9</v>
      </c>
      <c r="J1322" s="69" t="inlineStr">
        <is>
          <t>NÃO</t>
        </is>
      </c>
      <c r="K1322" s="54" t="n"/>
      <c r="L1322" s="87" t="n">
        <v>44.9</v>
      </c>
      <c r="M1322" s="88" t="n">
        <v>1</v>
      </c>
      <c r="N1322" s="89" t="n">
        <v>18.75</v>
      </c>
      <c r="O1322" s="89">
        <f>ROUND(M1322*N1322,2)</f>
        <v/>
      </c>
      <c r="P1322" s="90">
        <f>IF($O1322="","",L1322-O1322-(L1322*IF(L1322&lt;=79.99,20%,14%)+IF(L1322&lt;=79.99,4,IF(L1322&lt;=99.99,16,IF(L1322&lt;=199.99,20,IF(L1322&lt;=499.99,26,28)))))-L1322*1.3%-L1322*6%-(L1322-O1322)*9.25%-L1322*3%-L1322*3%-1)</f>
        <v/>
      </c>
      <c r="Q1322" s="54">
        <f>IF(AND(K1322&lt;&gt;"",H1322&gt;0),(H1322-K1322)/H1322,"")</f>
        <v/>
      </c>
      <c r="R1322" s="54" t="n"/>
      <c r="S1322" s="54" t="n"/>
      <c r="T1322" s="54" t="n"/>
      <c r="U1322" s="54" t="n">
        <v>100926</v>
      </c>
      <c r="V1322" t="inlineStr">
        <is>
          <t>212960</t>
        </is>
      </c>
      <c r="W1322" t="inlineStr">
        <is>
          <t>venda casada (4 pedidos) · custo do KIT 213829 (1× 212960)</t>
        </is>
      </c>
      <c r="X1322" t="n">
        <v>4</v>
      </c>
      <c r="Y1322" t="inlineStr">
        <is>
          <t>ok</t>
        </is>
      </c>
    </row>
    <row r="1323" ht="18" customHeight="1">
      <c r="A1323" s="60" t="inlineStr">
        <is>
          <t>Donacor</t>
        </is>
      </c>
      <c r="B1323" s="60" t="inlineStr">
        <is>
          <t>Tapete Higienico Pet Good Pads 80x60 com com 60 Unidades</t>
        </is>
      </c>
      <c r="C1323" s="60" t="inlineStr">
        <is>
          <t>Sem variação</t>
        </is>
      </c>
      <c r="D1323" s="60" t="n">
        <v>708</v>
      </c>
      <c r="E1323" s="60" t="n">
        <v>23593006183</v>
      </c>
      <c r="F1323" s="60" t="n">
        <v>0</v>
      </c>
      <c r="G1323" s="60" t="inlineStr">
        <is>
          <t>NORMAL</t>
        </is>
      </c>
      <c r="H1323" s="91" t="n">
        <v>199.9</v>
      </c>
      <c r="I1323" s="91" t="n">
        <v>109.89</v>
      </c>
      <c r="J1323" s="65" t="inlineStr">
        <is>
          <t>SIM</t>
        </is>
      </c>
      <c r="K1323" s="91" t="n">
        <v>109.89</v>
      </c>
      <c r="L1323" s="87" t="n">
        <v>109.89</v>
      </c>
      <c r="M1323" s="88" t="n">
        <v>2</v>
      </c>
      <c r="N1323" s="89" t="n">
        <v>26.19</v>
      </c>
      <c r="O1323" s="89">
        <f>ROUND(M1323*N1323,2)</f>
        <v/>
      </c>
      <c r="P1323" s="92">
        <f>IF($O1323="","",L1323-O1323-(L1323*IF(L1323&lt;=79.99,20%,14%)+IF(L1323&lt;=79.99,4,IF(L1323&lt;=99.99,16,IF(L1323&lt;=199.99,20,IF(L1323&lt;=499.99,26,28)))))-L1323*1.3%-L1323*6%-(L1323-O1323)*9.25%-L1323*3%-L1323*3%-1)</f>
        <v/>
      </c>
      <c r="Q1323" s="67" t="n">
        <v>0.45</v>
      </c>
      <c r="R1323" s="60" t="inlineStr">
        <is>
          <t>478840979931317, 484945860710786</t>
        </is>
      </c>
      <c r="S1323" s="68" t="n">
        <v>46227.73958333334</v>
      </c>
      <c r="T1323" s="68" t="n">
        <v>46248.99930555555</v>
      </c>
      <c r="U1323" s="60" t="n">
        <v>100926</v>
      </c>
      <c r="V1323" t="inlineStr">
        <is>
          <t>212959</t>
        </is>
      </c>
      <c r="W1323" t="inlineStr">
        <is>
          <t>venda casada (15 pedidos) · custo do KIT 212457 (2× 212959)</t>
        </is>
      </c>
      <c r="X1323" t="n">
        <v>15</v>
      </c>
      <c r="Y1323" t="inlineStr">
        <is>
          <t>ok</t>
        </is>
      </c>
    </row>
    <row r="1324" ht="18" customHeight="1">
      <c r="A1324" s="54" t="inlineStr">
        <is>
          <t>Donacor</t>
        </is>
      </c>
      <c r="B1324" s="54" t="inlineStr">
        <is>
          <t>Tapete Higiênico Pet P/ Cães Ultra Pads Lavanda 80x60 90unid</t>
        </is>
      </c>
      <c r="C1324" s="54" t="inlineStr">
        <is>
          <t>Sem variação</t>
        </is>
      </c>
      <c r="D1324" s="54" t="n">
        <v>742</v>
      </c>
      <c r="E1324" s="54" t="n">
        <v>23593006199</v>
      </c>
      <c r="F1324" s="54" t="n">
        <v>0</v>
      </c>
      <c r="G1324" s="54" t="inlineStr">
        <is>
          <t>NORMAL</t>
        </is>
      </c>
      <c r="H1324" s="86" t="n">
        <v>399.8</v>
      </c>
      <c r="I1324" s="86" t="n">
        <v>184.9</v>
      </c>
      <c r="J1324" s="56" t="inlineStr">
        <is>
          <t>SIM</t>
        </is>
      </c>
      <c r="K1324" s="86" t="n">
        <v>184.9</v>
      </c>
      <c r="L1324" s="87" t="n">
        <v>184.9</v>
      </c>
      <c r="P1324" s="90">
        <f>IF($O1324="","",L1324-O1324-(L1324*IF(L1324&lt;=79.99,20%,14%)+IF(L1324&lt;=79.99,4,IF(L1324&lt;=99.99,16,IF(L1324&lt;=199.99,20,IF(L1324&lt;=499.99,26,28)))))-L1324*1.3%-L1324*6%-(L1324-O1324)*9.25%-L1324*3%-L1324*3%-1)</f>
        <v/>
      </c>
      <c r="Q1324" s="58" t="n">
        <v>0.538</v>
      </c>
      <c r="R1324" s="54" t="inlineStr">
        <is>
          <t>484946028474774, 478840979931317</t>
        </is>
      </c>
      <c r="S1324" s="59" t="n">
        <v>46227.74097222222</v>
      </c>
      <c r="T1324" s="59" t="n">
        <v>46248.99930555555</v>
      </c>
      <c r="U1324" s="54" t="n">
        <v>100926</v>
      </c>
      <c r="V1324" t="inlineStr">
        <is>
          <t>742</t>
        </is>
      </c>
      <c r="W1324" t="inlineStr">
        <is>
          <t>SKU idêntico na Olist · CUSTO ZERADO na Olist (conferido hoje)</t>
        </is>
      </c>
      <c r="Y1324" t="inlineStr">
        <is>
          <t>ok</t>
        </is>
      </c>
    </row>
    <row r="1325" ht="18" customHeight="1">
      <c r="A1325" s="60" t="inlineStr">
        <is>
          <t>Donacor</t>
        </is>
      </c>
      <c r="B1325" s="60" t="inlineStr">
        <is>
          <t>Tapete Higiênico Ultra Pad 30unid. 80x60cm Aroma Lavanda</t>
        </is>
      </c>
      <c r="C1325" s="60" t="inlineStr">
        <is>
          <t>Sem variação</t>
        </is>
      </c>
      <c r="D1325" s="60" t="n">
        <v>740</v>
      </c>
      <c r="E1325" s="60" t="n">
        <v>23493010482</v>
      </c>
      <c r="F1325" s="60" t="n">
        <v>0</v>
      </c>
      <c r="G1325" s="60" t="inlineStr">
        <is>
          <t>NORMAL</t>
        </is>
      </c>
      <c r="H1325" s="91" t="n">
        <v>199.8</v>
      </c>
      <c r="I1325" s="91" t="n">
        <v>61.9</v>
      </c>
      <c r="J1325" s="65" t="inlineStr">
        <is>
          <t>SIM</t>
        </is>
      </c>
      <c r="K1325" s="91" t="n">
        <v>61.9</v>
      </c>
      <c r="L1325" s="87" t="n">
        <v>61.9</v>
      </c>
      <c r="P1325" s="92">
        <f>IF($O1325="","",L1325-O1325-(L1325*IF(L1325&lt;=79.99,20%,14%)+IF(L1325&lt;=79.99,4,IF(L1325&lt;=99.99,16,IF(L1325&lt;=199.99,20,IF(L1325&lt;=499.99,26,28)))))-L1325*1.3%-L1325*6%-(L1325-O1325)*9.25%-L1325*3%-L1325*3%-1)</f>
        <v/>
      </c>
      <c r="Q1325" s="67" t="n">
        <v>0.6899999999999999</v>
      </c>
      <c r="R1325" s="60" t="inlineStr">
        <is>
          <t>478840979931317, 484946028474774</t>
        </is>
      </c>
      <c r="S1325" s="68" t="n">
        <v>46227.74097222222</v>
      </c>
      <c r="T1325" s="68" t="n">
        <v>46248.99930555555</v>
      </c>
      <c r="U1325" s="60" t="n">
        <v>100926</v>
      </c>
      <c r="V1325" t="inlineStr">
        <is>
          <t>740</t>
        </is>
      </c>
      <c r="W1325" t="inlineStr">
        <is>
          <t>SKU idêntico na Olist · CUSTO ZERADO na Olist (conferido hoje)</t>
        </is>
      </c>
      <c r="Y1325" t="inlineStr">
        <is>
          <t>ok</t>
        </is>
      </c>
    </row>
    <row r="1326" ht="18" customHeight="1">
      <c r="A1326" s="54" t="inlineStr">
        <is>
          <t>Donacor</t>
        </is>
      </c>
      <c r="B1326" s="54" t="inlineStr">
        <is>
          <t>Top Fem Esportivo Max Lupo Seamless Academia New Lançamento</t>
        </is>
      </c>
      <c r="C1326" s="54" t="inlineStr">
        <is>
          <t>Ameixa,G</t>
        </is>
      </c>
      <c r="D1326" s="54" t="inlineStr">
        <is>
          <t>TOP-LUPO-MAX-G-AMEIXA</t>
        </is>
      </c>
      <c r="E1326" s="54" t="n">
        <v>44458614611</v>
      </c>
      <c r="F1326" s="54" t="n">
        <v>258650740914</v>
      </c>
      <c r="G1326" s="54" t="inlineStr">
        <is>
          <t>NORMAL</t>
        </is>
      </c>
      <c r="H1326" s="86" t="n">
        <v>169.9</v>
      </c>
      <c r="I1326" s="86" t="n">
        <v>169.9</v>
      </c>
      <c r="J1326" s="56" t="inlineStr">
        <is>
          <t>SIM</t>
        </is>
      </c>
      <c r="K1326" s="86" t="n">
        <v>169.9</v>
      </c>
      <c r="L1326" s="87" t="n">
        <v>109.9</v>
      </c>
      <c r="P1326" s="90">
        <f>IF($O1326="","",L1326-O1326-(L1326*IF(L1326&lt;=79.99,20%,14%)+IF(L1326&lt;=79.99,4,IF(L1326&lt;=99.99,16,IF(L1326&lt;=199.99,20,IF(L1326&lt;=499.99,26,28)))))-L1326*1.3%-L1326*6%-(L1326-O1326)*9.25%-L1326*3%-L1326*3%-1)</f>
        <v/>
      </c>
      <c r="Q1326" s="58" t="n">
        <v>0.353</v>
      </c>
      <c r="R1326" s="54" t="n">
        <v>430216220717087</v>
      </c>
      <c r="S1326" s="59" t="n">
        <v>46076.76111111111</v>
      </c>
      <c r="T1326" s="59" t="n">
        <v>46255.41666666666</v>
      </c>
      <c r="U1326" s="54" t="n">
        <v>101315</v>
      </c>
      <c r="W1326" t="inlineStr">
        <is>
          <t>sem correspondência</t>
        </is>
      </c>
      <c r="Y1326" t="inlineStr"/>
    </row>
    <row r="1327" ht="18" customHeight="1">
      <c r="A1327" s="60" t="inlineStr">
        <is>
          <t>Donacor</t>
        </is>
      </c>
      <c r="B1327" s="60" t="inlineStr">
        <is>
          <t>Top Fem Esportivo Max Lupo Seamless Academia New Lançamento</t>
        </is>
      </c>
      <c r="C1327" s="60" t="inlineStr">
        <is>
          <t>Ameixa,GG</t>
        </is>
      </c>
      <c r="D1327" s="60" t="inlineStr">
        <is>
          <t>TOP-LUPO-MAX-GG-AMEIXA</t>
        </is>
      </c>
      <c r="E1327" s="60" t="n">
        <v>44458614611</v>
      </c>
      <c r="F1327" s="60" t="n">
        <v>258650740915</v>
      </c>
      <c r="G1327" s="60" t="inlineStr">
        <is>
          <t>NORMAL</t>
        </is>
      </c>
      <c r="H1327" s="91" t="n">
        <v>169.9</v>
      </c>
      <c r="I1327" s="91" t="n">
        <v>169.9</v>
      </c>
      <c r="J1327" s="65" t="inlineStr">
        <is>
          <t>SIM</t>
        </is>
      </c>
      <c r="K1327" s="91" t="n">
        <v>169.9</v>
      </c>
      <c r="L1327" s="87" t="n">
        <v>109.9</v>
      </c>
      <c r="P1327" s="92">
        <f>IF($O1327="","",L1327-O1327-(L1327*IF(L1327&lt;=79.99,20%,14%)+IF(L1327&lt;=79.99,4,IF(L1327&lt;=99.99,16,IF(L1327&lt;=199.99,20,IF(L1327&lt;=499.99,26,28)))))-L1327*1.3%-L1327*6%-(L1327-O1327)*9.25%-L1327*3%-L1327*3%-1)</f>
        <v/>
      </c>
      <c r="Q1327" s="67" t="n">
        <v>0.353</v>
      </c>
      <c r="R1327" s="60" t="n">
        <v>430216220717087</v>
      </c>
      <c r="S1327" s="68" t="n">
        <v>46076.76111111111</v>
      </c>
      <c r="T1327" s="68" t="n">
        <v>46255.41666666666</v>
      </c>
      <c r="U1327" s="60" t="n">
        <v>101315</v>
      </c>
      <c r="W1327" t="inlineStr">
        <is>
          <t>sem correspondência</t>
        </is>
      </c>
      <c r="Y1327" t="inlineStr"/>
    </row>
    <row r="1328" ht="18" customHeight="1">
      <c r="A1328" s="54" t="inlineStr">
        <is>
          <t>Donacor</t>
        </is>
      </c>
      <c r="B1328" s="54" t="inlineStr">
        <is>
          <t>Top Fem Esportivo Max Lupo Seamless Academia New Lançamento</t>
        </is>
      </c>
      <c r="C1328" s="54" t="inlineStr">
        <is>
          <t>Ameixa,M</t>
        </is>
      </c>
      <c r="D1328" s="54" t="inlineStr">
        <is>
          <t>TOP-LUPO-MAX-M-AMEIXA</t>
        </is>
      </c>
      <c r="E1328" s="54" t="n">
        <v>44458614611</v>
      </c>
      <c r="F1328" s="54" t="n">
        <v>280792315572</v>
      </c>
      <c r="G1328" s="54" t="inlineStr">
        <is>
          <t>NORMAL</t>
        </is>
      </c>
      <c r="H1328" s="86" t="n">
        <v>169.9</v>
      </c>
      <c r="I1328" s="86" t="n">
        <v>169.9</v>
      </c>
      <c r="J1328" s="56" t="inlineStr">
        <is>
          <t>SIM</t>
        </is>
      </c>
      <c r="K1328" s="86" t="n">
        <v>169.9</v>
      </c>
      <c r="L1328" s="87" t="n">
        <v>109.9</v>
      </c>
      <c r="P1328" s="90">
        <f>IF($O1328="","",L1328-O1328-(L1328*IF(L1328&lt;=79.99,20%,14%)+IF(L1328&lt;=79.99,4,IF(L1328&lt;=99.99,16,IF(L1328&lt;=199.99,20,IF(L1328&lt;=499.99,26,28)))))-L1328*1.3%-L1328*6%-(L1328-O1328)*9.25%-L1328*3%-L1328*3%-1)</f>
        <v/>
      </c>
      <c r="Q1328" s="58" t="n">
        <v>0.353</v>
      </c>
      <c r="R1328" s="54" t="n">
        <v>430216220717087</v>
      </c>
      <c r="S1328" s="59" t="n">
        <v>46076.76111111111</v>
      </c>
      <c r="T1328" s="59" t="n">
        <v>46255.41666666666</v>
      </c>
      <c r="U1328" s="54" t="n">
        <v>101315</v>
      </c>
      <c r="W1328" t="inlineStr">
        <is>
          <t>sem correspondência</t>
        </is>
      </c>
      <c r="Y1328" t="inlineStr"/>
    </row>
    <row r="1329" ht="18" customHeight="1">
      <c r="A1329" s="60" t="inlineStr">
        <is>
          <t>Donacor</t>
        </is>
      </c>
      <c r="B1329" s="60" t="inlineStr">
        <is>
          <t>Top Fem Esportivo Max Lupo Seamless Academia New Lançamento</t>
        </is>
      </c>
      <c r="C1329" s="60" t="inlineStr">
        <is>
          <t>Ameixa,P</t>
        </is>
      </c>
      <c r="D1329" s="60" t="inlineStr">
        <is>
          <t>TOP-LUPO-MAX-P-AMEIXA</t>
        </is>
      </c>
      <c r="E1329" s="60" t="n">
        <v>44458614611</v>
      </c>
      <c r="F1329" s="60" t="n">
        <v>280792315571</v>
      </c>
      <c r="G1329" s="60" t="inlineStr">
        <is>
          <t>NORMAL</t>
        </is>
      </c>
      <c r="H1329" s="91" t="n">
        <v>169.9</v>
      </c>
      <c r="I1329" s="91" t="n">
        <v>169.9</v>
      </c>
      <c r="J1329" s="65" t="inlineStr">
        <is>
          <t>SIM</t>
        </is>
      </c>
      <c r="K1329" s="91" t="n">
        <v>169.9</v>
      </c>
      <c r="L1329" s="87" t="n">
        <v>109.9</v>
      </c>
      <c r="P1329" s="92">
        <f>IF($O1329="","",L1329-O1329-(L1329*IF(L1329&lt;=79.99,20%,14%)+IF(L1329&lt;=79.99,4,IF(L1329&lt;=99.99,16,IF(L1329&lt;=199.99,20,IF(L1329&lt;=499.99,26,28)))))-L1329*1.3%-L1329*6%-(L1329-O1329)*9.25%-L1329*3%-L1329*3%-1)</f>
        <v/>
      </c>
      <c r="Q1329" s="67" t="n">
        <v>0.353</v>
      </c>
      <c r="R1329" s="60" t="n">
        <v>430216220717087</v>
      </c>
      <c r="S1329" s="68" t="n">
        <v>46076.76111111111</v>
      </c>
      <c r="T1329" s="68" t="n">
        <v>46255.41666666666</v>
      </c>
      <c r="U1329" s="60" t="n">
        <v>101315</v>
      </c>
      <c r="W1329" t="inlineStr">
        <is>
          <t>sem correspondência</t>
        </is>
      </c>
      <c r="Y1329" t="inlineStr"/>
    </row>
    <row r="1330" ht="18" customHeight="1">
      <c r="A1330" s="54" t="inlineStr">
        <is>
          <t>Donacor</t>
        </is>
      </c>
      <c r="B1330" s="54" t="inlineStr">
        <is>
          <t>Top Fem Esportivo Max Lupo Seamless Academia New Lançamento</t>
        </is>
      </c>
      <c r="C1330" s="54" t="inlineStr">
        <is>
          <t>Ameixa,XG</t>
        </is>
      </c>
      <c r="D1330" s="54" t="inlineStr">
        <is>
          <t>TOP-LUPO-MAX-XG-AMEIXA</t>
        </is>
      </c>
      <c r="E1330" s="54" t="n">
        <v>44458614611</v>
      </c>
      <c r="F1330" s="54" t="n">
        <v>258650740916</v>
      </c>
      <c r="G1330" s="54" t="inlineStr">
        <is>
          <t>NORMAL</t>
        </is>
      </c>
      <c r="H1330" s="86" t="n">
        <v>169.9</v>
      </c>
      <c r="I1330" s="86" t="n">
        <v>169.9</v>
      </c>
      <c r="J1330" s="56" t="inlineStr">
        <is>
          <t>SIM</t>
        </is>
      </c>
      <c r="K1330" s="86" t="n">
        <v>169.9</v>
      </c>
      <c r="L1330" s="87" t="n">
        <v>109.9</v>
      </c>
      <c r="P1330" s="90">
        <f>IF($O1330="","",L1330-O1330-(L1330*IF(L1330&lt;=79.99,20%,14%)+IF(L1330&lt;=79.99,4,IF(L1330&lt;=99.99,16,IF(L1330&lt;=199.99,20,IF(L1330&lt;=499.99,26,28)))))-L1330*1.3%-L1330*6%-(L1330-O1330)*9.25%-L1330*3%-L1330*3%-1)</f>
        <v/>
      </c>
      <c r="Q1330" s="58" t="n">
        <v>0.353</v>
      </c>
      <c r="R1330" s="54" t="n">
        <v>430216220717087</v>
      </c>
      <c r="S1330" s="59" t="n">
        <v>46076.76111111111</v>
      </c>
      <c r="T1330" s="59" t="n">
        <v>46255.41666666666</v>
      </c>
      <c r="U1330" s="54" t="n">
        <v>101315</v>
      </c>
      <c r="W1330" t="inlineStr">
        <is>
          <t>sem correspondência</t>
        </is>
      </c>
      <c r="Y1330" t="inlineStr"/>
    </row>
    <row r="1331" ht="18" customHeight="1">
      <c r="A1331" s="60" t="inlineStr">
        <is>
          <t>Donacor</t>
        </is>
      </c>
      <c r="B1331" s="60" t="inlineStr">
        <is>
          <t>Top Fem Esportivo Max Lupo Seamless Academia New Lançamento</t>
        </is>
      </c>
      <c r="C1331" s="60" t="inlineStr">
        <is>
          <t>Azul Anil,G</t>
        </is>
      </c>
      <c r="D1331" s="60" t="inlineStr">
        <is>
          <t>TOP-LUPO-MAX-G-AZUL-ANIL</t>
        </is>
      </c>
      <c r="E1331" s="60" t="n">
        <v>44458614611</v>
      </c>
      <c r="F1331" s="60" t="n">
        <v>280857221587</v>
      </c>
      <c r="G1331" s="60" t="inlineStr">
        <is>
          <t>NORMAL</t>
        </is>
      </c>
      <c r="H1331" s="91" t="n">
        <v>169.9</v>
      </c>
      <c r="I1331" s="91" t="n">
        <v>169.9</v>
      </c>
      <c r="J1331" s="65" t="inlineStr">
        <is>
          <t>SIM</t>
        </is>
      </c>
      <c r="K1331" s="91" t="n">
        <v>169.9</v>
      </c>
      <c r="L1331" s="87" t="n">
        <v>109.9</v>
      </c>
      <c r="P1331" s="92">
        <f>IF($O1331="","",L1331-O1331-(L1331*IF(L1331&lt;=79.99,20%,14%)+IF(L1331&lt;=79.99,4,IF(L1331&lt;=99.99,16,IF(L1331&lt;=199.99,20,IF(L1331&lt;=499.99,26,28)))))-L1331*1.3%-L1331*6%-(L1331-O1331)*9.25%-L1331*3%-L1331*3%-1)</f>
        <v/>
      </c>
      <c r="Q1331" s="67" t="n">
        <v>0.353</v>
      </c>
      <c r="R1331" s="60" t="n">
        <v>430216220717087</v>
      </c>
      <c r="S1331" s="68" t="n">
        <v>46076.76111111111</v>
      </c>
      <c r="T1331" s="68" t="n">
        <v>46255.41666666666</v>
      </c>
      <c r="U1331" s="60" t="n">
        <v>101315</v>
      </c>
      <c r="V1331" t="inlineStr">
        <is>
          <t>TOP-LUPO-MAX-G-AZUL-ANIL</t>
        </is>
      </c>
      <c r="W1331" t="inlineStr">
        <is>
          <t>SKU idêntico na Olist · CUSTO ZERADO na Olist (junho)</t>
        </is>
      </c>
      <c r="Y1331" t="inlineStr">
        <is>
          <t>ok</t>
        </is>
      </c>
    </row>
    <row r="1332" ht="18" customHeight="1">
      <c r="A1332" s="54" t="inlineStr">
        <is>
          <t>Donacor</t>
        </is>
      </c>
      <c r="B1332" s="54" t="inlineStr">
        <is>
          <t>Top Fem Esportivo Max Lupo Seamless Academia New Lançamento</t>
        </is>
      </c>
      <c r="C1332" s="54" t="inlineStr">
        <is>
          <t>Azul Anil,GG</t>
        </is>
      </c>
      <c r="D1332" s="54" t="inlineStr">
        <is>
          <t>TOP-LUPO-MAX-GG-AZUL-ANIL</t>
        </is>
      </c>
      <c r="E1332" s="54" t="n">
        <v>44458614611</v>
      </c>
      <c r="F1332" s="54" t="n">
        <v>280857221588</v>
      </c>
      <c r="G1332" s="54" t="inlineStr">
        <is>
          <t>NORMAL</t>
        </is>
      </c>
      <c r="H1332" s="86" t="n">
        <v>169.9</v>
      </c>
      <c r="I1332" s="86" t="n">
        <v>169.9</v>
      </c>
      <c r="J1332" s="56" t="inlineStr">
        <is>
          <t>SIM</t>
        </is>
      </c>
      <c r="K1332" s="86" t="n">
        <v>169.9</v>
      </c>
      <c r="L1332" s="87" t="n">
        <v>109.9</v>
      </c>
      <c r="P1332" s="90">
        <f>IF($O1332="","",L1332-O1332-(L1332*IF(L1332&lt;=79.99,20%,14%)+IF(L1332&lt;=79.99,4,IF(L1332&lt;=99.99,16,IF(L1332&lt;=199.99,20,IF(L1332&lt;=499.99,26,28)))))-L1332*1.3%-L1332*6%-(L1332-O1332)*9.25%-L1332*3%-L1332*3%-1)</f>
        <v/>
      </c>
      <c r="Q1332" s="58" t="n">
        <v>0.353</v>
      </c>
      <c r="R1332" s="54" t="n">
        <v>430216220717087</v>
      </c>
      <c r="S1332" s="59" t="n">
        <v>46076.76111111111</v>
      </c>
      <c r="T1332" s="59" t="n">
        <v>46255.41666666666</v>
      </c>
      <c r="U1332" s="54" t="n">
        <v>101315</v>
      </c>
      <c r="W1332" t="inlineStr">
        <is>
          <t>sem correspondência</t>
        </is>
      </c>
      <c r="Y1332" t="inlineStr"/>
    </row>
    <row r="1333" ht="18" customHeight="1">
      <c r="A1333" s="60" t="inlineStr">
        <is>
          <t>Donacor</t>
        </is>
      </c>
      <c r="B1333" s="60" t="inlineStr">
        <is>
          <t>Top Fem Esportivo Max Lupo Seamless Academia New Lançamento</t>
        </is>
      </c>
      <c r="C1333" s="60" t="inlineStr">
        <is>
          <t>Azul Anil,M</t>
        </is>
      </c>
      <c r="D1333" s="60" t="inlineStr">
        <is>
          <t>TOP-LUPO-MAX-M-AZUL-ANIL</t>
        </is>
      </c>
      <c r="E1333" s="60" t="n">
        <v>44458614611</v>
      </c>
      <c r="F1333" s="60" t="n">
        <v>280857221586</v>
      </c>
      <c r="G1333" s="60" t="inlineStr">
        <is>
          <t>NORMAL</t>
        </is>
      </c>
      <c r="H1333" s="91" t="n">
        <v>169.9</v>
      </c>
      <c r="I1333" s="91" t="n">
        <v>169.9</v>
      </c>
      <c r="J1333" s="65" t="inlineStr">
        <is>
          <t>SIM</t>
        </is>
      </c>
      <c r="K1333" s="91" t="n">
        <v>169.9</v>
      </c>
      <c r="L1333" s="87" t="n">
        <v>109.9</v>
      </c>
      <c r="P1333" s="92">
        <f>IF($O1333="","",L1333-O1333-(L1333*IF(L1333&lt;=79.99,20%,14%)+IF(L1333&lt;=79.99,4,IF(L1333&lt;=99.99,16,IF(L1333&lt;=199.99,20,IF(L1333&lt;=499.99,26,28)))))-L1333*1.3%-L1333*6%-(L1333-O1333)*9.25%-L1333*3%-L1333*3%-1)</f>
        <v/>
      </c>
      <c r="Q1333" s="67" t="n">
        <v>0.353</v>
      </c>
      <c r="R1333" s="60" t="n">
        <v>430216220717087</v>
      </c>
      <c r="S1333" s="68" t="n">
        <v>46076.76111111111</v>
      </c>
      <c r="T1333" s="68" t="n">
        <v>46255.41666666666</v>
      </c>
      <c r="U1333" s="60" t="n">
        <v>101315</v>
      </c>
      <c r="V1333" t="inlineStr">
        <is>
          <t>TOP-LUPO-MAX-M-AZUL-ANIL</t>
        </is>
      </c>
      <c r="W1333" t="inlineStr">
        <is>
          <t>SKU idêntico na Olist · CUSTO ZERADO na Olist (conferido hoje)</t>
        </is>
      </c>
      <c r="Y1333" t="inlineStr">
        <is>
          <t>ok</t>
        </is>
      </c>
    </row>
    <row r="1334" ht="18" customHeight="1">
      <c r="A1334" s="54" t="inlineStr">
        <is>
          <t>Donacor</t>
        </is>
      </c>
      <c r="B1334" s="54" t="inlineStr">
        <is>
          <t>Top Fem Esportivo Max Lupo Seamless Academia New Lançamento</t>
        </is>
      </c>
      <c r="C1334" s="54" t="inlineStr">
        <is>
          <t>Azul Anil,P</t>
        </is>
      </c>
      <c r="D1334" s="54" t="inlineStr">
        <is>
          <t>TOP-LUPO-MAX-P-AZUL-ANIL</t>
        </is>
      </c>
      <c r="E1334" s="54" t="n">
        <v>44458614611</v>
      </c>
      <c r="F1334" s="54" t="n">
        <v>280857221585</v>
      </c>
      <c r="G1334" s="54" t="inlineStr">
        <is>
          <t>NORMAL</t>
        </is>
      </c>
      <c r="H1334" s="86" t="n">
        <v>169.9</v>
      </c>
      <c r="I1334" s="86" t="n">
        <v>169.9</v>
      </c>
      <c r="J1334" s="56" t="inlineStr">
        <is>
          <t>SIM</t>
        </is>
      </c>
      <c r="K1334" s="86" t="n">
        <v>169.9</v>
      </c>
      <c r="L1334" s="87" t="n">
        <v>109.9</v>
      </c>
      <c r="P1334" s="90">
        <f>IF($O1334="","",L1334-O1334-(L1334*IF(L1334&lt;=79.99,20%,14%)+IF(L1334&lt;=79.99,4,IF(L1334&lt;=99.99,16,IF(L1334&lt;=199.99,20,IF(L1334&lt;=499.99,26,28)))))-L1334*1.3%-L1334*6%-(L1334-O1334)*9.25%-L1334*3%-L1334*3%-1)</f>
        <v/>
      </c>
      <c r="Q1334" s="58" t="n">
        <v>0.353</v>
      </c>
      <c r="R1334" s="54" t="n">
        <v>430216220717087</v>
      </c>
      <c r="S1334" s="59" t="n">
        <v>46076.76111111111</v>
      </c>
      <c r="T1334" s="59" t="n">
        <v>46255.41666666666</v>
      </c>
      <c r="U1334" s="54" t="n">
        <v>101315</v>
      </c>
      <c r="W1334" t="inlineStr">
        <is>
          <t>sem correspondência</t>
        </is>
      </c>
      <c r="Y1334" t="inlineStr"/>
    </row>
    <row r="1335" ht="18" customHeight="1">
      <c r="A1335" s="60" t="inlineStr">
        <is>
          <t>Donacor</t>
        </is>
      </c>
      <c r="B1335" s="60" t="inlineStr">
        <is>
          <t>Top Fem Esportivo Max Lupo Seamless Academia New Lançamento</t>
        </is>
      </c>
      <c r="C1335" s="60" t="inlineStr">
        <is>
          <t>Azul Anil,XG</t>
        </is>
      </c>
      <c r="D1335" s="60" t="inlineStr">
        <is>
          <t>TOP-LUPO-MAX-XG-AZUL-ANIL</t>
        </is>
      </c>
      <c r="E1335" s="60" t="n">
        <v>44458614611</v>
      </c>
      <c r="F1335" s="60" t="n">
        <v>280857221589</v>
      </c>
      <c r="G1335" s="60" t="inlineStr">
        <is>
          <t>NORMAL</t>
        </is>
      </c>
      <c r="H1335" s="91" t="n">
        <v>169.9</v>
      </c>
      <c r="I1335" s="91" t="n">
        <v>169.9</v>
      </c>
      <c r="J1335" s="65" t="inlineStr">
        <is>
          <t>SIM</t>
        </is>
      </c>
      <c r="K1335" s="91" t="n">
        <v>169.9</v>
      </c>
      <c r="L1335" s="87" t="n">
        <v>109.9</v>
      </c>
      <c r="P1335" s="92">
        <f>IF($O1335="","",L1335-O1335-(L1335*IF(L1335&lt;=79.99,20%,14%)+IF(L1335&lt;=79.99,4,IF(L1335&lt;=99.99,16,IF(L1335&lt;=199.99,20,IF(L1335&lt;=499.99,26,28)))))-L1335*1.3%-L1335*6%-(L1335-O1335)*9.25%-L1335*3%-L1335*3%-1)</f>
        <v/>
      </c>
      <c r="Q1335" s="67" t="n">
        <v>0.353</v>
      </c>
      <c r="R1335" s="60" t="n">
        <v>430216220717087</v>
      </c>
      <c r="S1335" s="68" t="n">
        <v>46076.76111111111</v>
      </c>
      <c r="T1335" s="68" t="n">
        <v>46255.41666666666</v>
      </c>
      <c r="U1335" s="60" t="n">
        <v>101315</v>
      </c>
      <c r="W1335" t="inlineStr">
        <is>
          <t>sem correspondência</t>
        </is>
      </c>
      <c r="Y1335" t="inlineStr"/>
    </row>
    <row r="1336" ht="18" customHeight="1">
      <c r="A1336" s="54" t="inlineStr">
        <is>
          <t>Donacor</t>
        </is>
      </c>
      <c r="B1336" s="54" t="inlineStr">
        <is>
          <t>Top Fem Esportivo Max Lupo Seamless Academia New Lançamento</t>
        </is>
      </c>
      <c r="C1336" s="54" t="inlineStr">
        <is>
          <t>Chocolate,G</t>
        </is>
      </c>
      <c r="D1336" s="54" t="inlineStr">
        <is>
          <t>TOP-LUPO-MAX-G-Chocolate</t>
        </is>
      </c>
      <c r="E1336" s="54" t="n">
        <v>44458614611</v>
      </c>
      <c r="F1336" s="54" t="n">
        <v>280792315568</v>
      </c>
      <c r="G1336" s="54" t="inlineStr">
        <is>
          <t>NORMAL</t>
        </is>
      </c>
      <c r="H1336" s="86" t="n">
        <v>169.9</v>
      </c>
      <c r="I1336" s="86" t="n">
        <v>169.9</v>
      </c>
      <c r="J1336" s="56" t="inlineStr">
        <is>
          <t>SIM</t>
        </is>
      </c>
      <c r="K1336" s="86" t="n">
        <v>169.9</v>
      </c>
      <c r="L1336" s="87" t="n">
        <v>109.9</v>
      </c>
      <c r="P1336" s="90">
        <f>IF($O1336="","",L1336-O1336-(L1336*IF(L1336&lt;=79.99,20%,14%)+IF(L1336&lt;=79.99,4,IF(L1336&lt;=99.99,16,IF(L1336&lt;=199.99,20,IF(L1336&lt;=499.99,26,28)))))-L1336*1.3%-L1336*6%-(L1336-O1336)*9.25%-L1336*3%-L1336*3%-1)</f>
        <v/>
      </c>
      <c r="Q1336" s="58" t="n">
        <v>0.353</v>
      </c>
      <c r="R1336" s="54" t="n">
        <v>430216220717087</v>
      </c>
      <c r="S1336" s="59" t="n">
        <v>46076.76111111111</v>
      </c>
      <c r="T1336" s="59" t="n">
        <v>46255.41666666666</v>
      </c>
      <c r="U1336" s="54" t="n">
        <v>101315</v>
      </c>
      <c r="V1336" t="inlineStr">
        <is>
          <t>TOP-LUPO-MAX-G-Chocolate</t>
        </is>
      </c>
      <c r="W1336" t="inlineStr">
        <is>
          <t>SKU idêntico na Olist · CUSTO ZERADO na Olist (conferido hoje)</t>
        </is>
      </c>
      <c r="Y1336" t="inlineStr">
        <is>
          <t>ok</t>
        </is>
      </c>
    </row>
    <row r="1337" ht="18" customHeight="1">
      <c r="A1337" s="60" t="inlineStr">
        <is>
          <t>Donacor</t>
        </is>
      </c>
      <c r="B1337" s="60" t="inlineStr">
        <is>
          <t>Top Fem Esportivo Max Lupo Seamless Academia New Lançamento</t>
        </is>
      </c>
      <c r="C1337" s="60" t="inlineStr">
        <is>
          <t>Chocolate,GG</t>
        </is>
      </c>
      <c r="D1337" s="60" t="inlineStr">
        <is>
          <t>TOP-LUPO-MAX-GG-Chocolate</t>
        </is>
      </c>
      <c r="E1337" s="60" t="n">
        <v>44458614611</v>
      </c>
      <c r="F1337" s="60" t="n">
        <v>280792315569</v>
      </c>
      <c r="G1337" s="60" t="inlineStr">
        <is>
          <t>NORMAL</t>
        </is>
      </c>
      <c r="H1337" s="91" t="n">
        <v>169.9</v>
      </c>
      <c r="I1337" s="91" t="n">
        <v>169.9</v>
      </c>
      <c r="J1337" s="65" t="inlineStr">
        <is>
          <t>SIM</t>
        </is>
      </c>
      <c r="K1337" s="91" t="n">
        <v>169.9</v>
      </c>
      <c r="L1337" s="87" t="n">
        <v>109.9</v>
      </c>
      <c r="P1337" s="92">
        <f>IF($O1337="","",L1337-O1337-(L1337*IF(L1337&lt;=79.99,20%,14%)+IF(L1337&lt;=79.99,4,IF(L1337&lt;=99.99,16,IF(L1337&lt;=199.99,20,IF(L1337&lt;=499.99,26,28)))))-L1337*1.3%-L1337*6%-(L1337-O1337)*9.25%-L1337*3%-L1337*3%-1)</f>
        <v/>
      </c>
      <c r="Q1337" s="67" t="n">
        <v>0.353</v>
      </c>
      <c r="R1337" s="60" t="n">
        <v>430216220717087</v>
      </c>
      <c r="S1337" s="68" t="n">
        <v>46076.76111111111</v>
      </c>
      <c r="T1337" s="68" t="n">
        <v>46255.41666666666</v>
      </c>
      <c r="U1337" s="60" t="n">
        <v>101315</v>
      </c>
      <c r="W1337" t="inlineStr">
        <is>
          <t>sem correspondência</t>
        </is>
      </c>
      <c r="Y1337" t="inlineStr"/>
    </row>
    <row r="1338" ht="18" customHeight="1">
      <c r="A1338" s="54" t="inlineStr">
        <is>
          <t>Donacor</t>
        </is>
      </c>
      <c r="B1338" s="54" t="inlineStr">
        <is>
          <t>Top Fem Esportivo Max Lupo Seamless Academia New Lançamento</t>
        </is>
      </c>
      <c r="C1338" s="54" t="inlineStr">
        <is>
          <t>Chocolate,M</t>
        </is>
      </c>
      <c r="D1338" s="54" t="inlineStr">
        <is>
          <t>TOP-LUPO-MAX-M-Chocolate</t>
        </is>
      </c>
      <c r="E1338" s="54" t="n">
        <v>44458614611</v>
      </c>
      <c r="F1338" s="54" t="n">
        <v>280792315567</v>
      </c>
      <c r="G1338" s="54" t="inlineStr">
        <is>
          <t>NORMAL</t>
        </is>
      </c>
      <c r="H1338" s="86" t="n">
        <v>169.9</v>
      </c>
      <c r="I1338" s="86" t="n">
        <v>169.9</v>
      </c>
      <c r="J1338" s="56" t="inlineStr">
        <is>
          <t>SIM</t>
        </is>
      </c>
      <c r="K1338" s="86" t="n">
        <v>169.9</v>
      </c>
      <c r="L1338" s="87" t="n">
        <v>109.9</v>
      </c>
      <c r="P1338" s="90">
        <f>IF($O1338="","",L1338-O1338-(L1338*IF(L1338&lt;=79.99,20%,14%)+IF(L1338&lt;=79.99,4,IF(L1338&lt;=99.99,16,IF(L1338&lt;=199.99,20,IF(L1338&lt;=499.99,26,28)))))-L1338*1.3%-L1338*6%-(L1338-O1338)*9.25%-L1338*3%-L1338*3%-1)</f>
        <v/>
      </c>
      <c r="Q1338" s="58" t="n">
        <v>0.353</v>
      </c>
      <c r="R1338" s="54" t="n">
        <v>430216220717087</v>
      </c>
      <c r="S1338" s="59" t="n">
        <v>46076.76111111111</v>
      </c>
      <c r="T1338" s="59" t="n">
        <v>46255.41666666666</v>
      </c>
      <c r="U1338" s="54" t="n">
        <v>101315</v>
      </c>
      <c r="W1338" t="inlineStr">
        <is>
          <t>sem correspondência</t>
        </is>
      </c>
      <c r="Y1338" t="inlineStr"/>
    </row>
    <row r="1339" ht="18" customHeight="1">
      <c r="A1339" s="60" t="inlineStr">
        <is>
          <t>Donacor</t>
        </is>
      </c>
      <c r="B1339" s="60" t="inlineStr">
        <is>
          <t>Top Fem Esportivo Max Lupo Seamless Academia New Lançamento</t>
        </is>
      </c>
      <c r="C1339" s="60" t="inlineStr">
        <is>
          <t>Chocolate,P</t>
        </is>
      </c>
      <c r="D1339" s="60" t="inlineStr">
        <is>
          <t>TOP-LUPO-MAX-P-Chocolate</t>
        </is>
      </c>
      <c r="E1339" s="60" t="n">
        <v>44458614611</v>
      </c>
      <c r="F1339" s="60" t="n">
        <v>280792315566</v>
      </c>
      <c r="G1339" s="60" t="inlineStr">
        <is>
          <t>NORMAL</t>
        </is>
      </c>
      <c r="H1339" s="91" t="n">
        <v>169.9</v>
      </c>
      <c r="I1339" s="91" t="n">
        <v>169.9</v>
      </c>
      <c r="J1339" s="65" t="inlineStr">
        <is>
          <t>SIM</t>
        </is>
      </c>
      <c r="K1339" s="91" t="n">
        <v>169.9</v>
      </c>
      <c r="L1339" s="87" t="n">
        <v>109.9</v>
      </c>
      <c r="P1339" s="92">
        <f>IF($O1339="","",L1339-O1339-(L1339*IF(L1339&lt;=79.99,20%,14%)+IF(L1339&lt;=79.99,4,IF(L1339&lt;=99.99,16,IF(L1339&lt;=199.99,20,IF(L1339&lt;=499.99,26,28)))))-L1339*1.3%-L1339*6%-(L1339-O1339)*9.25%-L1339*3%-L1339*3%-1)</f>
        <v/>
      </c>
      <c r="Q1339" s="67" t="n">
        <v>0.353</v>
      </c>
      <c r="R1339" s="60" t="n">
        <v>430216220717087</v>
      </c>
      <c r="S1339" s="68" t="n">
        <v>46076.76111111111</v>
      </c>
      <c r="T1339" s="68" t="n">
        <v>46255.41666666666</v>
      </c>
      <c r="U1339" s="60" t="n">
        <v>101315</v>
      </c>
      <c r="W1339" t="inlineStr">
        <is>
          <t>sem correspondência</t>
        </is>
      </c>
      <c r="Y1339" t="inlineStr"/>
    </row>
    <row r="1340" ht="18" customHeight="1">
      <c r="A1340" s="54" t="inlineStr">
        <is>
          <t>Donacor</t>
        </is>
      </c>
      <c r="B1340" s="54" t="inlineStr">
        <is>
          <t>Top Fem Esportivo Max Lupo Seamless Academia New Lançamento</t>
        </is>
      </c>
      <c r="C1340" s="54" t="inlineStr">
        <is>
          <t>Chocolate,XG</t>
        </is>
      </c>
      <c r="D1340" s="54" t="inlineStr">
        <is>
          <t>TOP-LUPO-MAX-XG-Chocolate</t>
        </is>
      </c>
      <c r="E1340" s="54" t="n">
        <v>44458614611</v>
      </c>
      <c r="F1340" s="54" t="n">
        <v>280792315570</v>
      </c>
      <c r="G1340" s="54" t="inlineStr">
        <is>
          <t>NORMAL</t>
        </is>
      </c>
      <c r="H1340" s="86" t="n">
        <v>169.9</v>
      </c>
      <c r="I1340" s="86" t="n">
        <v>169.9</v>
      </c>
      <c r="J1340" s="56" t="inlineStr">
        <is>
          <t>SIM</t>
        </is>
      </c>
      <c r="K1340" s="86" t="n">
        <v>169.9</v>
      </c>
      <c r="L1340" s="87" t="n">
        <v>109.9</v>
      </c>
      <c r="P1340" s="90">
        <f>IF($O1340="","",L1340-O1340-(L1340*IF(L1340&lt;=79.99,20%,14%)+IF(L1340&lt;=79.99,4,IF(L1340&lt;=99.99,16,IF(L1340&lt;=199.99,20,IF(L1340&lt;=499.99,26,28)))))-L1340*1.3%-L1340*6%-(L1340-O1340)*9.25%-L1340*3%-L1340*3%-1)</f>
        <v/>
      </c>
      <c r="Q1340" s="58" t="n">
        <v>0.353</v>
      </c>
      <c r="R1340" s="54" t="n">
        <v>430216220717087</v>
      </c>
      <c r="S1340" s="59" t="n">
        <v>46076.76111111111</v>
      </c>
      <c r="T1340" s="59" t="n">
        <v>46255.41666666666</v>
      </c>
      <c r="U1340" s="54" t="n">
        <v>101315</v>
      </c>
      <c r="W1340" t="inlineStr">
        <is>
          <t>sem correspondência</t>
        </is>
      </c>
      <c r="Y1340" t="inlineStr"/>
    </row>
    <row r="1341" ht="18" customHeight="1">
      <c r="A1341" s="60" t="inlineStr">
        <is>
          <t>Donacor</t>
        </is>
      </c>
      <c r="B1341" s="60" t="inlineStr">
        <is>
          <t>Top Fem Esportivo Max Lupo Seamless Academia New Lançamento</t>
        </is>
      </c>
      <c r="C1341" s="60" t="inlineStr">
        <is>
          <t>Grafite,G</t>
        </is>
      </c>
      <c r="D1341" s="60" t="inlineStr">
        <is>
          <t>TOP-LUPO-MAX-G-AZUL-GRAFITE</t>
        </is>
      </c>
      <c r="E1341" s="60" t="n">
        <v>44458614611</v>
      </c>
      <c r="F1341" s="60" t="n">
        <v>280857221592</v>
      </c>
      <c r="G1341" s="60" t="inlineStr">
        <is>
          <t>NORMAL</t>
        </is>
      </c>
      <c r="H1341" s="91" t="n">
        <v>169.9</v>
      </c>
      <c r="I1341" s="91" t="n">
        <v>169.9</v>
      </c>
      <c r="J1341" s="65" t="inlineStr">
        <is>
          <t>SIM</t>
        </is>
      </c>
      <c r="K1341" s="91" t="n">
        <v>169.9</v>
      </c>
      <c r="L1341" s="87" t="n">
        <v>109.9</v>
      </c>
      <c r="P1341" s="92">
        <f>IF($O1341="","",L1341-O1341-(L1341*IF(L1341&lt;=79.99,20%,14%)+IF(L1341&lt;=79.99,4,IF(L1341&lt;=99.99,16,IF(L1341&lt;=199.99,20,IF(L1341&lt;=499.99,26,28)))))-L1341*1.3%-L1341*6%-(L1341-O1341)*9.25%-L1341*3%-L1341*3%-1)</f>
        <v/>
      </c>
      <c r="Q1341" s="67" t="n">
        <v>0.353</v>
      </c>
      <c r="R1341" s="60" t="n">
        <v>430216220717087</v>
      </c>
      <c r="S1341" s="68" t="n">
        <v>46076.76111111111</v>
      </c>
      <c r="T1341" s="68" t="n">
        <v>46255.41666666666</v>
      </c>
      <c r="U1341" s="60" t="n">
        <v>101315</v>
      </c>
      <c r="W1341" t="inlineStr">
        <is>
          <t>sem correspondência</t>
        </is>
      </c>
      <c r="Y1341" t="inlineStr"/>
    </row>
    <row r="1342" ht="18" customHeight="1">
      <c r="A1342" s="54" t="inlineStr">
        <is>
          <t>Donacor</t>
        </is>
      </c>
      <c r="B1342" s="54" t="inlineStr">
        <is>
          <t>Top Fem Esportivo Max Lupo Seamless Academia New Lançamento</t>
        </is>
      </c>
      <c r="C1342" s="54" t="inlineStr">
        <is>
          <t>Grafite,GG</t>
        </is>
      </c>
      <c r="D1342" s="54" t="inlineStr">
        <is>
          <t>TOP-LUPO-MAX-GG-AZUL-GRAFITE</t>
        </is>
      </c>
      <c r="E1342" s="54" t="n">
        <v>44458614611</v>
      </c>
      <c r="F1342" s="54" t="n">
        <v>280857221593</v>
      </c>
      <c r="G1342" s="54" t="inlineStr">
        <is>
          <t>NORMAL</t>
        </is>
      </c>
      <c r="H1342" s="86" t="n">
        <v>169.9</v>
      </c>
      <c r="I1342" s="86" t="n">
        <v>169.9</v>
      </c>
      <c r="J1342" s="56" t="inlineStr">
        <is>
          <t>SIM</t>
        </is>
      </c>
      <c r="K1342" s="86" t="n">
        <v>169.9</v>
      </c>
      <c r="L1342" s="87" t="n">
        <v>109.9</v>
      </c>
      <c r="P1342" s="90">
        <f>IF($O1342="","",L1342-O1342-(L1342*IF(L1342&lt;=79.99,20%,14%)+IF(L1342&lt;=79.99,4,IF(L1342&lt;=99.99,16,IF(L1342&lt;=199.99,20,IF(L1342&lt;=499.99,26,28)))))-L1342*1.3%-L1342*6%-(L1342-O1342)*9.25%-L1342*3%-L1342*3%-1)</f>
        <v/>
      </c>
      <c r="Q1342" s="58" t="n">
        <v>0.353</v>
      </c>
      <c r="R1342" s="54" t="n">
        <v>430216220717087</v>
      </c>
      <c r="S1342" s="59" t="n">
        <v>46076.76111111111</v>
      </c>
      <c r="T1342" s="59" t="n">
        <v>46255.41666666666</v>
      </c>
      <c r="U1342" s="54" t="n">
        <v>101315</v>
      </c>
      <c r="V1342" t="inlineStr">
        <is>
          <t>TOP-LUPO-MAX-GG-AZUL-GRAFITE</t>
        </is>
      </c>
      <c r="W1342" t="inlineStr">
        <is>
          <t>SKU idêntico na Olist · CUSTO ZERADO na Olist (conferido hoje)</t>
        </is>
      </c>
      <c r="Y1342" t="inlineStr">
        <is>
          <t>ok</t>
        </is>
      </c>
    </row>
    <row r="1343" ht="18" customHeight="1">
      <c r="A1343" s="60" t="inlineStr">
        <is>
          <t>Donacor</t>
        </is>
      </c>
      <c r="B1343" s="60" t="inlineStr">
        <is>
          <t>Top Fem Esportivo Max Lupo Seamless Academia New Lançamento</t>
        </is>
      </c>
      <c r="C1343" s="60" t="inlineStr">
        <is>
          <t>Grafite,M</t>
        </is>
      </c>
      <c r="D1343" s="60" t="inlineStr">
        <is>
          <t>TOP-LUPO-MAX-M-AZUL-GRAFITE</t>
        </is>
      </c>
      <c r="E1343" s="60" t="n">
        <v>44458614611</v>
      </c>
      <c r="F1343" s="60" t="n">
        <v>280857221591</v>
      </c>
      <c r="G1343" s="60" t="inlineStr">
        <is>
          <t>NORMAL</t>
        </is>
      </c>
      <c r="H1343" s="91" t="n">
        <v>169.9</v>
      </c>
      <c r="I1343" s="91" t="n">
        <v>169.9</v>
      </c>
      <c r="J1343" s="65" t="inlineStr">
        <is>
          <t>SIM</t>
        </is>
      </c>
      <c r="K1343" s="91" t="n">
        <v>169.9</v>
      </c>
      <c r="L1343" s="87" t="n">
        <v>109.9</v>
      </c>
      <c r="P1343" s="92">
        <f>IF($O1343="","",L1343-O1343-(L1343*IF(L1343&lt;=79.99,20%,14%)+IF(L1343&lt;=79.99,4,IF(L1343&lt;=99.99,16,IF(L1343&lt;=199.99,20,IF(L1343&lt;=499.99,26,28)))))-L1343*1.3%-L1343*6%-(L1343-O1343)*9.25%-L1343*3%-L1343*3%-1)</f>
        <v/>
      </c>
      <c r="Q1343" s="67" t="n">
        <v>0.353</v>
      </c>
      <c r="R1343" s="60" t="n">
        <v>430216220717087</v>
      </c>
      <c r="S1343" s="68" t="n">
        <v>46076.76111111111</v>
      </c>
      <c r="T1343" s="68" t="n">
        <v>46255.41666666666</v>
      </c>
      <c r="U1343" s="60" t="n">
        <v>101315</v>
      </c>
      <c r="W1343" t="inlineStr">
        <is>
          <t>sem correspondência</t>
        </is>
      </c>
      <c r="Y1343" t="inlineStr"/>
    </row>
    <row r="1344" ht="18" customHeight="1">
      <c r="A1344" s="54" t="inlineStr">
        <is>
          <t>Donacor</t>
        </is>
      </c>
      <c r="B1344" s="54" t="inlineStr">
        <is>
          <t>Top Fem Esportivo Max Lupo Seamless Academia New Lançamento</t>
        </is>
      </c>
      <c r="C1344" s="54" t="inlineStr">
        <is>
          <t>Grafite,P</t>
        </is>
      </c>
      <c r="D1344" s="54" t="inlineStr">
        <is>
          <t>TOP-LUPO-MAX-P-AZUL-GRAFITE</t>
        </is>
      </c>
      <c r="E1344" s="54" t="n">
        <v>44458614611</v>
      </c>
      <c r="F1344" s="54" t="n">
        <v>280857221590</v>
      </c>
      <c r="G1344" s="54" t="inlineStr">
        <is>
          <t>NORMAL</t>
        </is>
      </c>
      <c r="H1344" s="86" t="n">
        <v>169.9</v>
      </c>
      <c r="I1344" s="86" t="n">
        <v>169.9</v>
      </c>
      <c r="J1344" s="56" t="inlineStr">
        <is>
          <t>SIM</t>
        </is>
      </c>
      <c r="K1344" s="86" t="n">
        <v>169.9</v>
      </c>
      <c r="L1344" s="87" t="n">
        <v>109.9</v>
      </c>
      <c r="P1344" s="90">
        <f>IF($O1344="","",L1344-O1344-(L1344*IF(L1344&lt;=79.99,20%,14%)+IF(L1344&lt;=79.99,4,IF(L1344&lt;=99.99,16,IF(L1344&lt;=199.99,20,IF(L1344&lt;=499.99,26,28)))))-L1344*1.3%-L1344*6%-(L1344-O1344)*9.25%-L1344*3%-L1344*3%-1)</f>
        <v/>
      </c>
      <c r="Q1344" s="58" t="n">
        <v>0.353</v>
      </c>
      <c r="R1344" s="54" t="n">
        <v>430216220717087</v>
      </c>
      <c r="S1344" s="59" t="n">
        <v>46076.76111111111</v>
      </c>
      <c r="T1344" s="59" t="n">
        <v>46255.41666666666</v>
      </c>
      <c r="U1344" s="54" t="n">
        <v>101315</v>
      </c>
      <c r="W1344" t="inlineStr">
        <is>
          <t>sem correspondência</t>
        </is>
      </c>
      <c r="Y1344" t="inlineStr"/>
    </row>
    <row r="1345" ht="18" customHeight="1">
      <c r="A1345" s="60" t="inlineStr">
        <is>
          <t>Donacor</t>
        </is>
      </c>
      <c r="B1345" s="60" t="inlineStr">
        <is>
          <t>Top Fem Esportivo Max Lupo Seamless Academia New Lançamento</t>
        </is>
      </c>
      <c r="C1345" s="60" t="inlineStr">
        <is>
          <t>Grafite,XG</t>
        </is>
      </c>
      <c r="D1345" s="60" t="inlineStr">
        <is>
          <t>TOP-LUPO-MAX-XG-AZUL-GRAFITE</t>
        </is>
      </c>
      <c r="E1345" s="60" t="n">
        <v>44458614611</v>
      </c>
      <c r="F1345" s="60" t="n">
        <v>280857221594</v>
      </c>
      <c r="G1345" s="60" t="inlineStr">
        <is>
          <t>NORMAL</t>
        </is>
      </c>
      <c r="H1345" s="91" t="n">
        <v>169.9</v>
      </c>
      <c r="I1345" s="91" t="n">
        <v>169.9</v>
      </c>
      <c r="J1345" s="65" t="inlineStr">
        <is>
          <t>SIM</t>
        </is>
      </c>
      <c r="K1345" s="91" t="n">
        <v>169.9</v>
      </c>
      <c r="L1345" s="87" t="n">
        <v>109.9</v>
      </c>
      <c r="P1345" s="92">
        <f>IF($O1345="","",L1345-O1345-(L1345*IF(L1345&lt;=79.99,20%,14%)+IF(L1345&lt;=79.99,4,IF(L1345&lt;=99.99,16,IF(L1345&lt;=199.99,20,IF(L1345&lt;=499.99,26,28)))))-L1345*1.3%-L1345*6%-(L1345-O1345)*9.25%-L1345*3%-L1345*3%-1)</f>
        <v/>
      </c>
      <c r="Q1345" s="67" t="n">
        <v>0.353</v>
      </c>
      <c r="R1345" s="60" t="n">
        <v>430216220717087</v>
      </c>
      <c r="S1345" s="68" t="n">
        <v>46076.76111111111</v>
      </c>
      <c r="T1345" s="68" t="n">
        <v>46255.41666666666</v>
      </c>
      <c r="U1345" s="60" t="n">
        <v>101315</v>
      </c>
      <c r="W1345" t="inlineStr">
        <is>
          <t>sem correspondência</t>
        </is>
      </c>
      <c r="Y1345" t="inlineStr"/>
    </row>
    <row r="1346" ht="18" customHeight="1">
      <c r="A1346" s="54" t="inlineStr">
        <is>
          <t>Donacor</t>
        </is>
      </c>
      <c r="B1346" s="54" t="inlineStr">
        <is>
          <t>Top Fem Esportivo Max Lupo Seamless Academia New Lançamento</t>
        </is>
      </c>
      <c r="C1346" s="54" t="inlineStr">
        <is>
          <t>Preto,G</t>
        </is>
      </c>
      <c r="D1346" s="54" t="inlineStr">
        <is>
          <t>TOP-LUPO-MAX-G-PRETO</t>
        </is>
      </c>
      <c r="E1346" s="54" t="n">
        <v>44458614611</v>
      </c>
      <c r="F1346" s="54" t="n">
        <v>280726030731</v>
      </c>
      <c r="G1346" s="54" t="inlineStr">
        <is>
          <t>NORMAL</t>
        </is>
      </c>
      <c r="H1346" s="86" t="n">
        <v>169.9</v>
      </c>
      <c r="I1346" s="86" t="n">
        <v>169.9</v>
      </c>
      <c r="J1346" s="56" t="inlineStr">
        <is>
          <t>SIM</t>
        </is>
      </c>
      <c r="K1346" s="86" t="n">
        <v>169.9</v>
      </c>
      <c r="L1346" s="87" t="n">
        <v>109.9</v>
      </c>
      <c r="P1346" s="90">
        <f>IF($O1346="","",L1346-O1346-(L1346*IF(L1346&lt;=79.99,20%,14%)+IF(L1346&lt;=79.99,4,IF(L1346&lt;=99.99,16,IF(L1346&lt;=199.99,20,IF(L1346&lt;=499.99,26,28)))))-L1346*1.3%-L1346*6%-(L1346-O1346)*9.25%-L1346*3%-L1346*3%-1)</f>
        <v/>
      </c>
      <c r="Q1346" s="58" t="n">
        <v>0.353</v>
      </c>
      <c r="R1346" s="54" t="n">
        <v>430216220717087</v>
      </c>
      <c r="S1346" s="59" t="n">
        <v>46076.76111111111</v>
      </c>
      <c r="T1346" s="59" t="n">
        <v>46255.41666666666</v>
      </c>
      <c r="U1346" s="54" t="n">
        <v>101315</v>
      </c>
      <c r="W1346" t="inlineStr">
        <is>
          <t>sem correspondência</t>
        </is>
      </c>
      <c r="Y1346" t="inlineStr"/>
    </row>
    <row r="1347" ht="18" customHeight="1">
      <c r="A1347" s="60" t="inlineStr">
        <is>
          <t>Donacor</t>
        </is>
      </c>
      <c r="B1347" s="60" t="inlineStr">
        <is>
          <t>Top Fem Esportivo Max Lupo Seamless Academia New Lançamento</t>
        </is>
      </c>
      <c r="C1347" s="60" t="inlineStr">
        <is>
          <t>Preto,GG</t>
        </is>
      </c>
      <c r="D1347" s="60" t="inlineStr">
        <is>
          <t>TOP-LUPO-MAX-GG-PRETO</t>
        </is>
      </c>
      <c r="E1347" s="60" t="n">
        <v>44458614611</v>
      </c>
      <c r="F1347" s="60" t="n">
        <v>280726030732</v>
      </c>
      <c r="G1347" s="60" t="inlineStr">
        <is>
          <t>NORMAL</t>
        </is>
      </c>
      <c r="H1347" s="91" t="n">
        <v>169.9</v>
      </c>
      <c r="I1347" s="91" t="n">
        <v>169.9</v>
      </c>
      <c r="J1347" s="65" t="inlineStr">
        <is>
          <t>SIM</t>
        </is>
      </c>
      <c r="K1347" s="91" t="n">
        <v>169.9</v>
      </c>
      <c r="L1347" s="87" t="n">
        <v>109.9</v>
      </c>
      <c r="P1347" s="92">
        <f>IF($O1347="","",L1347-O1347-(L1347*IF(L1347&lt;=79.99,20%,14%)+IF(L1347&lt;=79.99,4,IF(L1347&lt;=99.99,16,IF(L1347&lt;=199.99,20,IF(L1347&lt;=499.99,26,28)))))-L1347*1.3%-L1347*6%-(L1347-O1347)*9.25%-L1347*3%-L1347*3%-1)</f>
        <v/>
      </c>
      <c r="Q1347" s="67" t="n">
        <v>0.353</v>
      </c>
      <c r="R1347" s="60" t="n">
        <v>430216220717087</v>
      </c>
      <c r="S1347" s="68" t="n">
        <v>46076.76111111111</v>
      </c>
      <c r="T1347" s="68" t="n">
        <v>46255.41666666666</v>
      </c>
      <c r="U1347" s="60" t="n">
        <v>101315</v>
      </c>
      <c r="V1347" t="inlineStr">
        <is>
          <t>TOP-LUPO-MAX-GG-PRETO</t>
        </is>
      </c>
      <c r="W1347" t="inlineStr">
        <is>
          <t>SKU idêntico na Olist · CUSTO ZERADO na Olist (conferido hoje)</t>
        </is>
      </c>
      <c r="Y1347" t="inlineStr">
        <is>
          <t>ok</t>
        </is>
      </c>
    </row>
    <row r="1348" ht="18" customHeight="1">
      <c r="A1348" s="54" t="inlineStr">
        <is>
          <t>Donacor</t>
        </is>
      </c>
      <c r="B1348" s="54" t="inlineStr">
        <is>
          <t>Top Fem Esportivo Max Lupo Seamless Academia New Lançamento</t>
        </is>
      </c>
      <c r="C1348" s="54" t="inlineStr">
        <is>
          <t>Preto,M</t>
        </is>
      </c>
      <c r="D1348" s="54" t="inlineStr">
        <is>
          <t>TOP-LUPO-MAX-M-PRETO</t>
        </is>
      </c>
      <c r="E1348" s="54" t="n">
        <v>44458614611</v>
      </c>
      <c r="F1348" s="54" t="n">
        <v>280726030730</v>
      </c>
      <c r="G1348" s="54" t="inlineStr">
        <is>
          <t>NORMAL</t>
        </is>
      </c>
      <c r="H1348" s="86" t="n">
        <v>169.9</v>
      </c>
      <c r="I1348" s="86" t="n">
        <v>169.9</v>
      </c>
      <c r="J1348" s="56" t="inlineStr">
        <is>
          <t>SIM</t>
        </is>
      </c>
      <c r="K1348" s="86" t="n">
        <v>169.9</v>
      </c>
      <c r="L1348" s="87" t="n">
        <v>109.9</v>
      </c>
      <c r="P1348" s="90">
        <f>IF($O1348="","",L1348-O1348-(L1348*IF(L1348&lt;=79.99,20%,14%)+IF(L1348&lt;=79.99,4,IF(L1348&lt;=99.99,16,IF(L1348&lt;=199.99,20,IF(L1348&lt;=499.99,26,28)))))-L1348*1.3%-L1348*6%-(L1348-O1348)*9.25%-L1348*3%-L1348*3%-1)</f>
        <v/>
      </c>
      <c r="Q1348" s="58" t="n">
        <v>0.353</v>
      </c>
      <c r="R1348" s="54" t="n">
        <v>430216220717087</v>
      </c>
      <c r="S1348" s="59" t="n">
        <v>46076.76111111111</v>
      </c>
      <c r="T1348" s="59" t="n">
        <v>46255.41666666666</v>
      </c>
      <c r="U1348" s="54" t="n">
        <v>101315</v>
      </c>
      <c r="W1348" t="inlineStr">
        <is>
          <t>sem correspondência</t>
        </is>
      </c>
      <c r="Y1348" t="inlineStr"/>
    </row>
    <row r="1349" ht="18" customHeight="1">
      <c r="A1349" s="60" t="inlineStr">
        <is>
          <t>Donacor</t>
        </is>
      </c>
      <c r="B1349" s="60" t="inlineStr">
        <is>
          <t>Top Fem Esportivo Max Lupo Seamless Academia New Lançamento</t>
        </is>
      </c>
      <c r="C1349" s="60" t="inlineStr">
        <is>
          <t>Preto,P</t>
        </is>
      </c>
      <c r="D1349" s="60" t="inlineStr">
        <is>
          <t>TOP-LUPO-MAX-P-PRETO</t>
        </is>
      </c>
      <c r="E1349" s="60" t="n">
        <v>44458614611</v>
      </c>
      <c r="F1349" s="60" t="n">
        <v>280726030729</v>
      </c>
      <c r="G1349" s="60" t="inlineStr">
        <is>
          <t>NORMAL</t>
        </is>
      </c>
      <c r="H1349" s="91" t="n">
        <v>169.9</v>
      </c>
      <c r="I1349" s="91" t="n">
        <v>169.9</v>
      </c>
      <c r="J1349" s="65" t="inlineStr">
        <is>
          <t>SIM</t>
        </is>
      </c>
      <c r="K1349" s="91" t="n">
        <v>169.9</v>
      </c>
      <c r="L1349" s="87" t="n">
        <v>109.9</v>
      </c>
      <c r="P1349" s="92">
        <f>IF($O1349="","",L1349-O1349-(L1349*IF(L1349&lt;=79.99,20%,14%)+IF(L1349&lt;=79.99,4,IF(L1349&lt;=99.99,16,IF(L1349&lt;=199.99,20,IF(L1349&lt;=499.99,26,28)))))-L1349*1.3%-L1349*6%-(L1349-O1349)*9.25%-L1349*3%-L1349*3%-1)</f>
        <v/>
      </c>
      <c r="Q1349" s="67" t="n">
        <v>0.353</v>
      </c>
      <c r="R1349" s="60" t="n">
        <v>430216220717087</v>
      </c>
      <c r="S1349" s="68" t="n">
        <v>46076.76111111111</v>
      </c>
      <c r="T1349" s="68" t="n">
        <v>46255.41666666666</v>
      </c>
      <c r="U1349" s="60" t="n">
        <v>101315</v>
      </c>
      <c r="W1349" t="inlineStr">
        <is>
          <t>sem correspondência</t>
        </is>
      </c>
      <c r="Y1349" t="inlineStr"/>
    </row>
    <row r="1350" ht="18" customHeight="1">
      <c r="A1350" s="54" t="inlineStr">
        <is>
          <t>Donacor</t>
        </is>
      </c>
      <c r="B1350" s="54" t="inlineStr">
        <is>
          <t>Top Fem Esportivo Max Lupo Seamless Academia New Lançamento</t>
        </is>
      </c>
      <c r="C1350" s="54" t="inlineStr">
        <is>
          <t>Preto,XG</t>
        </is>
      </c>
      <c r="D1350" s="54" t="inlineStr">
        <is>
          <t>TOP-LUPO-MAX-XG-PRETO</t>
        </is>
      </c>
      <c r="E1350" s="54" t="n">
        <v>44458614611</v>
      </c>
      <c r="F1350" s="54" t="n">
        <v>280726030733</v>
      </c>
      <c r="G1350" s="54" t="inlineStr">
        <is>
          <t>NORMAL</t>
        </is>
      </c>
      <c r="H1350" s="86" t="n">
        <v>169.9</v>
      </c>
      <c r="I1350" s="86" t="n">
        <v>169.9</v>
      </c>
      <c r="J1350" s="56" t="inlineStr">
        <is>
          <t>SIM</t>
        </is>
      </c>
      <c r="K1350" s="86" t="n">
        <v>169.9</v>
      </c>
      <c r="L1350" s="87" t="n">
        <v>109.9</v>
      </c>
      <c r="P1350" s="90">
        <f>IF($O1350="","",L1350-O1350-(L1350*IF(L1350&lt;=79.99,20%,14%)+IF(L1350&lt;=79.99,4,IF(L1350&lt;=99.99,16,IF(L1350&lt;=199.99,20,IF(L1350&lt;=499.99,26,28)))))-L1350*1.3%-L1350*6%-(L1350-O1350)*9.25%-L1350*3%-L1350*3%-1)</f>
        <v/>
      </c>
      <c r="Q1350" s="58" t="n">
        <v>0.353</v>
      </c>
      <c r="R1350" s="54" t="n">
        <v>430216220717087</v>
      </c>
      <c r="S1350" s="59" t="n">
        <v>46076.76111111111</v>
      </c>
      <c r="T1350" s="59" t="n">
        <v>46255.41666666666</v>
      </c>
      <c r="U1350" s="54" t="n">
        <v>101315</v>
      </c>
      <c r="W1350" t="inlineStr">
        <is>
          <t>sem correspondência</t>
        </is>
      </c>
      <c r="Y1350" t="inlineStr"/>
    </row>
    <row r="1351" ht="18" customHeight="1">
      <c r="A1351" s="60" t="inlineStr">
        <is>
          <t>Donacor</t>
        </is>
      </c>
      <c r="B1351" s="60" t="inlineStr">
        <is>
          <t>Top Fem Esportivo Max Lupo Seamless Academia New Lançamento</t>
        </is>
      </c>
      <c r="C1351" s="60" t="inlineStr">
        <is>
          <t>Rosa,G</t>
        </is>
      </c>
      <c r="D1351" s="60" t="inlineStr">
        <is>
          <t>TOP-LUPO-MAX-G-ROSA</t>
        </is>
      </c>
      <c r="E1351" s="60" t="n">
        <v>44458614611</v>
      </c>
      <c r="F1351" s="60" t="n">
        <v>305909251645</v>
      </c>
      <c r="G1351" s="60" t="inlineStr">
        <is>
          <t>NORMAL</t>
        </is>
      </c>
      <c r="H1351" s="91" t="n">
        <v>169.9</v>
      </c>
      <c r="I1351" s="91" t="n">
        <v>169.9</v>
      </c>
      <c r="J1351" s="62" t="inlineStr">
        <is>
          <t>NÃO</t>
        </is>
      </c>
      <c r="K1351" s="60" t="inlineStr">
        <is>
          <t> </t>
        </is>
      </c>
      <c r="L1351" s="87" t="n">
        <v>169.9</v>
      </c>
      <c r="P1351" s="92">
        <f>IF($O1351="","",L1351-O1351-(L1351*IF(L1351&lt;=79.99,20%,14%)+IF(L1351&lt;=79.99,4,IF(L1351&lt;=99.99,16,IF(L1351&lt;=199.99,20,IF(L1351&lt;=499.99,26,28)))))-L1351*1.3%-L1351*6%-(L1351-O1351)*9.25%-L1351*3%-L1351*3%-1)</f>
        <v/>
      </c>
      <c r="Q1351" s="60" t="inlineStr">
        <is>
          <t> </t>
        </is>
      </c>
      <c r="R1351" s="60" t="inlineStr">
        <is>
          <t> </t>
        </is>
      </c>
      <c r="S1351" s="60" t="inlineStr">
        <is>
          <t> </t>
        </is>
      </c>
      <c r="T1351" s="60" t="inlineStr">
        <is>
          <t> </t>
        </is>
      </c>
      <c r="U1351" s="60" t="n">
        <v>101315</v>
      </c>
      <c r="W1351" t="inlineStr">
        <is>
          <t>sem correspondência</t>
        </is>
      </c>
      <c r="Y1351" t="inlineStr"/>
    </row>
    <row r="1352" ht="18" customHeight="1">
      <c r="A1352" s="54" t="inlineStr">
        <is>
          <t>Donacor</t>
        </is>
      </c>
      <c r="B1352" s="54" t="inlineStr">
        <is>
          <t>Top Fem Esportivo Max Lupo Seamless Academia New Lançamento</t>
        </is>
      </c>
      <c r="C1352" s="54" t="inlineStr">
        <is>
          <t>Rosa,GG</t>
        </is>
      </c>
      <c r="D1352" s="54" t="inlineStr">
        <is>
          <t>TOP-LUPO-MAX-GG-ROSA</t>
        </is>
      </c>
      <c r="E1352" s="54" t="n">
        <v>44458614611</v>
      </c>
      <c r="F1352" s="54" t="n">
        <v>305909251646</v>
      </c>
      <c r="G1352" s="54" t="inlineStr">
        <is>
          <t>NORMAL</t>
        </is>
      </c>
      <c r="H1352" s="86" t="n">
        <v>169.9</v>
      </c>
      <c r="I1352" s="86" t="n">
        <v>169.9</v>
      </c>
      <c r="J1352" s="69" t="inlineStr">
        <is>
          <t>NÃO</t>
        </is>
      </c>
      <c r="K1352" s="54" t="n"/>
      <c r="L1352" s="87" t="n">
        <v>169.9</v>
      </c>
      <c r="P1352" s="90">
        <f>IF($O1352="","",L1352-O1352-(L1352*IF(L1352&lt;=79.99,20%,14%)+IF(L1352&lt;=79.99,4,IF(L1352&lt;=99.99,16,IF(L1352&lt;=199.99,20,IF(L1352&lt;=499.99,26,28)))))-L1352*1.3%-L1352*6%-(L1352-O1352)*9.25%-L1352*3%-L1352*3%-1)</f>
        <v/>
      </c>
      <c r="Q1352" s="54">
        <f>IF(AND(K1352&lt;&gt;"",H1352&gt;0),(H1352-K1352)/H1352,"")</f>
        <v/>
      </c>
      <c r="R1352" s="54" t="n"/>
      <c r="S1352" s="54" t="n"/>
      <c r="T1352" s="54" t="n"/>
      <c r="U1352" s="54" t="n">
        <v>101315</v>
      </c>
      <c r="W1352" t="inlineStr">
        <is>
          <t>sem correspondência</t>
        </is>
      </c>
      <c r="Y1352" t="inlineStr"/>
    </row>
    <row r="1353" ht="18" customHeight="1">
      <c r="A1353" s="60" t="inlineStr">
        <is>
          <t>Donacor</t>
        </is>
      </c>
      <c r="B1353" s="60" t="inlineStr">
        <is>
          <t>Top Fem Esportivo Max Lupo Seamless Academia New Lançamento</t>
        </is>
      </c>
      <c r="C1353" s="60" t="inlineStr">
        <is>
          <t>Rosa,M</t>
        </is>
      </c>
      <c r="D1353" s="60" t="inlineStr">
        <is>
          <t>TOP-LUPO-MAX-M-ROSA</t>
        </is>
      </c>
      <c r="E1353" s="60" t="n">
        <v>44458614611</v>
      </c>
      <c r="F1353" s="60" t="n">
        <v>305909251644</v>
      </c>
      <c r="G1353" s="60" t="inlineStr">
        <is>
          <t>NORMAL</t>
        </is>
      </c>
      <c r="H1353" s="91" t="n">
        <v>169.9</v>
      </c>
      <c r="I1353" s="91" t="n">
        <v>169.9</v>
      </c>
      <c r="J1353" s="62" t="inlineStr">
        <is>
          <t>NÃO</t>
        </is>
      </c>
      <c r="K1353" s="60" t="inlineStr">
        <is>
          <t> </t>
        </is>
      </c>
      <c r="L1353" s="87" t="n">
        <v>169.9</v>
      </c>
      <c r="P1353" s="92">
        <f>IF($O1353="","",L1353-O1353-(L1353*IF(L1353&lt;=79.99,20%,14%)+IF(L1353&lt;=79.99,4,IF(L1353&lt;=99.99,16,IF(L1353&lt;=199.99,20,IF(L1353&lt;=499.99,26,28)))))-L1353*1.3%-L1353*6%-(L1353-O1353)*9.25%-L1353*3%-L1353*3%-1)</f>
        <v/>
      </c>
      <c r="Q1353" s="60" t="inlineStr">
        <is>
          <t> </t>
        </is>
      </c>
      <c r="R1353" s="60" t="inlineStr">
        <is>
          <t> </t>
        </is>
      </c>
      <c r="S1353" s="60" t="inlineStr">
        <is>
          <t> </t>
        </is>
      </c>
      <c r="T1353" s="60" t="inlineStr">
        <is>
          <t> </t>
        </is>
      </c>
      <c r="U1353" s="60" t="n">
        <v>101315</v>
      </c>
      <c r="V1353" t="inlineStr">
        <is>
          <t>TOP-LUPO-MAX-M-ROSA</t>
        </is>
      </c>
      <c r="W1353" t="inlineStr">
        <is>
          <t>SKU idêntico na Olist · CUSTO ZERADO na Olist (conferido hoje)</t>
        </is>
      </c>
      <c r="Y1353" t="inlineStr">
        <is>
          <t>ok</t>
        </is>
      </c>
    </row>
    <row r="1354" ht="18" customHeight="1">
      <c r="A1354" s="54" t="inlineStr">
        <is>
          <t>Donacor</t>
        </is>
      </c>
      <c r="B1354" s="54" t="inlineStr">
        <is>
          <t>Top Fem Esportivo Max Lupo Seamless Academia New Lançamento</t>
        </is>
      </c>
      <c r="C1354" s="54" t="inlineStr">
        <is>
          <t>Rosa,P</t>
        </is>
      </c>
      <c r="D1354" s="54" t="inlineStr">
        <is>
          <t>TOP-LUPO-MAX-P-ROSA</t>
        </is>
      </c>
      <c r="E1354" s="54" t="n">
        <v>44458614611</v>
      </c>
      <c r="F1354" s="54" t="n">
        <v>305909251643</v>
      </c>
      <c r="G1354" s="54" t="inlineStr">
        <is>
          <t>NORMAL</t>
        </is>
      </c>
      <c r="H1354" s="86" t="n">
        <v>169.9</v>
      </c>
      <c r="I1354" s="86" t="n">
        <v>169.9</v>
      </c>
      <c r="J1354" s="69" t="inlineStr">
        <is>
          <t>NÃO</t>
        </is>
      </c>
      <c r="K1354" s="54" t="n"/>
      <c r="L1354" s="87" t="n">
        <v>169.9</v>
      </c>
      <c r="P1354" s="90">
        <f>IF($O1354="","",L1354-O1354-(L1354*IF(L1354&lt;=79.99,20%,14%)+IF(L1354&lt;=79.99,4,IF(L1354&lt;=99.99,16,IF(L1354&lt;=199.99,20,IF(L1354&lt;=499.99,26,28)))))-L1354*1.3%-L1354*6%-(L1354-O1354)*9.25%-L1354*3%-L1354*3%-1)</f>
        <v/>
      </c>
      <c r="Q1354" s="54">
        <f>IF(AND(K1354&lt;&gt;"",H1354&gt;0),(H1354-K1354)/H1354,"")</f>
        <v/>
      </c>
      <c r="R1354" s="54" t="n"/>
      <c r="S1354" s="54" t="n"/>
      <c r="T1354" s="54" t="n"/>
      <c r="U1354" s="54" t="n">
        <v>101315</v>
      </c>
      <c r="V1354" t="inlineStr">
        <is>
          <t>TOP-LUPO-MAX-P-ROSA</t>
        </is>
      </c>
      <c r="W1354" t="inlineStr">
        <is>
          <t>SKU idêntico na Olist · CUSTO ZERADO na Olist (conferido hoje)</t>
        </is>
      </c>
      <c r="Y1354" t="inlineStr">
        <is>
          <t>ok</t>
        </is>
      </c>
    </row>
    <row r="1355" ht="18" customHeight="1">
      <c r="A1355" s="60" t="inlineStr">
        <is>
          <t>Donacor</t>
        </is>
      </c>
      <c r="B1355" s="60" t="inlineStr">
        <is>
          <t>Top Fem Esportivo Max Lupo Seamless Academia New Lançamento</t>
        </is>
      </c>
      <c r="C1355" s="60" t="inlineStr">
        <is>
          <t>Rosa,XG</t>
        </is>
      </c>
      <c r="D1355" s="60" t="inlineStr">
        <is>
          <t>TOP-LUPO-MAX-XG-ROSA</t>
        </is>
      </c>
      <c r="E1355" s="60" t="n">
        <v>44458614611</v>
      </c>
      <c r="F1355" s="60" t="n">
        <v>305909251647</v>
      </c>
      <c r="G1355" s="60" t="inlineStr">
        <is>
          <t>NORMAL</t>
        </is>
      </c>
      <c r="H1355" s="91" t="n">
        <v>169.9</v>
      </c>
      <c r="I1355" s="91" t="n">
        <v>169.9</v>
      </c>
      <c r="J1355" s="62" t="inlineStr">
        <is>
          <t>NÃO</t>
        </is>
      </c>
      <c r="K1355" s="60" t="inlineStr">
        <is>
          <t> </t>
        </is>
      </c>
      <c r="L1355" s="87" t="n">
        <v>169.9</v>
      </c>
      <c r="P1355" s="92">
        <f>IF($O1355="","",L1355-O1355-(L1355*IF(L1355&lt;=79.99,20%,14%)+IF(L1355&lt;=79.99,4,IF(L1355&lt;=99.99,16,IF(L1355&lt;=199.99,20,IF(L1355&lt;=499.99,26,28)))))-L1355*1.3%-L1355*6%-(L1355-O1355)*9.25%-L1355*3%-L1355*3%-1)</f>
        <v/>
      </c>
      <c r="Q1355" s="60" t="inlineStr">
        <is>
          <t> </t>
        </is>
      </c>
      <c r="R1355" s="60" t="inlineStr">
        <is>
          <t> </t>
        </is>
      </c>
      <c r="S1355" s="60" t="inlineStr">
        <is>
          <t> </t>
        </is>
      </c>
      <c r="T1355" s="60" t="inlineStr">
        <is>
          <t> </t>
        </is>
      </c>
      <c r="U1355" s="60" t="n">
        <v>101315</v>
      </c>
      <c r="W1355" t="inlineStr">
        <is>
          <t>sem correspondência</t>
        </is>
      </c>
      <c r="Y1355" t="inlineStr"/>
    </row>
    <row r="1356" ht="18" customHeight="1">
      <c r="A1356" s="54" t="inlineStr">
        <is>
          <t>Donacor</t>
        </is>
      </c>
      <c r="B1356" s="54" t="inlineStr">
        <is>
          <t>Top Fem Esportivo Max Lupo Seamless Academia New Lançamento</t>
        </is>
      </c>
      <c r="C1356" s="54" t="inlineStr">
        <is>
          <t>Verde Militar,G</t>
        </is>
      </c>
      <c r="D1356" s="54" t="inlineStr">
        <is>
          <t>TOP-LUPO-MAX-G-MILITAR</t>
        </is>
      </c>
      <c r="E1356" s="54" t="n">
        <v>44458614611</v>
      </c>
      <c r="F1356" s="54" t="n">
        <v>280792315563</v>
      </c>
      <c r="G1356" s="54" t="inlineStr">
        <is>
          <t>NORMAL</t>
        </is>
      </c>
      <c r="H1356" s="86" t="n">
        <v>169.9</v>
      </c>
      <c r="I1356" s="86" t="n">
        <v>169.9</v>
      </c>
      <c r="J1356" s="56" t="inlineStr">
        <is>
          <t>SIM</t>
        </is>
      </c>
      <c r="K1356" s="86" t="n">
        <v>169.9</v>
      </c>
      <c r="L1356" s="87" t="n">
        <v>109.9</v>
      </c>
      <c r="P1356" s="90">
        <f>IF($O1356="","",L1356-O1356-(L1356*IF(L1356&lt;=79.99,20%,14%)+IF(L1356&lt;=79.99,4,IF(L1356&lt;=99.99,16,IF(L1356&lt;=199.99,20,IF(L1356&lt;=499.99,26,28)))))-L1356*1.3%-L1356*6%-(L1356-O1356)*9.25%-L1356*3%-L1356*3%-1)</f>
        <v/>
      </c>
      <c r="Q1356" s="58" t="n">
        <v>0.353</v>
      </c>
      <c r="R1356" s="54" t="n">
        <v>430216220717087</v>
      </c>
      <c r="S1356" s="59" t="n">
        <v>46076.76111111111</v>
      </c>
      <c r="T1356" s="59" t="n">
        <v>46255.41666666666</v>
      </c>
      <c r="U1356" s="54" t="n">
        <v>101315</v>
      </c>
      <c r="V1356" t="inlineStr">
        <is>
          <t>TOP-LUPO-MAX-G-MILITAR</t>
        </is>
      </c>
      <c r="W1356" t="inlineStr">
        <is>
          <t>SKU idêntico na Olist · CUSTO ZERADO na Olist (conferido hoje)</t>
        </is>
      </c>
      <c r="Y1356" t="inlineStr">
        <is>
          <t>ok</t>
        </is>
      </c>
    </row>
    <row r="1357" ht="18" customHeight="1">
      <c r="A1357" s="60" t="inlineStr">
        <is>
          <t>Donacor</t>
        </is>
      </c>
      <c r="B1357" s="60" t="inlineStr">
        <is>
          <t>Top Fem Esportivo Max Lupo Seamless Academia New Lançamento</t>
        </is>
      </c>
      <c r="C1357" s="60" t="inlineStr">
        <is>
          <t>Verde Militar,GG</t>
        </is>
      </c>
      <c r="D1357" s="60" t="inlineStr">
        <is>
          <t>TOP-LUPO-MAX-GG-MILITAR</t>
        </is>
      </c>
      <c r="E1357" s="60" t="n">
        <v>44458614611</v>
      </c>
      <c r="F1357" s="60" t="n">
        <v>280792315564</v>
      </c>
      <c r="G1357" s="60" t="inlineStr">
        <is>
          <t>NORMAL</t>
        </is>
      </c>
      <c r="H1357" s="91" t="n">
        <v>169.9</v>
      </c>
      <c r="I1357" s="91" t="n">
        <v>169.9</v>
      </c>
      <c r="J1357" s="65" t="inlineStr">
        <is>
          <t>SIM</t>
        </is>
      </c>
      <c r="K1357" s="91" t="n">
        <v>169.9</v>
      </c>
      <c r="L1357" s="87" t="n">
        <v>109.9</v>
      </c>
      <c r="P1357" s="92">
        <f>IF($O1357="","",L1357-O1357-(L1357*IF(L1357&lt;=79.99,20%,14%)+IF(L1357&lt;=79.99,4,IF(L1357&lt;=99.99,16,IF(L1357&lt;=199.99,20,IF(L1357&lt;=499.99,26,28)))))-L1357*1.3%-L1357*6%-(L1357-O1357)*9.25%-L1357*3%-L1357*3%-1)</f>
        <v/>
      </c>
      <c r="Q1357" s="67" t="n">
        <v>0.353</v>
      </c>
      <c r="R1357" s="60" t="n">
        <v>430216220717087</v>
      </c>
      <c r="S1357" s="68" t="n">
        <v>46076.76111111111</v>
      </c>
      <c r="T1357" s="68" t="n">
        <v>46255.41666666666</v>
      </c>
      <c r="U1357" s="60" t="n">
        <v>101315</v>
      </c>
      <c r="V1357" t="inlineStr">
        <is>
          <t>TOP-LUPO-MAX-GG-MILITAR</t>
        </is>
      </c>
      <c r="W1357" t="inlineStr">
        <is>
          <t>SKU idêntico na Olist · CUSTO ZERADO na Olist (conferido hoje)</t>
        </is>
      </c>
      <c r="Y1357" t="inlineStr">
        <is>
          <t>ok</t>
        </is>
      </c>
    </row>
    <row r="1358" ht="18" customHeight="1">
      <c r="A1358" s="54" t="inlineStr">
        <is>
          <t>Donacor</t>
        </is>
      </c>
      <c r="B1358" s="54" t="inlineStr">
        <is>
          <t>Top Fem Esportivo Max Lupo Seamless Academia New Lançamento</t>
        </is>
      </c>
      <c r="C1358" s="54" t="inlineStr">
        <is>
          <t>Verde Militar,M</t>
        </is>
      </c>
      <c r="D1358" s="54" t="inlineStr">
        <is>
          <t>TOP-LUPO-MAX-M-MILITAR</t>
        </is>
      </c>
      <c r="E1358" s="54" t="n">
        <v>44458614611</v>
      </c>
      <c r="F1358" s="54" t="n">
        <v>280792315562</v>
      </c>
      <c r="G1358" s="54" t="inlineStr">
        <is>
          <t>NORMAL</t>
        </is>
      </c>
      <c r="H1358" s="86" t="n">
        <v>169.9</v>
      </c>
      <c r="I1358" s="86" t="n">
        <v>169.9</v>
      </c>
      <c r="J1358" s="56" t="inlineStr">
        <is>
          <t>SIM</t>
        </is>
      </c>
      <c r="K1358" s="86" t="n">
        <v>169.9</v>
      </c>
      <c r="L1358" s="87" t="n">
        <v>109.9</v>
      </c>
      <c r="P1358" s="90">
        <f>IF($O1358="","",L1358-O1358-(L1358*IF(L1358&lt;=79.99,20%,14%)+IF(L1358&lt;=79.99,4,IF(L1358&lt;=99.99,16,IF(L1358&lt;=199.99,20,IF(L1358&lt;=499.99,26,28)))))-L1358*1.3%-L1358*6%-(L1358-O1358)*9.25%-L1358*3%-L1358*3%-1)</f>
        <v/>
      </c>
      <c r="Q1358" s="58" t="n">
        <v>0.353</v>
      </c>
      <c r="R1358" s="54" t="n">
        <v>430216220717087</v>
      </c>
      <c r="S1358" s="59" t="n">
        <v>46076.76111111111</v>
      </c>
      <c r="T1358" s="59" t="n">
        <v>46255.41666666666</v>
      </c>
      <c r="U1358" s="54" t="n">
        <v>101315</v>
      </c>
      <c r="W1358" t="inlineStr">
        <is>
          <t>sem correspondência</t>
        </is>
      </c>
      <c r="Y1358" t="inlineStr"/>
    </row>
    <row r="1359" ht="18" customHeight="1">
      <c r="A1359" s="60" t="inlineStr">
        <is>
          <t>Donacor</t>
        </is>
      </c>
      <c r="B1359" s="60" t="inlineStr">
        <is>
          <t>Top Fem Esportivo Max Lupo Seamless Academia New Lançamento</t>
        </is>
      </c>
      <c r="C1359" s="60" t="inlineStr">
        <is>
          <t>Verde Militar,P</t>
        </is>
      </c>
      <c r="D1359" s="60" t="inlineStr">
        <is>
          <t>TOP-LUPO-MAX-P-MILITAR</t>
        </is>
      </c>
      <c r="E1359" s="60" t="n">
        <v>44458614611</v>
      </c>
      <c r="F1359" s="60" t="n">
        <v>280792315561</v>
      </c>
      <c r="G1359" s="60" t="inlineStr">
        <is>
          <t>NORMAL</t>
        </is>
      </c>
      <c r="H1359" s="91" t="n">
        <v>169.9</v>
      </c>
      <c r="I1359" s="91" t="n">
        <v>169.9</v>
      </c>
      <c r="J1359" s="65" t="inlineStr">
        <is>
          <t>SIM</t>
        </is>
      </c>
      <c r="K1359" s="91" t="n">
        <v>169.9</v>
      </c>
      <c r="L1359" s="87" t="n">
        <v>109.9</v>
      </c>
      <c r="P1359" s="92">
        <f>IF($O1359="","",L1359-O1359-(L1359*IF(L1359&lt;=79.99,20%,14%)+IF(L1359&lt;=79.99,4,IF(L1359&lt;=99.99,16,IF(L1359&lt;=199.99,20,IF(L1359&lt;=499.99,26,28)))))-L1359*1.3%-L1359*6%-(L1359-O1359)*9.25%-L1359*3%-L1359*3%-1)</f>
        <v/>
      </c>
      <c r="Q1359" s="67" t="n">
        <v>0.353</v>
      </c>
      <c r="R1359" s="60" t="n">
        <v>430216220717087</v>
      </c>
      <c r="S1359" s="68" t="n">
        <v>46076.76111111111</v>
      </c>
      <c r="T1359" s="68" t="n">
        <v>46255.41666666666</v>
      </c>
      <c r="U1359" s="60" t="n">
        <v>101315</v>
      </c>
      <c r="W1359" t="inlineStr">
        <is>
          <t>sem correspondência</t>
        </is>
      </c>
      <c r="Y1359" t="inlineStr"/>
    </row>
    <row r="1360" ht="18" customHeight="1">
      <c r="A1360" s="54" t="inlineStr">
        <is>
          <t>Donacor</t>
        </is>
      </c>
      <c r="B1360" s="54" t="inlineStr">
        <is>
          <t>Top Fem Esportivo Max Lupo Seamless Academia New Lançamento</t>
        </is>
      </c>
      <c r="C1360" s="54" t="inlineStr">
        <is>
          <t>Verde Militar,XG</t>
        </is>
      </c>
      <c r="D1360" s="54" t="inlineStr">
        <is>
          <t>TOP-LUPO-MAX-XG-MILITAR</t>
        </is>
      </c>
      <c r="E1360" s="54" t="n">
        <v>44458614611</v>
      </c>
      <c r="F1360" s="54" t="n">
        <v>280792315565</v>
      </c>
      <c r="G1360" s="54" t="inlineStr">
        <is>
          <t>NORMAL</t>
        </is>
      </c>
      <c r="H1360" s="86" t="n">
        <v>169.9</v>
      </c>
      <c r="I1360" s="86" t="n">
        <v>169.9</v>
      </c>
      <c r="J1360" s="56" t="inlineStr">
        <is>
          <t>SIM</t>
        </is>
      </c>
      <c r="K1360" s="86" t="n">
        <v>169.9</v>
      </c>
      <c r="L1360" s="87" t="n">
        <v>109.9</v>
      </c>
      <c r="P1360" s="90">
        <f>IF($O1360="","",L1360-O1360-(L1360*IF(L1360&lt;=79.99,20%,14%)+IF(L1360&lt;=79.99,4,IF(L1360&lt;=99.99,16,IF(L1360&lt;=199.99,20,IF(L1360&lt;=499.99,26,28)))))-L1360*1.3%-L1360*6%-(L1360-O1360)*9.25%-L1360*3%-L1360*3%-1)</f>
        <v/>
      </c>
      <c r="Q1360" s="58" t="n">
        <v>0.353</v>
      </c>
      <c r="R1360" s="54" t="n">
        <v>430216220717087</v>
      </c>
      <c r="S1360" s="59" t="n">
        <v>46076.76111111111</v>
      </c>
      <c r="T1360" s="59" t="n">
        <v>46255.41666666666</v>
      </c>
      <c r="U1360" s="54" t="n">
        <v>101315</v>
      </c>
      <c r="W1360" t="inlineStr">
        <is>
          <t>sem correspondência</t>
        </is>
      </c>
      <c r="Y1360" t="inlineStr"/>
    </row>
    <row r="1361" ht="18" customHeight="1">
      <c r="A1361" s="60" t="inlineStr">
        <is>
          <t>Donacor</t>
        </is>
      </c>
      <c r="B1361" s="60" t="inlineStr">
        <is>
          <t>Top Fem Esportivo Max Lupo Seamless Academia New Lançamento</t>
        </is>
      </c>
      <c r="C1361" s="60" t="inlineStr">
        <is>
          <t>Verde,G</t>
        </is>
      </c>
      <c r="D1361" s="60" t="inlineStr">
        <is>
          <t>TOP-LUPO-MAX-G-VERDE</t>
        </is>
      </c>
      <c r="E1361" s="60" t="n">
        <v>44458614611</v>
      </c>
      <c r="F1361" s="60" t="n">
        <v>259067555490</v>
      </c>
      <c r="G1361" s="60" t="inlineStr">
        <is>
          <t>NORMAL</t>
        </is>
      </c>
      <c r="H1361" s="91" t="n">
        <v>169.9</v>
      </c>
      <c r="I1361" s="91" t="n">
        <v>169.9</v>
      </c>
      <c r="J1361" s="62" t="inlineStr">
        <is>
          <t>NÃO</t>
        </is>
      </c>
      <c r="K1361" s="60" t="inlineStr">
        <is>
          <t> </t>
        </is>
      </c>
      <c r="L1361" s="87" t="n">
        <v>169.9</v>
      </c>
      <c r="P1361" s="92">
        <f>IF($O1361="","",L1361-O1361-(L1361*IF(L1361&lt;=79.99,20%,14%)+IF(L1361&lt;=79.99,4,IF(L1361&lt;=99.99,16,IF(L1361&lt;=199.99,20,IF(L1361&lt;=499.99,26,28)))))-L1361*1.3%-L1361*6%-(L1361-O1361)*9.25%-L1361*3%-L1361*3%-1)</f>
        <v/>
      </c>
      <c r="Q1361" s="60" t="inlineStr">
        <is>
          <t> </t>
        </is>
      </c>
      <c r="R1361" s="60" t="inlineStr">
        <is>
          <t> </t>
        </is>
      </c>
      <c r="S1361" s="60" t="inlineStr">
        <is>
          <t> </t>
        </is>
      </c>
      <c r="T1361" s="60" t="inlineStr">
        <is>
          <t> </t>
        </is>
      </c>
      <c r="U1361" s="60" t="n">
        <v>101315</v>
      </c>
      <c r="V1361" t="inlineStr">
        <is>
          <t>TOP-LUPO-MAX-G-VERDE</t>
        </is>
      </c>
      <c r="W1361" t="inlineStr">
        <is>
          <t>SKU idêntico na Olist · CUSTO ZERADO na Olist (conferido hoje)</t>
        </is>
      </c>
      <c r="Y1361" t="inlineStr">
        <is>
          <t>ok</t>
        </is>
      </c>
    </row>
    <row r="1362" ht="18" customHeight="1">
      <c r="A1362" s="54" t="inlineStr">
        <is>
          <t>Donacor</t>
        </is>
      </c>
      <c r="B1362" s="54" t="inlineStr">
        <is>
          <t>Top Fem Esportivo Max Lupo Seamless Academia New Lançamento</t>
        </is>
      </c>
      <c r="C1362" s="54" t="inlineStr">
        <is>
          <t>Verde,GG</t>
        </is>
      </c>
      <c r="D1362" s="54" t="inlineStr">
        <is>
          <t>TOP-LUPO-MAX-GG-VERDE</t>
        </is>
      </c>
      <c r="E1362" s="54" t="n">
        <v>44458614611</v>
      </c>
      <c r="F1362" s="54" t="n">
        <v>259067555491</v>
      </c>
      <c r="G1362" s="54" t="inlineStr">
        <is>
          <t>NORMAL</t>
        </is>
      </c>
      <c r="H1362" s="86" t="n">
        <v>169.9</v>
      </c>
      <c r="I1362" s="86" t="n">
        <v>169.9</v>
      </c>
      <c r="J1362" s="69" t="inlineStr">
        <is>
          <t>NÃO</t>
        </is>
      </c>
      <c r="K1362" s="54" t="n"/>
      <c r="L1362" s="87" t="n">
        <v>169.9</v>
      </c>
      <c r="P1362" s="90">
        <f>IF($O1362="","",L1362-O1362-(L1362*IF(L1362&lt;=79.99,20%,14%)+IF(L1362&lt;=79.99,4,IF(L1362&lt;=99.99,16,IF(L1362&lt;=199.99,20,IF(L1362&lt;=499.99,26,28)))))-L1362*1.3%-L1362*6%-(L1362-O1362)*9.25%-L1362*3%-L1362*3%-1)</f>
        <v/>
      </c>
      <c r="Q1362" s="54">
        <f>IF(AND(K1362&lt;&gt;"",H1362&gt;0),(H1362-K1362)/H1362,"")</f>
        <v/>
      </c>
      <c r="R1362" s="54" t="n"/>
      <c r="S1362" s="54" t="n"/>
      <c r="T1362" s="54" t="n"/>
      <c r="U1362" s="54" t="n">
        <v>101315</v>
      </c>
      <c r="W1362" t="inlineStr">
        <is>
          <t>sem correspondência</t>
        </is>
      </c>
      <c r="Y1362" t="inlineStr"/>
    </row>
    <row r="1363" ht="18" customHeight="1">
      <c r="A1363" s="60" t="inlineStr">
        <is>
          <t>Donacor</t>
        </is>
      </c>
      <c r="B1363" s="60" t="inlineStr">
        <is>
          <t>Top Fem Esportivo Max Lupo Seamless Academia New Lançamento</t>
        </is>
      </c>
      <c r="C1363" s="60" t="inlineStr">
        <is>
          <t>Verde,M</t>
        </is>
      </c>
      <c r="D1363" s="60" t="inlineStr">
        <is>
          <t>TOP-LUPO-MAX-M-VERDE</t>
        </is>
      </c>
      <c r="E1363" s="60" t="n">
        <v>44458614611</v>
      </c>
      <c r="F1363" s="60" t="n">
        <v>259067555489</v>
      </c>
      <c r="G1363" s="60" t="inlineStr">
        <is>
          <t>NORMAL</t>
        </is>
      </c>
      <c r="H1363" s="91" t="n">
        <v>169.9</v>
      </c>
      <c r="I1363" s="91" t="n">
        <v>169.9</v>
      </c>
      <c r="J1363" s="62" t="inlineStr">
        <is>
          <t>NÃO</t>
        </is>
      </c>
      <c r="K1363" s="60" t="inlineStr">
        <is>
          <t> </t>
        </is>
      </c>
      <c r="L1363" s="87" t="n">
        <v>169.9</v>
      </c>
      <c r="P1363" s="92">
        <f>IF($O1363="","",L1363-O1363-(L1363*IF(L1363&lt;=79.99,20%,14%)+IF(L1363&lt;=79.99,4,IF(L1363&lt;=99.99,16,IF(L1363&lt;=199.99,20,IF(L1363&lt;=499.99,26,28)))))-L1363*1.3%-L1363*6%-(L1363-O1363)*9.25%-L1363*3%-L1363*3%-1)</f>
        <v/>
      </c>
      <c r="Q1363" s="60" t="inlineStr">
        <is>
          <t> </t>
        </is>
      </c>
      <c r="R1363" s="60" t="inlineStr">
        <is>
          <t> </t>
        </is>
      </c>
      <c r="S1363" s="60" t="inlineStr">
        <is>
          <t> </t>
        </is>
      </c>
      <c r="T1363" s="60" t="inlineStr">
        <is>
          <t> </t>
        </is>
      </c>
      <c r="U1363" s="60" t="n">
        <v>101315</v>
      </c>
      <c r="V1363" t="inlineStr">
        <is>
          <t>TOP-LUPO-MAX-M-VERDE</t>
        </is>
      </c>
      <c r="W1363" t="inlineStr">
        <is>
          <t>SKU idêntico na Olist · CUSTO ZERADO na Olist (conferido hoje)</t>
        </is>
      </c>
      <c r="Y1363" t="inlineStr">
        <is>
          <t>ok</t>
        </is>
      </c>
    </row>
    <row r="1364" ht="18" customHeight="1">
      <c r="A1364" s="54" t="inlineStr">
        <is>
          <t>Donacor</t>
        </is>
      </c>
      <c r="B1364" s="54" t="inlineStr">
        <is>
          <t>Top Fem Esportivo Max Lupo Seamless Academia New Lançamento</t>
        </is>
      </c>
      <c r="C1364" s="54" t="inlineStr">
        <is>
          <t>Verde,P</t>
        </is>
      </c>
      <c r="D1364" s="54" t="inlineStr">
        <is>
          <t>TOP-LUPO-MAX-P-VERDE</t>
        </is>
      </c>
      <c r="E1364" s="54" t="n">
        <v>44458614611</v>
      </c>
      <c r="F1364" s="54" t="n">
        <v>259067555488</v>
      </c>
      <c r="G1364" s="54" t="inlineStr">
        <is>
          <t>NORMAL</t>
        </is>
      </c>
      <c r="H1364" s="86" t="n">
        <v>169.9</v>
      </c>
      <c r="I1364" s="86" t="n">
        <v>169.9</v>
      </c>
      <c r="J1364" s="69" t="inlineStr">
        <is>
          <t>NÃO</t>
        </is>
      </c>
      <c r="K1364" s="54" t="n"/>
      <c r="L1364" s="87" t="n">
        <v>169.9</v>
      </c>
      <c r="P1364" s="90">
        <f>IF($O1364="","",L1364-O1364-(L1364*IF(L1364&lt;=79.99,20%,14%)+IF(L1364&lt;=79.99,4,IF(L1364&lt;=99.99,16,IF(L1364&lt;=199.99,20,IF(L1364&lt;=499.99,26,28)))))-L1364*1.3%-L1364*6%-(L1364-O1364)*9.25%-L1364*3%-L1364*3%-1)</f>
        <v/>
      </c>
      <c r="Q1364" s="54">
        <f>IF(AND(K1364&lt;&gt;"",H1364&gt;0),(H1364-K1364)/H1364,"")</f>
        <v/>
      </c>
      <c r="R1364" s="54" t="n"/>
      <c r="S1364" s="54" t="n"/>
      <c r="T1364" s="54" t="n"/>
      <c r="U1364" s="54" t="n">
        <v>101315</v>
      </c>
      <c r="V1364" t="inlineStr">
        <is>
          <t>TOP-LUPO-MAX-P-VERDE</t>
        </is>
      </c>
      <c r="W1364" t="inlineStr">
        <is>
          <t>SKU idêntico na Olist · CUSTO ZERADO na Olist (conferido hoje)</t>
        </is>
      </c>
      <c r="Y1364" t="inlineStr">
        <is>
          <t>ok</t>
        </is>
      </c>
    </row>
    <row r="1365" ht="18" customHeight="1">
      <c r="A1365" s="60" t="inlineStr">
        <is>
          <t>Donacor</t>
        </is>
      </c>
      <c r="B1365" s="60" t="inlineStr">
        <is>
          <t>Top Fem Esportivo Max Lupo Seamless Academia New Lançamento</t>
        </is>
      </c>
      <c r="C1365" s="60" t="inlineStr">
        <is>
          <t>Verde,XG</t>
        </is>
      </c>
      <c r="D1365" s="60" t="inlineStr">
        <is>
          <t>TOP-LUPO-MAX-XG-VERDE</t>
        </is>
      </c>
      <c r="E1365" s="60" t="n">
        <v>44458614611</v>
      </c>
      <c r="F1365" s="60" t="n">
        <v>259067555492</v>
      </c>
      <c r="G1365" s="60" t="inlineStr">
        <is>
          <t>NORMAL</t>
        </is>
      </c>
      <c r="H1365" s="91" t="n">
        <v>169.9</v>
      </c>
      <c r="I1365" s="91" t="n">
        <v>169.9</v>
      </c>
      <c r="J1365" s="62" t="inlineStr">
        <is>
          <t>NÃO</t>
        </is>
      </c>
      <c r="K1365" s="60" t="inlineStr">
        <is>
          <t> </t>
        </is>
      </c>
      <c r="L1365" s="87" t="n">
        <v>169.9</v>
      </c>
      <c r="P1365" s="92">
        <f>IF($O1365="","",L1365-O1365-(L1365*IF(L1365&lt;=79.99,20%,14%)+IF(L1365&lt;=79.99,4,IF(L1365&lt;=99.99,16,IF(L1365&lt;=199.99,20,IF(L1365&lt;=499.99,26,28)))))-L1365*1.3%-L1365*6%-(L1365-O1365)*9.25%-L1365*3%-L1365*3%-1)</f>
        <v/>
      </c>
      <c r="Q1365" s="60" t="inlineStr">
        <is>
          <t> </t>
        </is>
      </c>
      <c r="R1365" s="60" t="inlineStr">
        <is>
          <t> </t>
        </is>
      </c>
      <c r="S1365" s="60" t="inlineStr">
        <is>
          <t> </t>
        </is>
      </c>
      <c r="T1365" s="60" t="inlineStr">
        <is>
          <t> </t>
        </is>
      </c>
      <c r="U1365" s="60" t="n">
        <v>101315</v>
      </c>
      <c r="W1365" t="inlineStr">
        <is>
          <t>sem correspondência</t>
        </is>
      </c>
      <c r="Y1365" t="inlineStr"/>
    </row>
    <row r="1366" ht="18" customHeight="1">
      <c r="A1366" s="54" t="inlineStr">
        <is>
          <t>Donacor</t>
        </is>
      </c>
      <c r="B1366" s="54" t="inlineStr">
        <is>
          <t>Top Lupo Loba Power Básico Microfibra S/ Costura</t>
        </is>
      </c>
      <c r="C1366" s="54" t="inlineStr">
        <is>
          <t>Branco,Liso&amp;G</t>
        </is>
      </c>
      <c r="D1366" s="54" t="inlineStr">
        <is>
          <t>TOP-LOBA-G-BRANCO</t>
        </is>
      </c>
      <c r="E1366" s="54" t="n">
        <v>23297543457</v>
      </c>
      <c r="F1366" s="54" t="n">
        <v>355023437943</v>
      </c>
      <c r="G1366" s="54" t="inlineStr">
        <is>
          <t>NORMAL</t>
        </is>
      </c>
      <c r="H1366" s="86" t="n">
        <v>109.9</v>
      </c>
      <c r="I1366" s="86" t="n">
        <v>109.9</v>
      </c>
      <c r="J1366" s="69" t="inlineStr">
        <is>
          <t>NÃO</t>
        </is>
      </c>
      <c r="K1366" s="54" t="n"/>
      <c r="L1366" s="87" t="n">
        <v>109.9</v>
      </c>
      <c r="P1366" s="90">
        <f>IF($O1366="","",L1366-O1366-(L1366*IF(L1366&lt;=79.99,20%,14%)+IF(L1366&lt;=79.99,4,IF(L1366&lt;=99.99,16,IF(L1366&lt;=199.99,20,IF(L1366&lt;=499.99,26,28)))))-L1366*1.3%-L1366*6%-(L1366-O1366)*9.25%-L1366*3%-L1366*3%-1)</f>
        <v/>
      </c>
      <c r="Q1366" s="54">
        <f>IF(AND(K1366&lt;&gt;"",H1366&gt;0),(H1366-K1366)/H1366,"")</f>
        <v/>
      </c>
      <c r="R1366" s="54" t="n"/>
      <c r="S1366" s="54" t="n"/>
      <c r="T1366" s="54" t="n"/>
      <c r="U1366" s="54" t="n">
        <v>101315</v>
      </c>
      <c r="V1366" t="inlineStr">
        <is>
          <t>TOP-LOBA-GG-NUDE</t>
        </is>
      </c>
      <c r="W1366" t="inlineStr">
        <is>
          <t>herdado do anúncio · CUSTO ZERADO na Olist (conferido hoje)</t>
        </is>
      </c>
      <c r="Y1366" t="inlineStr">
        <is>
          <t>ok</t>
        </is>
      </c>
    </row>
    <row r="1367" ht="18" customHeight="1">
      <c r="A1367" s="60" t="inlineStr">
        <is>
          <t>Donacor</t>
        </is>
      </c>
      <c r="B1367" s="60" t="inlineStr">
        <is>
          <t>Top Lupo Loba Power Básico Microfibra S/ Costura</t>
        </is>
      </c>
      <c r="C1367" s="60" t="inlineStr">
        <is>
          <t>Branco,Liso&amp;GG</t>
        </is>
      </c>
      <c r="D1367" s="60" t="inlineStr">
        <is>
          <t>TOP-LOBA-GG-BRANCO</t>
        </is>
      </c>
      <c r="E1367" s="60" t="n">
        <v>23297543457</v>
      </c>
      <c r="F1367" s="60" t="n">
        <v>355023437942</v>
      </c>
      <c r="G1367" s="60" t="inlineStr">
        <is>
          <t>NORMAL</t>
        </is>
      </c>
      <c r="H1367" s="91" t="n">
        <v>109.9</v>
      </c>
      <c r="I1367" s="91" t="n">
        <v>109.9</v>
      </c>
      <c r="J1367" s="62" t="inlineStr">
        <is>
          <t>NÃO</t>
        </is>
      </c>
      <c r="K1367" s="60" t="inlineStr">
        <is>
          <t> </t>
        </is>
      </c>
      <c r="L1367" s="87" t="n">
        <v>109.9</v>
      </c>
      <c r="P1367" s="92">
        <f>IF($O1367="","",L1367-O1367-(L1367*IF(L1367&lt;=79.99,20%,14%)+IF(L1367&lt;=79.99,4,IF(L1367&lt;=99.99,16,IF(L1367&lt;=199.99,20,IF(L1367&lt;=499.99,26,28)))))-L1367*1.3%-L1367*6%-(L1367-O1367)*9.25%-L1367*3%-L1367*3%-1)</f>
        <v/>
      </c>
      <c r="Q1367" s="60" t="inlineStr">
        <is>
          <t> </t>
        </is>
      </c>
      <c r="R1367" s="60" t="inlineStr">
        <is>
          <t> </t>
        </is>
      </c>
      <c r="S1367" s="60" t="inlineStr">
        <is>
          <t> </t>
        </is>
      </c>
      <c r="T1367" s="60" t="inlineStr">
        <is>
          <t> </t>
        </is>
      </c>
      <c r="U1367" s="60" t="n">
        <v>101315</v>
      </c>
      <c r="V1367" t="inlineStr">
        <is>
          <t>TOP-LOBA-GG-NUDE</t>
        </is>
      </c>
      <c r="W1367" t="inlineStr">
        <is>
          <t>herdado do anúncio · CUSTO ZERADO na Olist (conferido hoje)</t>
        </is>
      </c>
      <c r="Y1367" t="inlineStr">
        <is>
          <t>ok</t>
        </is>
      </c>
    </row>
    <row r="1368" ht="18" customHeight="1">
      <c r="A1368" s="54" t="inlineStr">
        <is>
          <t>Donacor</t>
        </is>
      </c>
      <c r="B1368" s="54" t="inlineStr">
        <is>
          <t>Top Lupo Loba Power Básico Microfibra S/ Costura</t>
        </is>
      </c>
      <c r="C1368" s="54" t="inlineStr">
        <is>
          <t>Branco,Liso&amp;M</t>
        </is>
      </c>
      <c r="D1368" s="54" t="n">
        <v>505</v>
      </c>
      <c r="E1368" s="54" t="n">
        <v>23297543457</v>
      </c>
      <c r="F1368" s="54" t="n">
        <v>355023437944</v>
      </c>
      <c r="G1368" s="54" t="inlineStr">
        <is>
          <t>NORMAL</t>
        </is>
      </c>
      <c r="H1368" s="86" t="n">
        <v>109.9</v>
      </c>
      <c r="I1368" s="86" t="n">
        <v>109.9</v>
      </c>
      <c r="J1368" s="69" t="inlineStr">
        <is>
          <t>NÃO</t>
        </is>
      </c>
      <c r="K1368" s="54" t="n"/>
      <c r="L1368" s="87" t="n">
        <v>109.9</v>
      </c>
      <c r="P1368" s="90">
        <f>IF($O1368="","",L1368-O1368-(L1368*IF(L1368&lt;=79.99,20%,14%)+IF(L1368&lt;=79.99,4,IF(L1368&lt;=99.99,16,IF(L1368&lt;=199.99,20,IF(L1368&lt;=499.99,26,28)))))-L1368*1.3%-L1368*6%-(L1368-O1368)*9.25%-L1368*3%-L1368*3%-1)</f>
        <v/>
      </c>
      <c r="Q1368" s="54">
        <f>IF(AND(K1368&lt;&gt;"",H1368&gt;0),(H1368-K1368)/H1368,"")</f>
        <v/>
      </c>
      <c r="R1368" s="54" t="n"/>
      <c r="S1368" s="54" t="n"/>
      <c r="T1368" s="54" t="n"/>
      <c r="U1368" s="54" t="n">
        <v>101315</v>
      </c>
      <c r="V1368" t="inlineStr">
        <is>
          <t>TOP-LOBA-GG-NUDE</t>
        </is>
      </c>
      <c r="W1368" t="inlineStr">
        <is>
          <t>herdado do anúncio · CUSTO ZERADO na Olist (conferido hoje)</t>
        </is>
      </c>
      <c r="Y1368" t="inlineStr">
        <is>
          <t>ok</t>
        </is>
      </c>
    </row>
    <row r="1369" ht="18" customHeight="1">
      <c r="A1369" s="60" t="inlineStr">
        <is>
          <t>Donacor</t>
        </is>
      </c>
      <c r="B1369" s="60" t="inlineStr">
        <is>
          <t>Top Lupo Loba Power Básico Microfibra S/ Costura</t>
        </is>
      </c>
      <c r="C1369" s="60" t="inlineStr">
        <is>
          <t>Branco,Liso&amp;P</t>
        </is>
      </c>
      <c r="D1369" s="60" t="inlineStr">
        <is>
          <t>TOP-LOBA-P-BRANCO</t>
        </is>
      </c>
      <c r="E1369" s="60" t="n">
        <v>23297543457</v>
      </c>
      <c r="F1369" s="60" t="n">
        <v>355023437941</v>
      </c>
      <c r="G1369" s="60" t="inlineStr">
        <is>
          <t>NORMAL</t>
        </is>
      </c>
      <c r="H1369" s="91" t="n">
        <v>109.9</v>
      </c>
      <c r="I1369" s="91" t="n">
        <v>109.9</v>
      </c>
      <c r="J1369" s="62" t="inlineStr">
        <is>
          <t>NÃO</t>
        </is>
      </c>
      <c r="K1369" s="60" t="inlineStr">
        <is>
          <t> </t>
        </is>
      </c>
      <c r="L1369" s="87" t="n">
        <v>109.9</v>
      </c>
      <c r="P1369" s="92">
        <f>IF($O1369="","",L1369-O1369-(L1369*IF(L1369&lt;=79.99,20%,14%)+IF(L1369&lt;=79.99,4,IF(L1369&lt;=99.99,16,IF(L1369&lt;=199.99,20,IF(L1369&lt;=499.99,26,28)))))-L1369*1.3%-L1369*6%-(L1369-O1369)*9.25%-L1369*3%-L1369*3%-1)</f>
        <v/>
      </c>
      <c r="Q1369" s="60" t="inlineStr">
        <is>
          <t> </t>
        </is>
      </c>
      <c r="R1369" s="60" t="inlineStr">
        <is>
          <t> </t>
        </is>
      </c>
      <c r="S1369" s="60" t="inlineStr">
        <is>
          <t> </t>
        </is>
      </c>
      <c r="T1369" s="60" t="inlineStr">
        <is>
          <t> </t>
        </is>
      </c>
      <c r="U1369" s="60" t="n">
        <v>101315</v>
      </c>
      <c r="V1369" t="inlineStr">
        <is>
          <t>TOP-LOBA-GG-NUDE</t>
        </is>
      </c>
      <c r="W1369" t="inlineStr">
        <is>
          <t>herdado do anúncio · CUSTO ZERADO na Olist (conferido hoje)</t>
        </is>
      </c>
      <c r="Y1369" t="inlineStr">
        <is>
          <t>ok</t>
        </is>
      </c>
    </row>
    <row r="1370" ht="18" customHeight="1">
      <c r="A1370" s="54" t="inlineStr">
        <is>
          <t>Donacor</t>
        </is>
      </c>
      <c r="B1370" s="54" t="inlineStr">
        <is>
          <t>Top Lupo Loba Power Básico Microfibra S/ Costura</t>
        </is>
      </c>
      <c r="C1370" s="54" t="inlineStr">
        <is>
          <t>Natural Peach,Liso&amp;G</t>
        </is>
      </c>
      <c r="D1370" s="54" t="n">
        <v>505</v>
      </c>
      <c r="E1370" s="54" t="n">
        <v>23297543457</v>
      </c>
      <c r="F1370" s="54" t="n">
        <v>159777638410</v>
      </c>
      <c r="G1370" s="54" t="inlineStr">
        <is>
          <t>NORMAL</t>
        </is>
      </c>
      <c r="H1370" s="86" t="n">
        <v>109.9</v>
      </c>
      <c r="I1370" s="86" t="n">
        <v>109.9</v>
      </c>
      <c r="J1370" s="69" t="inlineStr">
        <is>
          <t>NÃO</t>
        </is>
      </c>
      <c r="K1370" s="54" t="n"/>
      <c r="L1370" s="87" t="n">
        <v>109.9</v>
      </c>
      <c r="P1370" s="90">
        <f>IF($O1370="","",L1370-O1370-(L1370*IF(L1370&lt;=79.99,20%,14%)+IF(L1370&lt;=79.99,4,IF(L1370&lt;=99.99,16,IF(L1370&lt;=199.99,20,IF(L1370&lt;=499.99,26,28)))))-L1370*1.3%-L1370*6%-(L1370-O1370)*9.25%-L1370*3%-L1370*3%-1)</f>
        <v/>
      </c>
      <c r="Q1370" s="54">
        <f>IF(AND(K1370&lt;&gt;"",H1370&gt;0),(H1370-K1370)/H1370,"")</f>
        <v/>
      </c>
      <c r="R1370" s="54" t="n"/>
      <c r="S1370" s="54" t="n"/>
      <c r="T1370" s="54" t="n"/>
      <c r="U1370" s="54" t="n">
        <v>101315</v>
      </c>
      <c r="V1370" t="inlineStr">
        <is>
          <t>TOP-LOBA-GG-NUDE</t>
        </is>
      </c>
      <c r="W1370" t="inlineStr">
        <is>
          <t>herdado do anúncio · CUSTO ZERADO na Olist (conferido hoje)</t>
        </is>
      </c>
      <c r="Y1370" t="inlineStr">
        <is>
          <t>ok</t>
        </is>
      </c>
    </row>
    <row r="1371" ht="18" customHeight="1">
      <c r="A1371" s="60" t="inlineStr">
        <is>
          <t>Donacor</t>
        </is>
      </c>
      <c r="B1371" s="60" t="inlineStr">
        <is>
          <t>Top Lupo Loba Power Básico Microfibra S/ Costura</t>
        </is>
      </c>
      <c r="C1371" s="60" t="inlineStr">
        <is>
          <t>Natural Peach,Liso&amp;GG</t>
        </is>
      </c>
      <c r="D1371" s="60" t="n">
        <v>505</v>
      </c>
      <c r="E1371" s="60" t="n">
        <v>23297543457</v>
      </c>
      <c r="F1371" s="60" t="n">
        <v>159777638409</v>
      </c>
      <c r="G1371" s="60" t="inlineStr">
        <is>
          <t>NORMAL</t>
        </is>
      </c>
      <c r="H1371" s="91" t="n">
        <v>109.9</v>
      </c>
      <c r="I1371" s="91" t="n">
        <v>109.9</v>
      </c>
      <c r="J1371" s="62" t="inlineStr">
        <is>
          <t>NÃO</t>
        </is>
      </c>
      <c r="K1371" s="60" t="inlineStr">
        <is>
          <t> </t>
        </is>
      </c>
      <c r="L1371" s="87" t="n">
        <v>109.9</v>
      </c>
      <c r="P1371" s="92">
        <f>IF($O1371="","",L1371-O1371-(L1371*IF(L1371&lt;=79.99,20%,14%)+IF(L1371&lt;=79.99,4,IF(L1371&lt;=99.99,16,IF(L1371&lt;=199.99,20,IF(L1371&lt;=499.99,26,28)))))-L1371*1.3%-L1371*6%-(L1371-O1371)*9.25%-L1371*3%-L1371*3%-1)</f>
        <v/>
      </c>
      <c r="Q1371" s="60" t="inlineStr">
        <is>
          <t> </t>
        </is>
      </c>
      <c r="R1371" s="60" t="inlineStr">
        <is>
          <t> </t>
        </is>
      </c>
      <c r="S1371" s="60" t="inlineStr">
        <is>
          <t> </t>
        </is>
      </c>
      <c r="T1371" s="60" t="inlineStr">
        <is>
          <t> </t>
        </is>
      </c>
      <c r="U1371" s="60" t="n">
        <v>101315</v>
      </c>
      <c r="V1371" t="inlineStr">
        <is>
          <t>TOP-LOBA-GG-NUDE</t>
        </is>
      </c>
      <c r="W1371" t="inlineStr">
        <is>
          <t>herdado do anúncio · CUSTO ZERADO na Olist (conferido hoje)</t>
        </is>
      </c>
      <c r="Y1371" t="inlineStr">
        <is>
          <t>ok</t>
        </is>
      </c>
    </row>
    <row r="1372" ht="18" customHeight="1">
      <c r="A1372" s="54" t="inlineStr">
        <is>
          <t>Donacor</t>
        </is>
      </c>
      <c r="B1372" s="54" t="inlineStr">
        <is>
          <t>Top Lupo Loba Power Básico Microfibra S/ Costura</t>
        </is>
      </c>
      <c r="C1372" s="54" t="inlineStr">
        <is>
          <t>Natural Peach,Liso&amp;M</t>
        </is>
      </c>
      <c r="D1372" s="54" t="n">
        <v>505</v>
      </c>
      <c r="E1372" s="54" t="n">
        <v>23297543457</v>
      </c>
      <c r="F1372" s="54" t="n">
        <v>159777638411</v>
      </c>
      <c r="G1372" s="54" t="inlineStr">
        <is>
          <t>NORMAL</t>
        </is>
      </c>
      <c r="H1372" s="86" t="n">
        <v>109.9</v>
      </c>
      <c r="I1372" s="86" t="n">
        <v>109.9</v>
      </c>
      <c r="J1372" s="69" t="inlineStr">
        <is>
          <t>NÃO</t>
        </is>
      </c>
      <c r="K1372" s="54" t="n"/>
      <c r="L1372" s="87" t="n">
        <v>109.9</v>
      </c>
      <c r="P1372" s="90">
        <f>IF($O1372="","",L1372-O1372-(L1372*IF(L1372&lt;=79.99,20%,14%)+IF(L1372&lt;=79.99,4,IF(L1372&lt;=99.99,16,IF(L1372&lt;=199.99,20,IF(L1372&lt;=499.99,26,28)))))-L1372*1.3%-L1372*6%-(L1372-O1372)*9.25%-L1372*3%-L1372*3%-1)</f>
        <v/>
      </c>
      <c r="Q1372" s="54">
        <f>IF(AND(K1372&lt;&gt;"",H1372&gt;0),(H1372-K1372)/H1372,"")</f>
        <v/>
      </c>
      <c r="R1372" s="54" t="n"/>
      <c r="S1372" s="54" t="n"/>
      <c r="T1372" s="54" t="n"/>
      <c r="U1372" s="54" t="n">
        <v>101315</v>
      </c>
      <c r="V1372" t="inlineStr">
        <is>
          <t>TOP-LOBA-GG-NUDE</t>
        </is>
      </c>
      <c r="W1372" t="inlineStr">
        <is>
          <t>herdado do anúncio · CUSTO ZERADO na Olist (conferido hoje)</t>
        </is>
      </c>
      <c r="Y1372" t="inlineStr">
        <is>
          <t>ok</t>
        </is>
      </c>
    </row>
    <row r="1373" ht="18" customHeight="1">
      <c r="A1373" s="60" t="inlineStr">
        <is>
          <t>Donacor</t>
        </is>
      </c>
      <c r="B1373" s="60" t="inlineStr">
        <is>
          <t>Top Lupo Loba Power Básico Microfibra S/ Costura</t>
        </is>
      </c>
      <c r="C1373" s="60" t="inlineStr">
        <is>
          <t>Natural Peach,Liso&amp;P</t>
        </is>
      </c>
      <c r="D1373" s="60" t="inlineStr">
        <is>
          <t>TOP-LOBA-M</t>
        </is>
      </c>
      <c r="E1373" s="60" t="n">
        <v>23297543457</v>
      </c>
      <c r="F1373" s="60" t="n">
        <v>169708590578</v>
      </c>
      <c r="G1373" s="60" t="inlineStr">
        <is>
          <t>NORMAL</t>
        </is>
      </c>
      <c r="H1373" s="91" t="n">
        <v>69.90000000000001</v>
      </c>
      <c r="I1373" s="91" t="n">
        <v>69.90000000000001</v>
      </c>
      <c r="J1373" s="62" t="inlineStr">
        <is>
          <t>NÃO</t>
        </is>
      </c>
      <c r="K1373" s="60" t="inlineStr">
        <is>
          <t> </t>
        </is>
      </c>
      <c r="L1373" s="87" t="n">
        <v>69.90000000000001</v>
      </c>
      <c r="P1373" s="92">
        <f>IF($O1373="","",L1373-O1373-(L1373*IF(L1373&lt;=79.99,20%,14%)+IF(L1373&lt;=79.99,4,IF(L1373&lt;=99.99,16,IF(L1373&lt;=199.99,20,IF(L1373&lt;=499.99,26,28)))))-L1373*1.3%-L1373*6%-(L1373-O1373)*9.25%-L1373*3%-L1373*3%-1)</f>
        <v/>
      </c>
      <c r="Q1373" s="60" t="inlineStr">
        <is>
          <t> </t>
        </is>
      </c>
      <c r="R1373" s="60" t="inlineStr">
        <is>
          <t> </t>
        </is>
      </c>
      <c r="S1373" s="60" t="inlineStr">
        <is>
          <t> </t>
        </is>
      </c>
      <c r="T1373" s="60" t="inlineStr">
        <is>
          <t> </t>
        </is>
      </c>
      <c r="U1373" s="60" t="n">
        <v>101315</v>
      </c>
      <c r="V1373" t="inlineStr">
        <is>
          <t>TOP-LOBA-GG-NUDE</t>
        </is>
      </c>
      <c r="W1373" t="inlineStr">
        <is>
          <t>herdado do anúncio · CUSTO ZERADO na Olist (conferido hoje)</t>
        </is>
      </c>
      <c r="Y1373" t="inlineStr">
        <is>
          <t>ok</t>
        </is>
      </c>
    </row>
    <row r="1374" ht="18" customHeight="1">
      <c r="A1374" s="54" t="inlineStr">
        <is>
          <t>Donacor</t>
        </is>
      </c>
      <c r="B1374" s="54" t="inlineStr">
        <is>
          <t>Top Lupo Loba Power Básico Microfibra S/ Costura</t>
        </is>
      </c>
      <c r="C1374" s="54" t="inlineStr">
        <is>
          <t>Nude,Liso&amp;G</t>
        </is>
      </c>
      <c r="D1374" s="54" t="inlineStr">
        <is>
          <t>TOP-LOBA-G-NUDE</t>
        </is>
      </c>
      <c r="E1374" s="54" t="n">
        <v>23297543457</v>
      </c>
      <c r="F1374" s="54" t="n">
        <v>169708590576</v>
      </c>
      <c r="G1374" s="54" t="inlineStr">
        <is>
          <t>NORMAL</t>
        </is>
      </c>
      <c r="H1374" s="86" t="n">
        <v>69.90000000000001</v>
      </c>
      <c r="I1374" s="86" t="n">
        <v>69.90000000000001</v>
      </c>
      <c r="J1374" s="69" t="inlineStr">
        <is>
          <t>NÃO</t>
        </is>
      </c>
      <c r="K1374" s="54" t="n"/>
      <c r="L1374" s="87" t="n">
        <v>69.90000000000001</v>
      </c>
      <c r="P1374" s="90">
        <f>IF($O1374="","",L1374-O1374-(L1374*IF(L1374&lt;=79.99,20%,14%)+IF(L1374&lt;=79.99,4,IF(L1374&lt;=99.99,16,IF(L1374&lt;=199.99,20,IF(L1374&lt;=499.99,26,28)))))-L1374*1.3%-L1374*6%-(L1374-O1374)*9.25%-L1374*3%-L1374*3%-1)</f>
        <v/>
      </c>
      <c r="Q1374" s="54">
        <f>IF(AND(K1374&lt;&gt;"",H1374&gt;0),(H1374-K1374)/H1374,"")</f>
        <v/>
      </c>
      <c r="R1374" s="54" t="n"/>
      <c r="S1374" s="54" t="n"/>
      <c r="T1374" s="54" t="n"/>
      <c r="U1374" s="54" t="n">
        <v>101315</v>
      </c>
      <c r="V1374" t="inlineStr">
        <is>
          <t>TOP-LOBA-GG-NUDE</t>
        </is>
      </c>
      <c r="W1374" t="inlineStr">
        <is>
          <t>herdado do anúncio · CUSTO ZERADO na Olist (conferido hoje)</t>
        </is>
      </c>
      <c r="Y1374" t="inlineStr">
        <is>
          <t>ok</t>
        </is>
      </c>
    </row>
    <row r="1375" ht="18" customHeight="1">
      <c r="A1375" s="60" t="inlineStr">
        <is>
          <t>Donacor</t>
        </is>
      </c>
      <c r="B1375" s="60" t="inlineStr">
        <is>
          <t>Top Lupo Loba Power Básico Microfibra S/ Costura</t>
        </is>
      </c>
      <c r="C1375" s="60" t="inlineStr">
        <is>
          <t>Nude,Liso&amp;GG</t>
        </is>
      </c>
      <c r="D1375" s="60" t="inlineStr">
        <is>
          <t>TOP-LOBA-GG-NUDE</t>
        </is>
      </c>
      <c r="E1375" s="60" t="n">
        <v>23297543457</v>
      </c>
      <c r="F1375" s="60" t="n">
        <v>169708590575</v>
      </c>
      <c r="G1375" s="60" t="inlineStr">
        <is>
          <t>NORMAL</t>
        </is>
      </c>
      <c r="H1375" s="91" t="n">
        <v>69.90000000000001</v>
      </c>
      <c r="I1375" s="91" t="n">
        <v>69.90000000000001</v>
      </c>
      <c r="J1375" s="62" t="inlineStr">
        <is>
          <t>NÃO</t>
        </is>
      </c>
      <c r="K1375" s="60" t="inlineStr">
        <is>
          <t> </t>
        </is>
      </c>
      <c r="L1375" s="87" t="n">
        <v>69.90000000000001</v>
      </c>
      <c r="P1375" s="92">
        <f>IF($O1375="","",L1375-O1375-(L1375*IF(L1375&lt;=79.99,20%,14%)+IF(L1375&lt;=79.99,4,IF(L1375&lt;=99.99,16,IF(L1375&lt;=199.99,20,IF(L1375&lt;=499.99,26,28)))))-L1375*1.3%-L1375*6%-(L1375-O1375)*9.25%-L1375*3%-L1375*3%-1)</f>
        <v/>
      </c>
      <c r="Q1375" s="60" t="inlineStr">
        <is>
          <t> </t>
        </is>
      </c>
      <c r="R1375" s="60" t="inlineStr">
        <is>
          <t> </t>
        </is>
      </c>
      <c r="S1375" s="60" t="inlineStr">
        <is>
          <t> </t>
        </is>
      </c>
      <c r="T1375" s="60" t="inlineStr">
        <is>
          <t> </t>
        </is>
      </c>
      <c r="U1375" s="60" t="n">
        <v>101315</v>
      </c>
      <c r="V1375" t="inlineStr">
        <is>
          <t>TOP-LOBA-GG-NUDE</t>
        </is>
      </c>
      <c r="W1375" t="inlineStr">
        <is>
          <t>SKU idêntico na Olist · CUSTO ZERADO na Olist (conferido hoje)</t>
        </is>
      </c>
      <c r="Y1375" t="inlineStr">
        <is>
          <t>ok</t>
        </is>
      </c>
    </row>
    <row r="1376" ht="18" customHeight="1">
      <c r="A1376" s="54" t="inlineStr">
        <is>
          <t>Donacor</t>
        </is>
      </c>
      <c r="B1376" s="54" t="inlineStr">
        <is>
          <t>Top Lupo Loba Power Básico Microfibra S/ Costura</t>
        </is>
      </c>
      <c r="C1376" s="54" t="inlineStr">
        <is>
          <t>Nude,Liso&amp;M</t>
        </is>
      </c>
      <c r="D1376" s="54" t="inlineStr">
        <is>
          <t>TOP-LOBA-M-NUDE</t>
        </is>
      </c>
      <c r="E1376" s="54" t="n">
        <v>23297543457</v>
      </c>
      <c r="F1376" s="54" t="n">
        <v>169708590577</v>
      </c>
      <c r="G1376" s="54" t="inlineStr">
        <is>
          <t>NORMAL</t>
        </is>
      </c>
      <c r="H1376" s="86" t="n">
        <v>69.90000000000001</v>
      </c>
      <c r="I1376" s="86" t="n">
        <v>69.90000000000001</v>
      </c>
      <c r="J1376" s="69" t="inlineStr">
        <is>
          <t>NÃO</t>
        </is>
      </c>
      <c r="K1376" s="54" t="n"/>
      <c r="L1376" s="87" t="n">
        <v>69.90000000000001</v>
      </c>
      <c r="P1376" s="90">
        <f>IF($O1376="","",L1376-O1376-(L1376*IF(L1376&lt;=79.99,20%,14%)+IF(L1376&lt;=79.99,4,IF(L1376&lt;=99.99,16,IF(L1376&lt;=199.99,20,IF(L1376&lt;=499.99,26,28)))))-L1376*1.3%-L1376*6%-(L1376-O1376)*9.25%-L1376*3%-L1376*3%-1)</f>
        <v/>
      </c>
      <c r="Q1376" s="54">
        <f>IF(AND(K1376&lt;&gt;"",H1376&gt;0),(H1376-K1376)/H1376,"")</f>
        <v/>
      </c>
      <c r="R1376" s="54" t="n"/>
      <c r="S1376" s="54" t="n"/>
      <c r="T1376" s="54" t="n"/>
      <c r="U1376" s="54" t="n">
        <v>101315</v>
      </c>
      <c r="V1376" t="inlineStr">
        <is>
          <t>TOP-LOBA-GG-NUDE</t>
        </is>
      </c>
      <c r="W1376" t="inlineStr">
        <is>
          <t>herdado do anúncio · CUSTO ZERADO na Olist (conferido hoje)</t>
        </is>
      </c>
      <c r="Y1376" t="inlineStr">
        <is>
          <t>ok</t>
        </is>
      </c>
    </row>
    <row r="1377" ht="18" customHeight="1">
      <c r="A1377" s="60" t="inlineStr">
        <is>
          <t>Donacor</t>
        </is>
      </c>
      <c r="B1377" s="60" t="inlineStr">
        <is>
          <t>Top Lupo Loba Power Básico Microfibra S/ Costura</t>
        </is>
      </c>
      <c r="C1377" s="60" t="inlineStr">
        <is>
          <t>Nude,Liso&amp;P</t>
        </is>
      </c>
      <c r="D1377" s="60" t="inlineStr">
        <is>
          <t>TOP-LOBA-P-NUDE</t>
        </is>
      </c>
      <c r="E1377" s="60" t="n">
        <v>23297543457</v>
      </c>
      <c r="F1377" s="60" t="n">
        <v>169708590573</v>
      </c>
      <c r="G1377" s="60" t="inlineStr">
        <is>
          <t>NORMAL</t>
        </is>
      </c>
      <c r="H1377" s="91" t="n">
        <v>69.90000000000001</v>
      </c>
      <c r="I1377" s="91" t="n">
        <v>42.9</v>
      </c>
      <c r="J1377" s="65" t="inlineStr">
        <is>
          <t>SIM</t>
        </is>
      </c>
      <c r="K1377" s="91" t="n">
        <v>42.9</v>
      </c>
      <c r="L1377" s="87" t="n">
        <v>42.9</v>
      </c>
      <c r="P1377" s="92">
        <f>IF($O1377="","",L1377-O1377-(L1377*IF(L1377&lt;=79.99,20%,14%)+IF(L1377&lt;=79.99,4,IF(L1377&lt;=99.99,16,IF(L1377&lt;=199.99,20,IF(L1377&lt;=499.99,26,28)))))-L1377*1.3%-L1377*6%-(L1377-O1377)*9.25%-L1377*3%-L1377*3%-1)</f>
        <v/>
      </c>
      <c r="Q1377" s="67" t="n">
        <v>0.386</v>
      </c>
      <c r="R1377" s="60" t="inlineStr">
        <is>
          <t>478840979931317, 484945860710786</t>
        </is>
      </c>
      <c r="S1377" s="68" t="n">
        <v>46227.73958333334</v>
      </c>
      <c r="T1377" s="68" t="n">
        <v>46248.99930555555</v>
      </c>
      <c r="U1377" s="60" t="n">
        <v>101315</v>
      </c>
      <c r="V1377" t="inlineStr">
        <is>
          <t>TOP-LOBA-GG-NUDE</t>
        </is>
      </c>
      <c r="W1377" t="inlineStr">
        <is>
          <t>herdado do anúncio · CUSTO ZERADO na Olist (conferido hoje)</t>
        </is>
      </c>
      <c r="Y1377" t="inlineStr">
        <is>
          <t>ok</t>
        </is>
      </c>
    </row>
    <row r="1378" ht="18" customHeight="1">
      <c r="A1378" s="54" t="inlineStr">
        <is>
          <t>Donacor</t>
        </is>
      </c>
      <c r="B1378" s="54" t="inlineStr">
        <is>
          <t>Top Lupo Loba Power Básico Microfibra S/ Costura</t>
        </is>
      </c>
      <c r="C1378" s="54" t="inlineStr">
        <is>
          <t>Preto,Liso&amp;G</t>
        </is>
      </c>
      <c r="D1378" s="54" t="inlineStr">
        <is>
          <t>TOP-LOBA-G-PRETO</t>
        </is>
      </c>
      <c r="E1378" s="54" t="n">
        <v>23297543457</v>
      </c>
      <c r="F1378" s="54" t="n">
        <v>169708590574</v>
      </c>
      <c r="G1378" s="54" t="inlineStr">
        <is>
          <t>NORMAL</t>
        </is>
      </c>
      <c r="H1378" s="86" t="n">
        <v>69.90000000000001</v>
      </c>
      <c r="I1378" s="86" t="n">
        <v>69.90000000000001</v>
      </c>
      <c r="J1378" s="69" t="inlineStr">
        <is>
          <t>NÃO</t>
        </is>
      </c>
      <c r="K1378" s="54" t="n"/>
      <c r="L1378" s="87" t="n">
        <v>69.90000000000001</v>
      </c>
      <c r="P1378" s="90">
        <f>IF($O1378="","",L1378-O1378-(L1378*IF(L1378&lt;=79.99,20%,14%)+IF(L1378&lt;=79.99,4,IF(L1378&lt;=99.99,16,IF(L1378&lt;=199.99,20,IF(L1378&lt;=499.99,26,28)))))-L1378*1.3%-L1378*6%-(L1378-O1378)*9.25%-L1378*3%-L1378*3%-1)</f>
        <v/>
      </c>
      <c r="Q1378" s="54">
        <f>IF(AND(K1378&lt;&gt;"",H1378&gt;0),(H1378-K1378)/H1378,"")</f>
        <v/>
      </c>
      <c r="R1378" s="54" t="n"/>
      <c r="S1378" s="54" t="n"/>
      <c r="T1378" s="54" t="n"/>
      <c r="U1378" s="54" t="n">
        <v>101315</v>
      </c>
      <c r="V1378" t="inlineStr">
        <is>
          <t>TOP-LOBA-GG-NUDE</t>
        </is>
      </c>
      <c r="W1378" t="inlineStr">
        <is>
          <t>herdado do anúncio · CUSTO ZERADO na Olist (conferido hoje)</t>
        </is>
      </c>
      <c r="Y1378" t="inlineStr">
        <is>
          <t>ok</t>
        </is>
      </c>
    </row>
    <row r="1379" ht="18" customHeight="1">
      <c r="A1379" s="60" t="inlineStr">
        <is>
          <t>Donacor</t>
        </is>
      </c>
      <c r="B1379" s="60" t="inlineStr">
        <is>
          <t>Top Lupo Loba Power Básico Microfibra S/ Costura</t>
        </is>
      </c>
      <c r="C1379" s="60" t="inlineStr">
        <is>
          <t>Preto,Liso&amp;GG</t>
        </is>
      </c>
      <c r="D1379" s="60" t="inlineStr">
        <is>
          <t>TOP-LOBA-GG-PRETO</t>
        </is>
      </c>
      <c r="E1379" s="60" t="n">
        <v>23297543457</v>
      </c>
      <c r="F1379" s="60" t="n">
        <v>169708590579</v>
      </c>
      <c r="G1379" s="60" t="inlineStr">
        <is>
          <t>NORMAL</t>
        </is>
      </c>
      <c r="H1379" s="91" t="n">
        <v>69.90000000000001</v>
      </c>
      <c r="I1379" s="91" t="n">
        <v>69.90000000000001</v>
      </c>
      <c r="J1379" s="62" t="inlineStr">
        <is>
          <t>NÃO</t>
        </is>
      </c>
      <c r="K1379" s="60" t="inlineStr">
        <is>
          <t> </t>
        </is>
      </c>
      <c r="L1379" s="87" t="n">
        <v>69.90000000000001</v>
      </c>
      <c r="P1379" s="92">
        <f>IF($O1379="","",L1379-O1379-(L1379*IF(L1379&lt;=79.99,20%,14%)+IF(L1379&lt;=79.99,4,IF(L1379&lt;=99.99,16,IF(L1379&lt;=199.99,20,IF(L1379&lt;=499.99,26,28)))))-L1379*1.3%-L1379*6%-(L1379-O1379)*9.25%-L1379*3%-L1379*3%-1)</f>
        <v/>
      </c>
      <c r="Q1379" s="60" t="inlineStr">
        <is>
          <t> </t>
        </is>
      </c>
      <c r="R1379" s="60" t="inlineStr">
        <is>
          <t> </t>
        </is>
      </c>
      <c r="S1379" s="60" t="inlineStr">
        <is>
          <t> </t>
        </is>
      </c>
      <c r="T1379" s="60" t="inlineStr">
        <is>
          <t> </t>
        </is>
      </c>
      <c r="U1379" s="60" t="n">
        <v>101315</v>
      </c>
      <c r="V1379" t="inlineStr">
        <is>
          <t>TOP-LOBA-GG-NUDE</t>
        </is>
      </c>
      <c r="W1379" t="inlineStr">
        <is>
          <t>herdado do anúncio · CUSTO ZERADO na Olist (conferido hoje)</t>
        </is>
      </c>
      <c r="Y1379" t="inlineStr">
        <is>
          <t>ok</t>
        </is>
      </c>
    </row>
    <row r="1380" ht="18" customHeight="1">
      <c r="A1380" s="54" t="inlineStr">
        <is>
          <t>Donacor</t>
        </is>
      </c>
      <c r="B1380" s="54" t="inlineStr">
        <is>
          <t>Top Lupo Loba Power Básico Microfibra S/ Costura</t>
        </is>
      </c>
      <c r="C1380" s="54" t="inlineStr">
        <is>
          <t>Preto,Liso&amp;M</t>
        </is>
      </c>
      <c r="D1380" s="54" t="inlineStr">
        <is>
          <t>TOP-LOBA-M-PRETO</t>
        </is>
      </c>
      <c r="E1380" s="54" t="n">
        <v>23297543457</v>
      </c>
      <c r="F1380" s="54" t="n">
        <v>169708590571</v>
      </c>
      <c r="G1380" s="54" t="inlineStr">
        <is>
          <t>NORMAL</t>
        </is>
      </c>
      <c r="H1380" s="86" t="n">
        <v>69.90000000000001</v>
      </c>
      <c r="I1380" s="86" t="n">
        <v>69.90000000000001</v>
      </c>
      <c r="J1380" s="69" t="inlineStr">
        <is>
          <t>NÃO</t>
        </is>
      </c>
      <c r="K1380" s="54" t="n"/>
      <c r="L1380" s="87" t="n">
        <v>69.90000000000001</v>
      </c>
      <c r="P1380" s="90">
        <f>IF($O1380="","",L1380-O1380-(L1380*IF(L1380&lt;=79.99,20%,14%)+IF(L1380&lt;=79.99,4,IF(L1380&lt;=99.99,16,IF(L1380&lt;=199.99,20,IF(L1380&lt;=499.99,26,28)))))-L1380*1.3%-L1380*6%-(L1380-O1380)*9.25%-L1380*3%-L1380*3%-1)</f>
        <v/>
      </c>
      <c r="Q1380" s="54">
        <f>IF(AND(K1380&lt;&gt;"",H1380&gt;0),(H1380-K1380)/H1380,"")</f>
        <v/>
      </c>
      <c r="R1380" s="54" t="n"/>
      <c r="S1380" s="54" t="n"/>
      <c r="T1380" s="54" t="n"/>
      <c r="U1380" s="54" t="n">
        <v>101315</v>
      </c>
      <c r="V1380" t="inlineStr">
        <is>
          <t>TOP-LOBA-GG-NUDE</t>
        </is>
      </c>
      <c r="W1380" t="inlineStr">
        <is>
          <t>herdado do anúncio · CUSTO ZERADO na Olist (conferido hoje)</t>
        </is>
      </c>
      <c r="Y1380" t="inlineStr">
        <is>
          <t>ok</t>
        </is>
      </c>
    </row>
    <row r="1381" ht="18" customHeight="1">
      <c r="A1381" s="60" t="inlineStr">
        <is>
          <t>Donacor</t>
        </is>
      </c>
      <c r="B1381" s="60" t="inlineStr">
        <is>
          <t>Top Lupo Loba Power Básico Microfibra S/ Costura</t>
        </is>
      </c>
      <c r="C1381" s="60" t="inlineStr">
        <is>
          <t>Preto,Liso&amp;P</t>
        </is>
      </c>
      <c r="D1381" s="60" t="inlineStr">
        <is>
          <t>TOP-LOBA-P-PRETO</t>
        </is>
      </c>
      <c r="E1381" s="60" t="n">
        <v>23297543457</v>
      </c>
      <c r="F1381" s="60" t="n">
        <v>169708590572</v>
      </c>
      <c r="G1381" s="60" t="inlineStr">
        <is>
          <t>NORMAL</t>
        </is>
      </c>
      <c r="H1381" s="91" t="n">
        <v>69.90000000000001</v>
      </c>
      <c r="I1381" s="91" t="n">
        <v>69.90000000000001</v>
      </c>
      <c r="J1381" s="62" t="inlineStr">
        <is>
          <t>NÃO</t>
        </is>
      </c>
      <c r="K1381" s="60" t="inlineStr">
        <is>
          <t> </t>
        </is>
      </c>
      <c r="L1381" s="87" t="n">
        <v>69.90000000000001</v>
      </c>
      <c r="P1381" s="92">
        <f>IF($O1381="","",L1381-O1381-(L1381*IF(L1381&lt;=79.99,20%,14%)+IF(L1381&lt;=79.99,4,IF(L1381&lt;=99.99,16,IF(L1381&lt;=199.99,20,IF(L1381&lt;=499.99,26,28)))))-L1381*1.3%-L1381*6%-(L1381-O1381)*9.25%-L1381*3%-L1381*3%-1)</f>
        <v/>
      </c>
      <c r="Q1381" s="60" t="inlineStr">
        <is>
          <t> </t>
        </is>
      </c>
      <c r="R1381" s="60" t="inlineStr">
        <is>
          <t> </t>
        </is>
      </c>
      <c r="S1381" s="60" t="inlineStr">
        <is>
          <t> </t>
        </is>
      </c>
      <c r="T1381" s="60" t="inlineStr">
        <is>
          <t> </t>
        </is>
      </c>
      <c r="U1381" s="60" t="n">
        <v>101315</v>
      </c>
      <c r="V1381" t="inlineStr">
        <is>
          <t>TOP-LOBA-GG-NUDE</t>
        </is>
      </c>
      <c r="W1381" t="inlineStr">
        <is>
          <t>herdado do anúncio · CUSTO ZERADO na Olist (conferido hoje)</t>
        </is>
      </c>
      <c r="Y1381" t="inlineStr">
        <is>
          <t>ok</t>
        </is>
      </c>
    </row>
    <row r="1382" ht="18" customHeight="1">
      <c r="A1382" s="54" t="inlineStr">
        <is>
          <t>Donacor</t>
        </is>
      </c>
      <c r="B1382" s="54" t="inlineStr">
        <is>
          <t>Viveiro Gaiola Roedores Luxo Grande Pet Loja Várias Cores</t>
        </is>
      </c>
      <c r="C1382" s="54" t="inlineStr">
        <is>
          <t>BLACK/AZUL</t>
        </is>
      </c>
      <c r="D1382" s="54" t="inlineStr">
        <is>
          <t>VIVEIRO-ROE-G-BLACK/AZUL</t>
        </is>
      </c>
      <c r="E1382" s="54" t="n">
        <v>23597506972</v>
      </c>
      <c r="F1382" s="54" t="n">
        <v>199595363063</v>
      </c>
      <c r="G1382" s="54" t="inlineStr">
        <is>
          <t>NORMAL</t>
        </is>
      </c>
      <c r="H1382" s="86" t="n">
        <v>1600.9</v>
      </c>
      <c r="I1382" s="86" t="n">
        <v>1600.9</v>
      </c>
      <c r="J1382" s="69" t="inlineStr">
        <is>
          <t>NÃO</t>
        </is>
      </c>
      <c r="K1382" s="54" t="n"/>
      <c r="L1382" s="87" t="n">
        <v>1600.9</v>
      </c>
      <c r="P1382" s="90">
        <f>IF($O1382="","",L1382-O1382-(L1382*IF(L1382&lt;=79.99,20%,14%)+IF(L1382&lt;=79.99,4,IF(L1382&lt;=99.99,16,IF(L1382&lt;=199.99,20,IF(L1382&lt;=499.99,26,28)))))-L1382*1.3%-L1382*6%-(L1382-O1382)*9.25%-L1382*3%-L1382*3%-1)</f>
        <v/>
      </c>
      <c r="Q1382" s="54">
        <f>IF(AND(K1382&lt;&gt;"",H1382&gt;0),(H1382-K1382)/H1382,"")</f>
        <v/>
      </c>
      <c r="R1382" s="54" t="n"/>
      <c r="S1382" s="54" t="n"/>
      <c r="T1382" s="54" t="n"/>
      <c r="U1382" s="54" t="n">
        <v>101684</v>
      </c>
      <c r="W1382" t="inlineStr">
        <is>
          <t>sem correspondência</t>
        </is>
      </c>
      <c r="Y1382" t="inlineStr"/>
    </row>
    <row r="1383" ht="18" customHeight="1">
      <c r="A1383" s="60" t="inlineStr">
        <is>
          <t>Donacor</t>
        </is>
      </c>
      <c r="B1383" s="60" t="inlineStr">
        <is>
          <t>Viveiro Gaiola Roedores Luxo Grande Pet Loja Várias Cores</t>
        </is>
      </c>
      <c r="C1383" s="60" t="inlineStr">
        <is>
          <t>BLACK/BLACK</t>
        </is>
      </c>
      <c r="D1383" s="60" t="inlineStr">
        <is>
          <t>VIVEIRO-ROE-G-BLACK/BLACK</t>
        </is>
      </c>
      <c r="E1383" s="60" t="n">
        <v>23597506972</v>
      </c>
      <c r="F1383" s="60" t="n">
        <v>199595363065</v>
      </c>
      <c r="G1383" s="60" t="inlineStr">
        <is>
          <t>NORMAL</t>
        </is>
      </c>
      <c r="H1383" s="91" t="n">
        <v>1600.9</v>
      </c>
      <c r="I1383" s="91" t="n">
        <v>1600.9</v>
      </c>
      <c r="J1383" s="62" t="inlineStr">
        <is>
          <t>NÃO</t>
        </is>
      </c>
      <c r="K1383" s="60" t="inlineStr">
        <is>
          <t> </t>
        </is>
      </c>
      <c r="L1383" s="87" t="n">
        <v>1600.9</v>
      </c>
      <c r="P1383" s="92">
        <f>IF($O1383="","",L1383-O1383-(L1383*IF(L1383&lt;=79.99,20%,14%)+IF(L1383&lt;=79.99,4,IF(L1383&lt;=99.99,16,IF(L1383&lt;=199.99,20,IF(L1383&lt;=499.99,26,28)))))-L1383*1.3%-L1383*6%-(L1383-O1383)*9.25%-L1383*3%-L1383*3%-1)</f>
        <v/>
      </c>
      <c r="Q1383" s="60" t="inlineStr">
        <is>
          <t> </t>
        </is>
      </c>
      <c r="R1383" s="60" t="inlineStr">
        <is>
          <t> </t>
        </is>
      </c>
      <c r="S1383" s="60" t="inlineStr">
        <is>
          <t> </t>
        </is>
      </c>
      <c r="T1383" s="60" t="inlineStr">
        <is>
          <t> </t>
        </is>
      </c>
      <c r="U1383" s="60" t="n">
        <v>101684</v>
      </c>
      <c r="W1383" t="inlineStr">
        <is>
          <t>sem correspondência</t>
        </is>
      </c>
      <c r="Y1383" t="inlineStr"/>
    </row>
    <row r="1384" ht="18" customHeight="1">
      <c r="A1384" s="54" t="inlineStr">
        <is>
          <t>Donacor</t>
        </is>
      </c>
      <c r="B1384" s="54" t="inlineStr">
        <is>
          <t>Viveiro Gaiola Roedores Luxo Grande Pet Loja Várias Cores</t>
        </is>
      </c>
      <c r="C1384" s="54" t="inlineStr">
        <is>
          <t>BLACK/LILÁS</t>
        </is>
      </c>
      <c r="D1384" s="54" t="inlineStr">
        <is>
          <t>VIVEIRO-ROE-G-BLACK/LILÁS</t>
        </is>
      </c>
      <c r="E1384" s="54" t="n">
        <v>23597506972</v>
      </c>
      <c r="F1384" s="54" t="n">
        <v>199595363064</v>
      </c>
      <c r="G1384" s="54" t="inlineStr">
        <is>
          <t>NORMAL</t>
        </is>
      </c>
      <c r="H1384" s="86" t="n">
        <v>1600.9</v>
      </c>
      <c r="I1384" s="86" t="n">
        <v>1600.9</v>
      </c>
      <c r="J1384" s="69" t="inlineStr">
        <is>
          <t>NÃO</t>
        </is>
      </c>
      <c r="K1384" s="54" t="n"/>
      <c r="L1384" s="87" t="n">
        <v>1600.9</v>
      </c>
      <c r="P1384" s="90">
        <f>IF($O1384="","",L1384-O1384-(L1384*IF(L1384&lt;=79.99,20%,14%)+IF(L1384&lt;=79.99,4,IF(L1384&lt;=99.99,16,IF(L1384&lt;=199.99,20,IF(L1384&lt;=499.99,26,28)))))-L1384*1.3%-L1384*6%-(L1384-O1384)*9.25%-L1384*3%-L1384*3%-1)</f>
        <v/>
      </c>
      <c r="Q1384" s="54">
        <f>IF(AND(K1384&lt;&gt;"",H1384&gt;0),(H1384-K1384)/H1384,"")</f>
        <v/>
      </c>
      <c r="R1384" s="54" t="n"/>
      <c r="S1384" s="54" t="n"/>
      <c r="T1384" s="54" t="n"/>
      <c r="U1384" s="54" t="n">
        <v>101684</v>
      </c>
      <c r="W1384" t="inlineStr">
        <is>
          <t>sem correspondência</t>
        </is>
      </c>
      <c r="Y1384" t="inlineStr"/>
    </row>
    <row r="1385" ht="18" customHeight="1">
      <c r="A1385" s="60" t="inlineStr">
        <is>
          <t>Donacor</t>
        </is>
      </c>
      <c r="B1385" s="60" t="inlineStr">
        <is>
          <t>Viveiro Gaiola Roedores Luxo Grande Pet Loja Várias Cores</t>
        </is>
      </c>
      <c r="C1385" s="60" t="inlineStr">
        <is>
          <t>BRANCO/AZUL</t>
        </is>
      </c>
      <c r="D1385" s="60" t="inlineStr">
        <is>
          <t>VIVEIRO-ROE-G-BRANCO/AZUL</t>
        </is>
      </c>
      <c r="E1385" s="60" t="n">
        <v>23597506972</v>
      </c>
      <c r="F1385" s="60" t="n">
        <v>199595363066</v>
      </c>
      <c r="G1385" s="60" t="inlineStr">
        <is>
          <t>NORMAL</t>
        </is>
      </c>
      <c r="H1385" s="91" t="n">
        <v>1600.9</v>
      </c>
      <c r="I1385" s="91" t="n">
        <v>1600.9</v>
      </c>
      <c r="J1385" s="62" t="inlineStr">
        <is>
          <t>NÃO</t>
        </is>
      </c>
      <c r="K1385" s="60" t="inlineStr">
        <is>
          <t> </t>
        </is>
      </c>
      <c r="L1385" s="87" t="n">
        <v>1600.9</v>
      </c>
      <c r="P1385" s="92">
        <f>IF($O1385="","",L1385-O1385-(L1385*IF(L1385&lt;=79.99,20%,14%)+IF(L1385&lt;=79.99,4,IF(L1385&lt;=99.99,16,IF(L1385&lt;=199.99,20,IF(L1385&lt;=499.99,26,28)))))-L1385*1.3%-L1385*6%-(L1385-O1385)*9.25%-L1385*3%-L1385*3%-1)</f>
        <v/>
      </c>
      <c r="Q1385" s="60" t="inlineStr">
        <is>
          <t> </t>
        </is>
      </c>
      <c r="R1385" s="60" t="inlineStr">
        <is>
          <t> </t>
        </is>
      </c>
      <c r="S1385" s="60" t="inlineStr">
        <is>
          <t> </t>
        </is>
      </c>
      <c r="T1385" s="60" t="inlineStr">
        <is>
          <t> </t>
        </is>
      </c>
      <c r="U1385" s="60" t="n">
        <v>101684</v>
      </c>
      <c r="W1385" t="inlineStr">
        <is>
          <t>sem correspondência</t>
        </is>
      </c>
      <c r="Y1385" t="inlineStr"/>
    </row>
    <row r="1386" ht="18" customHeight="1">
      <c r="A1386" s="54" t="inlineStr">
        <is>
          <t>Donacor</t>
        </is>
      </c>
      <c r="B1386" s="54" t="inlineStr">
        <is>
          <t>Viveiro Gaiola Roedores Luxo Grande Pet Loja Várias Cores</t>
        </is>
      </c>
      <c r="C1386" s="54" t="inlineStr">
        <is>
          <t>BRANCO/BLACK</t>
        </is>
      </c>
      <c r="D1386" s="54" t="inlineStr">
        <is>
          <t>VIVEIRO-ROE-G-BRANCO/BLACK</t>
        </is>
      </c>
      <c r="E1386" s="54" t="n">
        <v>23597506972</v>
      </c>
      <c r="F1386" s="54" t="n">
        <v>199595363062</v>
      </c>
      <c r="G1386" s="54" t="inlineStr">
        <is>
          <t>NORMAL</t>
        </is>
      </c>
      <c r="H1386" s="86" t="n">
        <v>1600.9</v>
      </c>
      <c r="I1386" s="86" t="n">
        <v>1600.9</v>
      </c>
      <c r="J1386" s="69" t="inlineStr">
        <is>
          <t>NÃO</t>
        </is>
      </c>
      <c r="K1386" s="54" t="n"/>
      <c r="L1386" s="87" t="n">
        <v>1600.9</v>
      </c>
      <c r="P1386" s="90">
        <f>IF($O1386="","",L1386-O1386-(L1386*IF(L1386&lt;=79.99,20%,14%)+IF(L1386&lt;=79.99,4,IF(L1386&lt;=99.99,16,IF(L1386&lt;=199.99,20,IF(L1386&lt;=499.99,26,28)))))-L1386*1.3%-L1386*6%-(L1386-O1386)*9.25%-L1386*3%-L1386*3%-1)</f>
        <v/>
      </c>
      <c r="Q1386" s="54">
        <f>IF(AND(K1386&lt;&gt;"",H1386&gt;0),(H1386-K1386)/H1386,"")</f>
        <v/>
      </c>
      <c r="R1386" s="54" t="n"/>
      <c r="S1386" s="54" t="n"/>
      <c r="T1386" s="54" t="n"/>
      <c r="U1386" s="54" t="n">
        <v>101684</v>
      </c>
      <c r="W1386" t="inlineStr">
        <is>
          <t>sem correspondência</t>
        </is>
      </c>
      <c r="Y1386" t="inlineStr"/>
    </row>
    <row r="1387" ht="18" customHeight="1">
      <c r="A1387" s="60" t="inlineStr">
        <is>
          <t>Donacor</t>
        </is>
      </c>
      <c r="B1387" s="60" t="inlineStr">
        <is>
          <t>Viveiro Gaiola Roedores Luxo Grande Pet Loja Várias Cores</t>
        </is>
      </c>
      <c r="C1387" s="60" t="inlineStr">
        <is>
          <t>BRANCO/LILÁS</t>
        </is>
      </c>
      <c r="D1387" s="60" t="inlineStr">
        <is>
          <t>VIVEIRO-ROE-G-BRANCO/LILÁS</t>
        </is>
      </c>
      <c r="E1387" s="60" t="n">
        <v>23597506972</v>
      </c>
      <c r="F1387" s="60" t="n">
        <v>199595363067</v>
      </c>
      <c r="G1387" s="60" t="inlineStr">
        <is>
          <t>NORMAL</t>
        </is>
      </c>
      <c r="H1387" s="91" t="n">
        <v>1600.9</v>
      </c>
      <c r="I1387" s="91" t="n">
        <v>1600.9</v>
      </c>
      <c r="J1387" s="62" t="inlineStr">
        <is>
          <t>NÃO</t>
        </is>
      </c>
      <c r="K1387" s="60" t="inlineStr">
        <is>
          <t> </t>
        </is>
      </c>
      <c r="L1387" s="87" t="n">
        <v>1600.9</v>
      </c>
      <c r="P1387" s="92">
        <f>IF($O1387="","",L1387-O1387-(L1387*IF(L1387&lt;=79.99,20%,14%)+IF(L1387&lt;=79.99,4,IF(L1387&lt;=99.99,16,IF(L1387&lt;=199.99,20,IF(L1387&lt;=499.99,26,28)))))-L1387*1.3%-L1387*6%-(L1387-O1387)*9.25%-L1387*3%-L1387*3%-1)</f>
        <v/>
      </c>
      <c r="Q1387" s="60" t="inlineStr">
        <is>
          <t> </t>
        </is>
      </c>
      <c r="R1387" s="60" t="inlineStr">
        <is>
          <t> </t>
        </is>
      </c>
      <c r="S1387" s="60" t="inlineStr">
        <is>
          <t> </t>
        </is>
      </c>
      <c r="T1387" s="60" t="inlineStr">
        <is>
          <t> </t>
        </is>
      </c>
      <c r="U1387" s="60" t="n">
        <v>101684</v>
      </c>
      <c r="W1387" t="inlineStr">
        <is>
          <t>sem correspondência</t>
        </is>
      </c>
      <c r="Y1387" t="inlineStr"/>
    </row>
    <row r="1388" ht="18" customHeight="1">
      <c r="A1388" s="54" t="inlineStr">
        <is>
          <t>Donacor</t>
        </is>
      </c>
      <c r="B1388" s="54" t="inlineStr">
        <is>
          <t>Viveiro Gaiola Roedores Luxo Médio Pet JetPlast Várias Cores</t>
        </is>
      </c>
      <c r="C1388" s="54" t="inlineStr">
        <is>
          <t>BLACK/AZUL</t>
        </is>
      </c>
      <c r="D1388" s="54" t="inlineStr">
        <is>
          <t>VIVEIRO-ROE-M-BLACK/AZUL</t>
        </is>
      </c>
      <c r="E1388" s="54" t="n">
        <v>19199257061</v>
      </c>
      <c r="F1388" s="54" t="n">
        <v>149539384116</v>
      </c>
      <c r="G1388" s="54" t="inlineStr">
        <is>
          <t>NORMAL</t>
        </is>
      </c>
      <c r="H1388" s="86" t="n">
        <v>999.9</v>
      </c>
      <c r="I1388" s="86" t="n">
        <v>999.9</v>
      </c>
      <c r="J1388" s="69" t="inlineStr">
        <is>
          <t>NÃO</t>
        </is>
      </c>
      <c r="K1388" s="54" t="n"/>
      <c r="L1388" s="87" t="n">
        <v>999.9</v>
      </c>
      <c r="P1388" s="90">
        <f>IF($O1388="","",L1388-O1388-(L1388*IF(L1388&lt;=79.99,20%,14%)+IF(L1388&lt;=79.99,4,IF(L1388&lt;=99.99,16,IF(L1388&lt;=199.99,20,IF(L1388&lt;=499.99,26,28)))))-L1388*1.3%-L1388*6%-(L1388-O1388)*9.25%-L1388*3%-L1388*3%-1)</f>
        <v/>
      </c>
      <c r="Q1388" s="54">
        <f>IF(AND(K1388&lt;&gt;"",H1388&gt;0),(H1388-K1388)/H1388,"")</f>
        <v/>
      </c>
      <c r="R1388" s="54" t="n"/>
      <c r="S1388" s="54" t="n"/>
      <c r="T1388" s="54" t="n"/>
      <c r="U1388" s="54" t="n">
        <v>101684</v>
      </c>
      <c r="W1388" t="inlineStr">
        <is>
          <t>sem correspondência</t>
        </is>
      </c>
      <c r="Y1388" t="inlineStr"/>
    </row>
    <row r="1389" ht="18" customHeight="1">
      <c r="A1389" s="60" t="inlineStr">
        <is>
          <t>Donacor</t>
        </is>
      </c>
      <c r="B1389" s="60" t="inlineStr">
        <is>
          <t>Viveiro Gaiola Roedores Luxo Médio Pet JetPlast Várias Cores</t>
        </is>
      </c>
      <c r="C1389" s="60" t="inlineStr">
        <is>
          <t>BLACK/BLACK</t>
        </is>
      </c>
      <c r="D1389" s="60" t="inlineStr">
        <is>
          <t>VIVEIRO-ROE-M-BLACK/BLACK</t>
        </is>
      </c>
      <c r="E1389" s="60" t="n">
        <v>19199257061</v>
      </c>
      <c r="F1389" s="60" t="n">
        <v>149539384118</v>
      </c>
      <c r="G1389" s="60" t="inlineStr">
        <is>
          <t>NORMAL</t>
        </is>
      </c>
      <c r="H1389" s="91" t="n">
        <v>999.9</v>
      </c>
      <c r="I1389" s="91" t="n">
        <v>999.9</v>
      </c>
      <c r="J1389" s="62" t="inlineStr">
        <is>
          <t>NÃO</t>
        </is>
      </c>
      <c r="K1389" s="60" t="inlineStr">
        <is>
          <t> </t>
        </is>
      </c>
      <c r="L1389" s="87" t="n">
        <v>999.9</v>
      </c>
      <c r="P1389" s="92">
        <f>IF($O1389="","",L1389-O1389-(L1389*IF(L1389&lt;=79.99,20%,14%)+IF(L1389&lt;=79.99,4,IF(L1389&lt;=99.99,16,IF(L1389&lt;=199.99,20,IF(L1389&lt;=499.99,26,28)))))-L1389*1.3%-L1389*6%-(L1389-O1389)*9.25%-L1389*3%-L1389*3%-1)</f>
        <v/>
      </c>
      <c r="Q1389" s="60" t="inlineStr">
        <is>
          <t> </t>
        </is>
      </c>
      <c r="R1389" s="60" t="inlineStr">
        <is>
          <t> </t>
        </is>
      </c>
      <c r="S1389" s="60" t="inlineStr">
        <is>
          <t> </t>
        </is>
      </c>
      <c r="T1389" s="60" t="inlineStr">
        <is>
          <t> </t>
        </is>
      </c>
      <c r="U1389" s="60" t="n">
        <v>101684</v>
      </c>
      <c r="W1389" t="inlineStr">
        <is>
          <t>sem correspondência</t>
        </is>
      </c>
      <c r="Y1389" t="inlineStr"/>
    </row>
    <row r="1390" ht="18" customHeight="1">
      <c r="A1390" s="54" t="inlineStr">
        <is>
          <t>Donacor</t>
        </is>
      </c>
      <c r="B1390" s="54" t="inlineStr">
        <is>
          <t>Viveiro Gaiola Roedores Luxo Médio Pet JetPlast Várias Cores</t>
        </is>
      </c>
      <c r="C1390" s="54" t="inlineStr">
        <is>
          <t>BLACK/LILÁS</t>
        </is>
      </c>
      <c r="D1390" s="54" t="inlineStr">
        <is>
          <t>VIVEIRO-ROE-M-BLACK/LILÁS</t>
        </is>
      </c>
      <c r="E1390" s="54" t="n">
        <v>19199257061</v>
      </c>
      <c r="F1390" s="54" t="n">
        <v>149539384117</v>
      </c>
      <c r="G1390" s="54" t="inlineStr">
        <is>
          <t>NORMAL</t>
        </is>
      </c>
      <c r="H1390" s="86" t="n">
        <v>999.9</v>
      </c>
      <c r="I1390" s="86" t="n">
        <v>999.9</v>
      </c>
      <c r="J1390" s="69" t="inlineStr">
        <is>
          <t>NÃO</t>
        </is>
      </c>
      <c r="K1390" s="54" t="n"/>
      <c r="L1390" s="87" t="n">
        <v>999.9</v>
      </c>
      <c r="P1390" s="90">
        <f>IF($O1390="","",L1390-O1390-(L1390*IF(L1390&lt;=79.99,20%,14%)+IF(L1390&lt;=79.99,4,IF(L1390&lt;=99.99,16,IF(L1390&lt;=199.99,20,IF(L1390&lt;=499.99,26,28)))))-L1390*1.3%-L1390*6%-(L1390-O1390)*9.25%-L1390*3%-L1390*3%-1)</f>
        <v/>
      </c>
      <c r="Q1390" s="54">
        <f>IF(AND(K1390&lt;&gt;"",H1390&gt;0),(H1390-K1390)/H1390,"")</f>
        <v/>
      </c>
      <c r="R1390" s="54" t="n"/>
      <c r="S1390" s="54" t="n"/>
      <c r="T1390" s="54" t="n"/>
      <c r="U1390" s="54" t="n">
        <v>101684</v>
      </c>
      <c r="W1390" t="inlineStr">
        <is>
          <t>sem correspondência</t>
        </is>
      </c>
      <c r="Y1390" t="inlineStr"/>
    </row>
    <row r="1391" ht="18" customHeight="1">
      <c r="A1391" s="60" t="inlineStr">
        <is>
          <t>Donacor</t>
        </is>
      </c>
      <c r="B1391" s="60" t="inlineStr">
        <is>
          <t>Viveiro Gaiola Roedores Luxo Médio Pet JetPlast Várias Cores</t>
        </is>
      </c>
      <c r="C1391" s="60" t="inlineStr">
        <is>
          <t>BRANCO/AZUL</t>
        </is>
      </c>
      <c r="D1391" s="60" t="inlineStr">
        <is>
          <t>VIVEIRO-ROE-M-BRANCO/AZUL</t>
        </is>
      </c>
      <c r="E1391" s="60" t="n">
        <v>19199257061</v>
      </c>
      <c r="F1391" s="60" t="n">
        <v>149539384119</v>
      </c>
      <c r="G1391" s="60" t="inlineStr">
        <is>
          <t>NORMAL</t>
        </is>
      </c>
      <c r="H1391" s="91" t="n">
        <v>999.9</v>
      </c>
      <c r="I1391" s="91" t="n">
        <v>999.9</v>
      </c>
      <c r="J1391" s="62" t="inlineStr">
        <is>
          <t>NÃO</t>
        </is>
      </c>
      <c r="K1391" s="60" t="inlineStr">
        <is>
          <t> </t>
        </is>
      </c>
      <c r="L1391" s="87" t="n">
        <v>999.9</v>
      </c>
      <c r="P1391" s="92">
        <f>IF($O1391="","",L1391-O1391-(L1391*IF(L1391&lt;=79.99,20%,14%)+IF(L1391&lt;=79.99,4,IF(L1391&lt;=99.99,16,IF(L1391&lt;=199.99,20,IF(L1391&lt;=499.99,26,28)))))-L1391*1.3%-L1391*6%-(L1391-O1391)*9.25%-L1391*3%-L1391*3%-1)</f>
        <v/>
      </c>
      <c r="Q1391" s="60" t="inlineStr">
        <is>
          <t> </t>
        </is>
      </c>
      <c r="R1391" s="60" t="inlineStr">
        <is>
          <t> </t>
        </is>
      </c>
      <c r="S1391" s="60" t="inlineStr">
        <is>
          <t> </t>
        </is>
      </c>
      <c r="T1391" s="60" t="inlineStr">
        <is>
          <t> </t>
        </is>
      </c>
      <c r="U1391" s="60" t="n">
        <v>101684</v>
      </c>
      <c r="W1391" t="inlineStr">
        <is>
          <t>sem correspondência</t>
        </is>
      </c>
      <c r="Y1391" t="inlineStr"/>
    </row>
    <row r="1392" ht="18" customHeight="1">
      <c r="A1392" s="54" t="inlineStr">
        <is>
          <t>Donacor</t>
        </is>
      </c>
      <c r="B1392" s="54" t="inlineStr">
        <is>
          <t>Viveiro Gaiola Roedores Luxo Médio Pet JetPlast Várias Cores</t>
        </is>
      </c>
      <c r="C1392" s="54" t="inlineStr">
        <is>
          <t>BRANCO/BLACK</t>
        </is>
      </c>
      <c r="D1392" s="54" t="inlineStr">
        <is>
          <t>VIVEIRO-ROE-M-BRANCO/BLACK</t>
        </is>
      </c>
      <c r="E1392" s="54" t="n">
        <v>19199257061</v>
      </c>
      <c r="F1392" s="54" t="n">
        <v>149539384115</v>
      </c>
      <c r="G1392" s="54" t="inlineStr">
        <is>
          <t>NORMAL</t>
        </is>
      </c>
      <c r="H1392" s="86" t="n">
        <v>999.9</v>
      </c>
      <c r="I1392" s="86" t="n">
        <v>999.9</v>
      </c>
      <c r="J1392" s="69" t="inlineStr">
        <is>
          <t>NÃO</t>
        </is>
      </c>
      <c r="K1392" s="54" t="n"/>
      <c r="L1392" s="87" t="n">
        <v>999.9</v>
      </c>
      <c r="P1392" s="90">
        <f>IF($O1392="","",L1392-O1392-(L1392*IF(L1392&lt;=79.99,20%,14%)+IF(L1392&lt;=79.99,4,IF(L1392&lt;=99.99,16,IF(L1392&lt;=199.99,20,IF(L1392&lt;=499.99,26,28)))))-L1392*1.3%-L1392*6%-(L1392-O1392)*9.25%-L1392*3%-L1392*3%-1)</f>
        <v/>
      </c>
      <c r="Q1392" s="54">
        <f>IF(AND(K1392&lt;&gt;"",H1392&gt;0),(H1392-K1392)/H1392,"")</f>
        <v/>
      </c>
      <c r="R1392" s="54" t="n"/>
      <c r="S1392" s="54" t="n"/>
      <c r="T1392" s="54" t="n"/>
      <c r="U1392" s="54" t="n">
        <v>101684</v>
      </c>
      <c r="W1392" t="inlineStr">
        <is>
          <t>sem correspondência</t>
        </is>
      </c>
      <c r="Y1392" t="inlineStr"/>
    </row>
    <row r="1393" ht="18" customHeight="1">
      <c r="A1393" s="60" t="inlineStr">
        <is>
          <t>Donacor</t>
        </is>
      </c>
      <c r="B1393" s="60" t="inlineStr">
        <is>
          <t>Viveiro Gaiola Roedores Luxo Médio Pet JetPlast Várias Cores</t>
        </is>
      </c>
      <c r="C1393" s="60" t="inlineStr">
        <is>
          <t>BRANCO/LILÁS</t>
        </is>
      </c>
      <c r="D1393" s="60" t="inlineStr">
        <is>
          <t>VIVEIRO-ROE-M-BRANCO/LILÁS</t>
        </is>
      </c>
      <c r="E1393" s="60" t="n">
        <v>19199257061</v>
      </c>
      <c r="F1393" s="60" t="n">
        <v>149539384120</v>
      </c>
      <c r="G1393" s="60" t="inlineStr">
        <is>
          <t>NORMAL</t>
        </is>
      </c>
      <c r="H1393" s="91" t="n">
        <v>999.9</v>
      </c>
      <c r="I1393" s="91" t="n">
        <v>999.9</v>
      </c>
      <c r="J1393" s="62" t="inlineStr">
        <is>
          <t>NÃO</t>
        </is>
      </c>
      <c r="K1393" s="60" t="inlineStr">
        <is>
          <t> </t>
        </is>
      </c>
      <c r="L1393" s="87" t="n">
        <v>999.9</v>
      </c>
      <c r="P1393" s="92">
        <f>IF($O1393="","",L1393-O1393-(L1393*IF(L1393&lt;=79.99,20%,14%)+IF(L1393&lt;=79.99,4,IF(L1393&lt;=99.99,16,IF(L1393&lt;=199.99,20,IF(L1393&lt;=499.99,26,28)))))-L1393*1.3%-L1393*6%-(L1393-O1393)*9.25%-L1393*3%-L1393*3%-1)</f>
        <v/>
      </c>
      <c r="Q1393" s="60" t="inlineStr">
        <is>
          <t> </t>
        </is>
      </c>
      <c r="R1393" s="60" t="inlineStr">
        <is>
          <t> </t>
        </is>
      </c>
      <c r="S1393" s="60" t="inlineStr">
        <is>
          <t> </t>
        </is>
      </c>
      <c r="T1393" s="60" t="inlineStr">
        <is>
          <t> </t>
        </is>
      </c>
      <c r="U1393" s="60" t="n">
        <v>101684</v>
      </c>
      <c r="W1393" t="inlineStr">
        <is>
          <t>sem correspondência</t>
        </is>
      </c>
      <c r="Y1393" t="inlineStr"/>
    </row>
    <row r="1394" ht="18" customHeight="1">
      <c r="A1394" s="54" t="inlineStr">
        <is>
          <t>Donacor</t>
        </is>
      </c>
      <c r="B1394" s="54" t="inlineStr">
        <is>
          <t>Viveiro Gaiola Roedores Luxo Pequeno Pet Jetplast Várias Cores</t>
        </is>
      </c>
      <c r="C1394" s="54" t="inlineStr">
        <is>
          <t>BLACK/AZUL</t>
        </is>
      </c>
      <c r="D1394" s="54" t="inlineStr">
        <is>
          <t>VIVEIRO-ROE-P-BLACK/AZUL</t>
        </is>
      </c>
      <c r="E1394" s="54" t="n">
        <v>19397684609</v>
      </c>
      <c r="F1394" s="54" t="n">
        <v>238767813765</v>
      </c>
      <c r="G1394" s="54" t="inlineStr">
        <is>
          <t>NORMAL</t>
        </is>
      </c>
      <c r="H1394" s="86" t="n">
        <v>850.9</v>
      </c>
      <c r="I1394" s="86" t="n">
        <v>850.9</v>
      </c>
      <c r="J1394" s="69" t="inlineStr">
        <is>
          <t>NÃO</t>
        </is>
      </c>
      <c r="K1394" s="54" t="n"/>
      <c r="L1394" s="87" t="n">
        <v>850.9</v>
      </c>
      <c r="P1394" s="90">
        <f>IF($O1394="","",L1394-O1394-(L1394*IF(L1394&lt;=79.99,20%,14%)+IF(L1394&lt;=79.99,4,IF(L1394&lt;=99.99,16,IF(L1394&lt;=199.99,20,IF(L1394&lt;=499.99,26,28)))))-L1394*1.3%-L1394*6%-(L1394-O1394)*9.25%-L1394*3%-L1394*3%-1)</f>
        <v/>
      </c>
      <c r="Q1394" s="54">
        <f>IF(AND(K1394&lt;&gt;"",H1394&gt;0),(H1394-K1394)/H1394,"")</f>
        <v/>
      </c>
      <c r="R1394" s="54" t="n"/>
      <c r="S1394" s="54" t="n"/>
      <c r="T1394" s="54" t="n"/>
      <c r="U1394" s="54" t="n">
        <v>101684</v>
      </c>
      <c r="W1394" t="inlineStr">
        <is>
          <t>sem correspondência</t>
        </is>
      </c>
      <c r="Y1394" t="inlineStr"/>
    </row>
    <row r="1395" ht="18" customHeight="1">
      <c r="A1395" s="60" t="inlineStr">
        <is>
          <t>Donacor</t>
        </is>
      </c>
      <c r="B1395" s="60" t="inlineStr">
        <is>
          <t>Viveiro Gaiola Roedores Luxo Pequeno Pet Jetplast Várias Cores</t>
        </is>
      </c>
      <c r="C1395" s="60" t="inlineStr">
        <is>
          <t>BLACK/BLACK</t>
        </is>
      </c>
      <c r="D1395" s="60" t="inlineStr">
        <is>
          <t>VIVEIRO-ROE-P-BLACK/BLACK</t>
        </is>
      </c>
      <c r="E1395" s="60" t="n">
        <v>19397684609</v>
      </c>
      <c r="F1395" s="60" t="n">
        <v>238767813767</v>
      </c>
      <c r="G1395" s="60" t="inlineStr">
        <is>
          <t>NORMAL</t>
        </is>
      </c>
      <c r="H1395" s="91" t="n">
        <v>850.9</v>
      </c>
      <c r="I1395" s="91" t="n">
        <v>850.9</v>
      </c>
      <c r="J1395" s="62" t="inlineStr">
        <is>
          <t>NÃO</t>
        </is>
      </c>
      <c r="K1395" s="60" t="inlineStr">
        <is>
          <t> </t>
        </is>
      </c>
      <c r="L1395" s="87" t="n">
        <v>850.9</v>
      </c>
      <c r="P1395" s="92">
        <f>IF($O1395="","",L1395-O1395-(L1395*IF(L1395&lt;=79.99,20%,14%)+IF(L1395&lt;=79.99,4,IF(L1395&lt;=99.99,16,IF(L1395&lt;=199.99,20,IF(L1395&lt;=499.99,26,28)))))-L1395*1.3%-L1395*6%-(L1395-O1395)*9.25%-L1395*3%-L1395*3%-1)</f>
        <v/>
      </c>
      <c r="Q1395" s="60" t="inlineStr">
        <is>
          <t> </t>
        </is>
      </c>
      <c r="R1395" s="60" t="inlineStr">
        <is>
          <t> </t>
        </is>
      </c>
      <c r="S1395" s="60" t="inlineStr">
        <is>
          <t> </t>
        </is>
      </c>
      <c r="T1395" s="60" t="inlineStr">
        <is>
          <t> </t>
        </is>
      </c>
      <c r="U1395" s="60" t="n">
        <v>101684</v>
      </c>
      <c r="W1395" t="inlineStr">
        <is>
          <t>sem correspondência</t>
        </is>
      </c>
      <c r="Y1395" t="inlineStr"/>
    </row>
    <row r="1396" ht="18" customHeight="1">
      <c r="A1396" s="54" t="inlineStr">
        <is>
          <t>Donacor</t>
        </is>
      </c>
      <c r="B1396" s="54" t="inlineStr">
        <is>
          <t>Viveiro Gaiola Roedores Luxo Pequeno Pet Jetplast Várias Cores</t>
        </is>
      </c>
      <c r="C1396" s="54" t="inlineStr">
        <is>
          <t>BLACK/LILÁS</t>
        </is>
      </c>
      <c r="D1396" s="54" t="inlineStr">
        <is>
          <t>VIVEIRO-ROE-P-BLACK/LILÁS</t>
        </is>
      </c>
      <c r="E1396" s="54" t="n">
        <v>19397684609</v>
      </c>
      <c r="F1396" s="54" t="n">
        <v>238767813766</v>
      </c>
      <c r="G1396" s="54" t="inlineStr">
        <is>
          <t>NORMAL</t>
        </is>
      </c>
      <c r="H1396" s="86" t="n">
        <v>850.9</v>
      </c>
      <c r="I1396" s="86" t="n">
        <v>850.9</v>
      </c>
      <c r="J1396" s="69" t="inlineStr">
        <is>
          <t>NÃO</t>
        </is>
      </c>
      <c r="K1396" s="54" t="n"/>
      <c r="L1396" s="87" t="n">
        <v>850.9</v>
      </c>
      <c r="P1396" s="90">
        <f>IF($O1396="","",L1396-O1396-(L1396*IF(L1396&lt;=79.99,20%,14%)+IF(L1396&lt;=79.99,4,IF(L1396&lt;=99.99,16,IF(L1396&lt;=199.99,20,IF(L1396&lt;=499.99,26,28)))))-L1396*1.3%-L1396*6%-(L1396-O1396)*9.25%-L1396*3%-L1396*3%-1)</f>
        <v/>
      </c>
      <c r="Q1396" s="54">
        <f>IF(AND(K1396&lt;&gt;"",H1396&gt;0),(H1396-K1396)/H1396,"")</f>
        <v/>
      </c>
      <c r="R1396" s="54" t="n"/>
      <c r="S1396" s="54" t="n"/>
      <c r="T1396" s="54" t="n"/>
      <c r="U1396" s="54" t="n">
        <v>101684</v>
      </c>
      <c r="W1396" t="inlineStr">
        <is>
          <t>sem correspondência</t>
        </is>
      </c>
      <c r="Y1396" t="inlineStr"/>
    </row>
    <row r="1397" ht="18" customHeight="1">
      <c r="A1397" s="60" t="inlineStr">
        <is>
          <t>Donacor</t>
        </is>
      </c>
      <c r="B1397" s="60" t="inlineStr">
        <is>
          <t>Viveiro Gaiola Roedores Luxo Pequeno Pet Jetplast Várias Cores</t>
        </is>
      </c>
      <c r="C1397" s="60" t="inlineStr">
        <is>
          <t>BRANCO/AZUL</t>
        </is>
      </c>
      <c r="D1397" s="60" t="inlineStr">
        <is>
          <t>VIVEIRO-ROE-P-BRANCO/AZUL</t>
        </is>
      </c>
      <c r="E1397" s="60" t="n">
        <v>19397684609</v>
      </c>
      <c r="F1397" s="60" t="n">
        <v>238767813768</v>
      </c>
      <c r="G1397" s="60" t="inlineStr">
        <is>
          <t>NORMAL</t>
        </is>
      </c>
      <c r="H1397" s="91" t="n">
        <v>850.9</v>
      </c>
      <c r="I1397" s="91" t="n">
        <v>850.9</v>
      </c>
      <c r="J1397" s="62" t="inlineStr">
        <is>
          <t>NÃO</t>
        </is>
      </c>
      <c r="K1397" s="60" t="inlineStr">
        <is>
          <t> </t>
        </is>
      </c>
      <c r="L1397" s="87" t="n">
        <v>850.9</v>
      </c>
      <c r="P1397" s="92">
        <f>IF($O1397="","",L1397-O1397-(L1397*IF(L1397&lt;=79.99,20%,14%)+IF(L1397&lt;=79.99,4,IF(L1397&lt;=99.99,16,IF(L1397&lt;=199.99,20,IF(L1397&lt;=499.99,26,28)))))-L1397*1.3%-L1397*6%-(L1397-O1397)*9.25%-L1397*3%-L1397*3%-1)</f>
        <v/>
      </c>
      <c r="Q1397" s="60" t="inlineStr">
        <is>
          <t> </t>
        </is>
      </c>
      <c r="R1397" s="60" t="inlineStr">
        <is>
          <t> </t>
        </is>
      </c>
      <c r="S1397" s="60" t="inlineStr">
        <is>
          <t> </t>
        </is>
      </c>
      <c r="T1397" s="60" t="inlineStr">
        <is>
          <t> </t>
        </is>
      </c>
      <c r="U1397" s="60" t="n">
        <v>101684</v>
      </c>
      <c r="W1397" t="inlineStr">
        <is>
          <t>sem correspondência</t>
        </is>
      </c>
      <c r="Y1397" t="inlineStr"/>
    </row>
    <row r="1398" ht="18" customHeight="1">
      <c r="A1398" s="54" t="inlineStr">
        <is>
          <t>Donacor</t>
        </is>
      </c>
      <c r="B1398" s="54" t="inlineStr">
        <is>
          <t>Viveiro Gaiola Roedores Luxo Pequeno Pet Jetplast Várias Cores</t>
        </is>
      </c>
      <c r="C1398" s="54" t="inlineStr">
        <is>
          <t>BRANCO/LILÁS</t>
        </is>
      </c>
      <c r="D1398" s="54" t="inlineStr">
        <is>
          <t>VIVEIRO-ROE-P-BRANCO/LILÁS</t>
        </is>
      </c>
      <c r="E1398" s="54" t="n">
        <v>19397684609</v>
      </c>
      <c r="F1398" s="54" t="n">
        <v>238767813769</v>
      </c>
      <c r="G1398" s="54" t="inlineStr">
        <is>
          <t>NORMAL</t>
        </is>
      </c>
      <c r="H1398" s="86" t="n">
        <v>850.9</v>
      </c>
      <c r="I1398" s="86" t="n">
        <v>850.9</v>
      </c>
      <c r="J1398" s="69" t="inlineStr">
        <is>
          <t>NÃO</t>
        </is>
      </c>
      <c r="K1398" s="54" t="n"/>
      <c r="L1398" s="87" t="n">
        <v>850.9</v>
      </c>
      <c r="P1398" s="90">
        <f>IF($O1398="","",L1398-O1398-(L1398*IF(L1398&lt;=79.99,20%,14%)+IF(L1398&lt;=79.99,4,IF(L1398&lt;=99.99,16,IF(L1398&lt;=199.99,20,IF(L1398&lt;=499.99,26,28)))))-L1398*1.3%-L1398*6%-(L1398-O1398)*9.25%-L1398*3%-L1398*3%-1)</f>
        <v/>
      </c>
      <c r="Q1398" s="54">
        <f>IF(AND(K1398&lt;&gt;"",H1398&gt;0),(H1398-K1398)/H1398,"")</f>
        <v/>
      </c>
      <c r="R1398" s="54" t="n"/>
      <c r="S1398" s="54" t="n"/>
      <c r="T1398" s="54" t="n"/>
      <c r="U1398" s="54" t="n">
        <v>101684</v>
      </c>
      <c r="W1398" t="inlineStr">
        <is>
          <t>sem correspondência</t>
        </is>
      </c>
      <c r="Y1398" t="inlineStr"/>
    </row>
    <row r="1399" ht="18" customHeight="1">
      <c r="A1399" s="60" t="inlineStr">
        <is>
          <t>Donacor</t>
        </is>
      </c>
      <c r="B1399" s="60" t="inlineStr">
        <is>
          <t>Viveiro Gaiola Roedores Luxo Pequeno Pet Jetplast Várias Cores</t>
        </is>
      </c>
      <c r="C1399" s="60" t="inlineStr">
        <is>
          <t>BRANCO/PRETO</t>
        </is>
      </c>
      <c r="D1399" s="60" t="inlineStr">
        <is>
          <t>VIVEIRO-ROE-P-BRANCO/BLACK</t>
        </is>
      </c>
      <c r="E1399" s="60" t="n">
        <v>19397684609</v>
      </c>
      <c r="F1399" s="60" t="n">
        <v>238767813764</v>
      </c>
      <c r="G1399" s="60" t="inlineStr">
        <is>
          <t>NORMAL</t>
        </is>
      </c>
      <c r="H1399" s="91" t="n">
        <v>850.9</v>
      </c>
      <c r="I1399" s="91" t="n">
        <v>850.9</v>
      </c>
      <c r="J1399" s="62" t="inlineStr">
        <is>
          <t>NÃO</t>
        </is>
      </c>
      <c r="K1399" s="60" t="inlineStr">
        <is>
          <t> </t>
        </is>
      </c>
      <c r="L1399" s="87" t="n">
        <v>850.9</v>
      </c>
      <c r="P1399" s="92">
        <f>IF($O1399="","",L1399-O1399-(L1399*IF(L1399&lt;=79.99,20%,14%)+IF(L1399&lt;=79.99,4,IF(L1399&lt;=99.99,16,IF(L1399&lt;=199.99,20,IF(L1399&lt;=499.99,26,28)))))-L1399*1.3%-L1399*6%-(L1399-O1399)*9.25%-L1399*3%-L1399*3%-1)</f>
        <v/>
      </c>
      <c r="Q1399" s="60" t="inlineStr">
        <is>
          <t> </t>
        </is>
      </c>
      <c r="R1399" s="60" t="inlineStr">
        <is>
          <t> </t>
        </is>
      </c>
      <c r="S1399" s="60" t="inlineStr">
        <is>
          <t> </t>
        </is>
      </c>
      <c r="T1399" s="60" t="inlineStr">
        <is>
          <t> </t>
        </is>
      </c>
      <c r="U1399" s="60" t="n">
        <v>101684</v>
      </c>
      <c r="W1399" t="inlineStr">
        <is>
          <t>sem correspondência</t>
        </is>
      </c>
      <c r="Y1399" t="inlineStr"/>
    </row>
    <row r="1400" ht="18" customHeight="1">
      <c r="A1400" s="54" t="inlineStr">
        <is>
          <t>Oliverhome</t>
        </is>
      </c>
      <c r="B1400" s="54" t="inlineStr">
        <is>
          <t>10 Potes Vidro Hermético mantimentos marmita 370ml - Pote Hermético - Oliver Home</t>
        </is>
      </c>
      <c r="C1400" s="54" t="inlineStr">
        <is>
          <t>10 Potes,Azul</t>
        </is>
      </c>
      <c r="D1400" s="54" t="inlineStr">
        <is>
          <t>10 potes 370 azul</t>
        </is>
      </c>
      <c r="E1400" s="54" t="n">
        <v>58210950048</v>
      </c>
      <c r="F1400" s="54" t="n">
        <v>209189611450</v>
      </c>
      <c r="G1400" s="54" t="inlineStr">
        <is>
          <t>NORMAL</t>
        </is>
      </c>
      <c r="H1400" s="86" t="n">
        <v>159.9</v>
      </c>
      <c r="I1400" s="86" t="n">
        <v>79.89</v>
      </c>
      <c r="J1400" s="56" t="inlineStr">
        <is>
          <t>SIM</t>
        </is>
      </c>
      <c r="K1400" s="86" t="n">
        <v>79.89</v>
      </c>
      <c r="L1400" s="87" t="n">
        <v>79.89</v>
      </c>
      <c r="P1400" s="90">
        <f>IF($O1400="","",L1400-O1400-(L1400*IF(L1400&lt;=79.99,20%,14%)+IF(L1400&lt;=79.99,4,IF(L1400&lt;=99.99,16,IF(L1400&lt;=199.99,20,IF(L1400&lt;=499.99,26,28)))))-L1400*1.3%-L1400*6%-(L1400-O1400)*9.25%-L1400*3%-L1400*3%-1)</f>
        <v/>
      </c>
      <c r="Q1400" s="58" t="n">
        <v>0.5</v>
      </c>
      <c r="R1400" s="54" t="n">
        <v>490987084534129</v>
      </c>
      <c r="S1400" s="59" t="n">
        <v>46248</v>
      </c>
      <c r="T1400" s="59" t="n">
        <v>46249</v>
      </c>
      <c r="U1400" s="54" t="n">
        <v>101220</v>
      </c>
      <c r="W1400" t="inlineStr">
        <is>
          <t>ambíguo: 213876 (78%) vs 10 potes 370 azul</t>
        </is>
      </c>
      <c r="X1400" t="n">
        <v>425</v>
      </c>
      <c r="Y1400" t="inlineStr"/>
    </row>
    <row r="1401" ht="18" customHeight="1">
      <c r="A1401" s="60" t="inlineStr">
        <is>
          <t>Oliverhome</t>
        </is>
      </c>
      <c r="B1401" s="60" t="inlineStr">
        <is>
          <t>10 Potes Vidro Hermético mantimentos marmita 370ml - Pote Hermético - Oliver Home</t>
        </is>
      </c>
      <c r="C1401" s="60" t="inlineStr">
        <is>
          <t>10 Potes,Branco</t>
        </is>
      </c>
      <c r="D1401" s="60" t="inlineStr">
        <is>
          <t>10 potes 370 branco</t>
        </is>
      </c>
      <c r="E1401" s="60" t="n">
        <v>58210950048</v>
      </c>
      <c r="F1401" s="60" t="n">
        <v>209189611448</v>
      </c>
      <c r="G1401" s="60" t="inlineStr">
        <is>
          <t>NORMAL</t>
        </is>
      </c>
      <c r="H1401" s="91" t="n">
        <v>159.9</v>
      </c>
      <c r="I1401" s="91" t="n">
        <v>79.89</v>
      </c>
      <c r="J1401" s="65" t="inlineStr">
        <is>
          <t>SIM</t>
        </is>
      </c>
      <c r="K1401" s="91" t="n">
        <v>79.89</v>
      </c>
      <c r="L1401" s="87" t="n">
        <v>79.89</v>
      </c>
      <c r="P1401" s="92">
        <f>IF($O1401="","",L1401-O1401-(L1401*IF(L1401&lt;=79.99,20%,14%)+IF(L1401&lt;=79.99,4,IF(L1401&lt;=99.99,16,IF(L1401&lt;=199.99,20,IF(L1401&lt;=499.99,26,28)))))-L1401*1.3%-L1401*6%-(L1401-O1401)*9.25%-L1401*3%-L1401*3%-1)</f>
        <v/>
      </c>
      <c r="Q1401" s="67" t="n">
        <v>0.5</v>
      </c>
      <c r="R1401" s="60" t="n">
        <v>490987084534129</v>
      </c>
      <c r="S1401" s="68" t="n">
        <v>46248</v>
      </c>
      <c r="T1401" s="68" t="n">
        <v>46249</v>
      </c>
      <c r="U1401" s="60" t="n">
        <v>101220</v>
      </c>
      <c r="W1401" t="inlineStr">
        <is>
          <t>ambíguo: 213875 (68%) vs 10 potes 370 branco</t>
        </is>
      </c>
      <c r="X1401" t="n">
        <v>571</v>
      </c>
      <c r="Y1401" t="inlineStr"/>
    </row>
    <row r="1402" ht="18" customHeight="1">
      <c r="A1402" s="54" t="inlineStr">
        <is>
          <t>Oliverhome</t>
        </is>
      </c>
      <c r="B1402" s="54" t="inlineStr">
        <is>
          <t>10 Potes Vidro Hermético mantimentos marmita 370ml - Pote Hermético - Oliver Home</t>
        </is>
      </c>
      <c r="C1402" s="54" t="inlineStr">
        <is>
          <t>10 Potes,Sortido</t>
        </is>
      </c>
      <c r="D1402" s="54" t="inlineStr">
        <is>
          <t>10 potes 370 Sortido</t>
        </is>
      </c>
      <c r="E1402" s="54" t="n">
        <v>58210950048</v>
      </c>
      <c r="F1402" s="54" t="n">
        <v>209189611449</v>
      </c>
      <c r="G1402" s="54" t="inlineStr">
        <is>
          <t>NORMAL</t>
        </is>
      </c>
      <c r="H1402" s="86" t="n">
        <v>159.9</v>
      </c>
      <c r="I1402" s="86" t="n">
        <v>77.89</v>
      </c>
      <c r="J1402" s="56" t="inlineStr">
        <is>
          <t>SIM</t>
        </is>
      </c>
      <c r="K1402" s="86" t="n">
        <v>77.89</v>
      </c>
      <c r="L1402" s="87" t="n">
        <v>77.89</v>
      </c>
      <c r="M1402" s="88" t="n">
        <v>10</v>
      </c>
      <c r="N1402" s="89" t="n">
        <v>3.93</v>
      </c>
      <c r="O1402" s="89">
        <f>ROUND(M1402*N1402,2)</f>
        <v/>
      </c>
      <c r="P1402" s="90">
        <f>IF($O1402="","",L1402-O1402-(L1402*IF(L1402&lt;=79.99,20%,14%)+IF(L1402&lt;=79.99,4,IF(L1402&lt;=99.99,16,IF(L1402&lt;=199.99,20,IF(L1402&lt;=499.99,26,28)))))-L1402*1.3%-L1402*6%-(L1402-O1402)*9.25%-L1402*3%-L1402*3%-1)</f>
        <v/>
      </c>
      <c r="Q1402" s="58" t="n">
        <v>0.513</v>
      </c>
      <c r="R1402" s="54" t="n">
        <v>490987084534129</v>
      </c>
      <c r="S1402" s="59" t="n">
        <v>46248</v>
      </c>
      <c r="T1402" s="59" t="n">
        <v>46249</v>
      </c>
      <c r="U1402" s="54" t="n">
        <v>101220</v>
      </c>
      <c r="V1402" t="inlineStr">
        <is>
          <t>213875</t>
        </is>
      </c>
      <c r="W1402" t="inlineStr">
        <is>
          <t>venda casada (725 pedidos) · custo do KIT 215961 (10× 213875)</t>
        </is>
      </c>
      <c r="X1402" t="n">
        <v>725</v>
      </c>
      <c r="Y1402" t="inlineStr">
        <is>
          <t>ok</t>
        </is>
      </c>
    </row>
    <row r="1403" ht="18" customHeight="1">
      <c r="A1403" s="60" t="inlineStr">
        <is>
          <t>Oliverhome</t>
        </is>
      </c>
      <c r="B1403" s="60" t="inlineStr">
        <is>
          <t>Árvore de Natal 2.10 cm 850 Galhos Exclusiva Super Cheia Grande Luxo Decoração de Natal Oliver Home</t>
        </is>
      </c>
      <c r="C1403" s="60" t="inlineStr">
        <is>
          <t>150CM | 650 GALHOS | VERDE</t>
        </is>
      </c>
      <c r="D1403" s="60" t="inlineStr">
        <is>
          <t>ARVORE-DE-NATAL-1,5MTS</t>
        </is>
      </c>
      <c r="E1403" s="60" t="n">
        <v>23698892114</v>
      </c>
      <c r="F1403" s="60" t="n">
        <v>219179350497</v>
      </c>
      <c r="G1403" s="60" t="inlineStr">
        <is>
          <t>NORMAL</t>
        </is>
      </c>
      <c r="H1403" s="91" t="n">
        <v>299.9</v>
      </c>
      <c r="I1403" s="91" t="n">
        <v>299.9</v>
      </c>
      <c r="J1403" s="62" t="inlineStr">
        <is>
          <t>NÃO</t>
        </is>
      </c>
      <c r="K1403" s="60" t="inlineStr">
        <is>
          <t> </t>
        </is>
      </c>
      <c r="L1403" s="87" t="n">
        <v>299.9</v>
      </c>
      <c r="M1403" s="88" t="n">
        <v>1</v>
      </c>
      <c r="N1403" s="89" t="n">
        <v>69.48999999999999</v>
      </c>
      <c r="O1403" s="89">
        <f>ROUND(M1403*N1403,2)</f>
        <v/>
      </c>
      <c r="P1403" s="92">
        <f>IF($O1403="","",L1403-O1403-(L1403*IF(L1403&lt;=79.99,20%,14%)+IF(L1403&lt;=79.99,4,IF(L1403&lt;=99.99,16,IF(L1403&lt;=199.99,20,IF(L1403&lt;=499.99,26,28)))))-L1403*1.3%-L1403*6%-(L1403-O1403)*9.25%-L1403*3%-L1403*3%-1)</f>
        <v/>
      </c>
      <c r="Q1403" s="60" t="inlineStr">
        <is>
          <t> </t>
        </is>
      </c>
      <c r="R1403" s="60" t="inlineStr">
        <is>
          <t> </t>
        </is>
      </c>
      <c r="S1403" s="60" t="inlineStr">
        <is>
          <t> </t>
        </is>
      </c>
      <c r="T1403" s="60" t="inlineStr">
        <is>
          <t> </t>
        </is>
      </c>
      <c r="U1403" s="60" t="n">
        <v>101270</v>
      </c>
      <c r="V1403" t="inlineStr">
        <is>
          <t>214121</t>
        </is>
      </c>
      <c r="W1403" t="inlineStr">
        <is>
          <t>SKU do de-para</t>
        </is>
      </c>
      <c r="X1403" t="n">
        <v>10</v>
      </c>
      <c r="Y1403" t="inlineStr">
        <is>
          <t>ok</t>
        </is>
      </c>
    </row>
    <row r="1404" ht="18" customHeight="1">
      <c r="A1404" s="54" t="inlineStr">
        <is>
          <t>Oliverhome</t>
        </is>
      </c>
      <c r="B1404" s="54" t="inlineStr">
        <is>
          <t>Árvore de Natal 2.10 cm 850 Galhos Exclusiva Super Cheia Grande Luxo Decoração de Natal Oliver Home</t>
        </is>
      </c>
      <c r="C1404" s="54" t="inlineStr">
        <is>
          <t>180CM | 850 GALHOS | VERDE</t>
        </is>
      </c>
      <c r="D1404" s="54" t="inlineStr">
        <is>
          <t>ARVORE-DE-NATAL-1,8MTS</t>
        </is>
      </c>
      <c r="E1404" s="54" t="n">
        <v>23698892114</v>
      </c>
      <c r="F1404" s="54" t="n">
        <v>219179350498</v>
      </c>
      <c r="G1404" s="54" t="inlineStr">
        <is>
          <t>NORMAL</t>
        </is>
      </c>
      <c r="H1404" s="86" t="n">
        <v>399.9</v>
      </c>
      <c r="I1404" s="86" t="n">
        <v>399.9</v>
      </c>
      <c r="J1404" s="69" t="inlineStr">
        <is>
          <t>NÃO</t>
        </is>
      </c>
      <c r="K1404" s="54" t="n"/>
      <c r="L1404" s="87" t="n">
        <v>399.9</v>
      </c>
      <c r="P1404" s="90">
        <f>IF($O1404="","",L1404-O1404-(L1404*IF(L1404&lt;=79.99,20%,14%)+IF(L1404&lt;=79.99,4,IF(L1404&lt;=99.99,16,IF(L1404&lt;=199.99,20,IF(L1404&lt;=499.99,26,28)))))-L1404*1.3%-L1404*6%-(L1404-O1404)*9.25%-L1404*3%-L1404*3%-1)</f>
        <v/>
      </c>
      <c r="Q1404" s="54">
        <f>IF(AND(K1404&lt;&gt;"",H1404&gt;0),(H1404-K1404)/H1404,"")</f>
        <v/>
      </c>
      <c r="R1404" s="54" t="n"/>
      <c r="S1404" s="54" t="n"/>
      <c r="T1404" s="54" t="n"/>
      <c r="U1404" s="54" t="n">
        <v>101270</v>
      </c>
      <c r="V1404" t="inlineStr">
        <is>
          <t>ARVORE-DE-NATAL-1,8MTS</t>
        </is>
      </c>
      <c r="W1404" t="inlineStr">
        <is>
          <t>SKU idêntico na Olist · CUSTO ZERADO na Olist (conferido hoje)</t>
        </is>
      </c>
      <c r="Y1404" t="inlineStr">
        <is>
          <t>ok</t>
        </is>
      </c>
    </row>
    <row r="1405" ht="18" customHeight="1">
      <c r="A1405" s="60" t="inlineStr">
        <is>
          <t>Oliverhome</t>
        </is>
      </c>
      <c r="B1405" s="60" t="inlineStr">
        <is>
          <t>Árvore de Natal 2.10 cm 850 Galhos Exclusiva Super Cheia Grande Luxo Decoração de Natal Oliver Home</t>
        </is>
      </c>
      <c r="C1405" s="60" t="inlineStr">
        <is>
          <t>210CM | 850 GALHOS | VERDE</t>
        </is>
      </c>
      <c r="D1405" s="60" t="inlineStr">
        <is>
          <t>ARVORE-DE-NATAL-2,1MTS</t>
        </is>
      </c>
      <c r="E1405" s="60" t="n">
        <v>23698892114</v>
      </c>
      <c r="F1405" s="60" t="n">
        <v>219179350499</v>
      </c>
      <c r="G1405" s="60" t="inlineStr">
        <is>
          <t>NORMAL</t>
        </is>
      </c>
      <c r="H1405" s="91" t="n">
        <v>499.9</v>
      </c>
      <c r="I1405" s="91" t="n">
        <v>219.9</v>
      </c>
      <c r="J1405" s="65" t="inlineStr">
        <is>
          <t>SIM</t>
        </is>
      </c>
      <c r="K1405" s="91" t="n">
        <v>219.9</v>
      </c>
      <c r="L1405" s="87" t="n">
        <v>219.9</v>
      </c>
      <c r="M1405" s="88" t="n">
        <v>1</v>
      </c>
      <c r="N1405" s="89" t="n">
        <v>101.45</v>
      </c>
      <c r="O1405" s="89">
        <f>ROUND(M1405*N1405,2)</f>
        <v/>
      </c>
      <c r="P1405" s="92">
        <f>IF($O1405="","",L1405-O1405-(L1405*IF(L1405&lt;=79.99,20%,14%)+IF(L1405&lt;=79.99,4,IF(L1405&lt;=99.99,16,IF(L1405&lt;=199.99,20,IF(L1405&lt;=499.99,26,28)))))-L1405*1.3%-L1405*6%-(L1405-O1405)*9.25%-L1405*3%-L1405*3%-1)</f>
        <v/>
      </c>
      <c r="Q1405" s="67" t="n">
        <v>0.5600000000000001</v>
      </c>
      <c r="R1405" s="60" t="inlineStr">
        <is>
          <t>478840979931317, 489574396802176</t>
        </is>
      </c>
      <c r="S1405" s="68" t="n">
        <v>46240.52083333334</v>
      </c>
      <c r="T1405" s="68" t="n">
        <v>46248.99930555555</v>
      </c>
      <c r="U1405" s="60" t="n">
        <v>101270</v>
      </c>
      <c r="V1405" t="inlineStr">
        <is>
          <t>214123</t>
        </is>
      </c>
      <c r="W1405" t="inlineStr">
        <is>
          <t>SKU do de-para</t>
        </is>
      </c>
      <c r="X1405" t="n">
        <v>45</v>
      </c>
      <c r="Y1405" t="inlineStr">
        <is>
          <t>ok</t>
        </is>
      </c>
    </row>
    <row r="1406" ht="18" customHeight="1">
      <c r="A1406" s="54" t="inlineStr">
        <is>
          <t>Oliverhome</t>
        </is>
      </c>
      <c r="B1406" s="54" t="inlineStr">
        <is>
          <t>Assento Sanitário Almofadado Tampa Vaso Oval Universal Redondo Slim Oliver Home</t>
        </is>
      </c>
      <c r="C1406" s="54" t="inlineStr">
        <is>
          <t>Branca</t>
        </is>
      </c>
      <c r="D1406" s="54" t="inlineStr">
        <is>
          <t>ASSENTO-BRANCO</t>
        </is>
      </c>
      <c r="E1406" s="54" t="n">
        <v>23298542538</v>
      </c>
      <c r="F1406" s="54" t="n">
        <v>149786134291</v>
      </c>
      <c r="G1406" s="54" t="inlineStr">
        <is>
          <t>NORMAL</t>
        </is>
      </c>
      <c r="H1406" s="86" t="n">
        <v>79.90000000000001</v>
      </c>
      <c r="I1406" s="86" t="n">
        <v>44.9</v>
      </c>
      <c r="J1406" s="56" t="inlineStr">
        <is>
          <t>SIM</t>
        </is>
      </c>
      <c r="K1406" s="86" t="n">
        <v>44.9</v>
      </c>
      <c r="L1406" s="87" t="n">
        <v>44.9</v>
      </c>
      <c r="P1406" s="90">
        <f>IF($O1406="","",L1406-O1406-(L1406*IF(L1406&lt;=79.99,20%,14%)+IF(L1406&lt;=79.99,4,IF(L1406&lt;=99.99,16,IF(L1406&lt;=199.99,20,IF(L1406&lt;=499.99,26,28)))))-L1406*1.3%-L1406*6%-(L1406-O1406)*9.25%-L1406*3%-L1406*3%-1)</f>
        <v/>
      </c>
      <c r="Q1406" s="58" t="n">
        <v>0.438</v>
      </c>
      <c r="R1406" s="54" t="n">
        <v>478840979931317</v>
      </c>
      <c r="S1406" s="59" t="n">
        <v>46248</v>
      </c>
      <c r="T1406" s="59" t="n">
        <v>46248.99930555555</v>
      </c>
      <c r="U1406" s="54" t="n">
        <v>101131</v>
      </c>
      <c r="W1406" t="inlineStr">
        <is>
          <t>ambíguo: ASSENTO-BRANCO (72%) vs 216233</t>
        </is>
      </c>
      <c r="X1406" t="n">
        <v>1475</v>
      </c>
      <c r="Y1406" t="inlineStr"/>
    </row>
    <row r="1407" ht="18" customHeight="1">
      <c r="A1407" s="60" t="inlineStr">
        <is>
          <t>Oliverhome</t>
        </is>
      </c>
      <c r="B1407" s="60" t="inlineStr">
        <is>
          <t>Assento Sanitário Almofadado Tampa Vaso Oval Universal Redondo Slim Oliver Home</t>
        </is>
      </c>
      <c r="C1407" s="60" t="inlineStr">
        <is>
          <t>Cinza</t>
        </is>
      </c>
      <c r="D1407" s="60" t="inlineStr">
        <is>
          <t>ASSENTO-CINZA</t>
        </is>
      </c>
      <c r="E1407" s="60" t="n">
        <v>23298542538</v>
      </c>
      <c r="F1407" s="60" t="n">
        <v>149786134292</v>
      </c>
      <c r="G1407" s="60" t="inlineStr">
        <is>
          <t>NORMAL</t>
        </is>
      </c>
      <c r="H1407" s="91" t="n">
        <v>79.90000000000001</v>
      </c>
      <c r="I1407" s="91" t="n">
        <v>49.9</v>
      </c>
      <c r="J1407" s="65" t="inlineStr">
        <is>
          <t>SIM</t>
        </is>
      </c>
      <c r="K1407" s="91" t="n">
        <v>49.9</v>
      </c>
      <c r="L1407" s="87" t="n">
        <v>49.9</v>
      </c>
      <c r="P1407" s="92">
        <f>IF($O1407="","",L1407-O1407-(L1407*IF(L1407&lt;=79.99,20%,14%)+IF(L1407&lt;=79.99,4,IF(L1407&lt;=99.99,16,IF(L1407&lt;=199.99,20,IF(L1407&lt;=499.99,26,28)))))-L1407*1.3%-L1407*6%-(L1407-O1407)*9.25%-L1407*3%-L1407*3%-1)</f>
        <v/>
      </c>
      <c r="Q1407" s="67" t="n">
        <v>0.375</v>
      </c>
      <c r="R1407" s="60" t="n">
        <v>478840979931317</v>
      </c>
      <c r="S1407" s="68" t="n">
        <v>46248</v>
      </c>
      <c r="T1407" s="68" t="n">
        <v>46248.99930555555</v>
      </c>
      <c r="U1407" s="60" t="n">
        <v>101131</v>
      </c>
      <c r="W1407" t="inlineStr">
        <is>
          <t>ambíguo: 213989 (53%) vs ASSENTO-CINZA</t>
        </is>
      </c>
      <c r="X1407" t="n">
        <v>288</v>
      </c>
      <c r="Y1407" t="inlineStr"/>
    </row>
    <row r="1408" ht="18" customHeight="1">
      <c r="A1408" s="54" t="inlineStr">
        <is>
          <t>Oliverhome</t>
        </is>
      </c>
      <c r="B1408" s="54" t="inlineStr">
        <is>
          <t>Assento Sanitário Almofadado Tampa Vaso Oval Universal Redondo Slim Oliver Home</t>
        </is>
      </c>
      <c r="C1408" s="54" t="inlineStr">
        <is>
          <t>Preto</t>
        </is>
      </c>
      <c r="D1408" s="54" t="inlineStr">
        <is>
          <t>ASSENTO-PRETO</t>
        </is>
      </c>
      <c r="E1408" s="54" t="n">
        <v>23298542538</v>
      </c>
      <c r="F1408" s="54" t="n">
        <v>149786134293</v>
      </c>
      <c r="G1408" s="54" t="inlineStr">
        <is>
          <t>NORMAL</t>
        </is>
      </c>
      <c r="H1408" s="86" t="n">
        <v>79.90000000000001</v>
      </c>
      <c r="I1408" s="86" t="n">
        <v>44.9</v>
      </c>
      <c r="J1408" s="56" t="inlineStr">
        <is>
          <t>SIM</t>
        </is>
      </c>
      <c r="K1408" s="86" t="n">
        <v>44.9</v>
      </c>
      <c r="L1408" s="87" t="n">
        <v>44.9</v>
      </c>
      <c r="P1408" s="90">
        <f>IF($O1408="","",L1408-O1408-(L1408*IF(L1408&lt;=79.99,20%,14%)+IF(L1408&lt;=79.99,4,IF(L1408&lt;=99.99,16,IF(L1408&lt;=199.99,20,IF(L1408&lt;=499.99,26,28)))))-L1408*1.3%-L1408*6%-(L1408-O1408)*9.25%-L1408*3%-L1408*3%-1)</f>
        <v/>
      </c>
      <c r="Q1408" s="58" t="n">
        <v>0.438</v>
      </c>
      <c r="R1408" s="54" t="n">
        <v>478840979931317</v>
      </c>
      <c r="S1408" s="59" t="n">
        <v>46248</v>
      </c>
      <c r="T1408" s="59" t="n">
        <v>46248.99930555555</v>
      </c>
      <c r="U1408" s="54" t="n">
        <v>101131</v>
      </c>
      <c r="W1408" t="inlineStr">
        <is>
          <t>ambíguo: 213990 (59%) vs ASSENTO-PRETO</t>
        </is>
      </c>
      <c r="X1408" t="n">
        <v>344</v>
      </c>
      <c r="Y1408" t="inlineStr"/>
    </row>
    <row r="1409" ht="18" customHeight="1">
      <c r="A1409" s="60" t="inlineStr">
        <is>
          <t>Oliverhome</t>
        </is>
      </c>
      <c r="B1409" s="60" t="inlineStr">
        <is>
          <t>Balança Corporal Digital Até 180kg Com Vidro Temperado Premium</t>
        </is>
      </c>
      <c r="C1409" s="60" t="inlineStr">
        <is>
          <t>Balança Bioimpedância</t>
        </is>
      </c>
      <c r="D1409" s="60" t="inlineStr">
        <is>
          <t>BALANÇAS-BIOIMPEDANCIA</t>
        </is>
      </c>
      <c r="E1409" s="60" t="n">
        <v>58201381468</v>
      </c>
      <c r="F1409" s="60" t="n">
        <v>189615297999</v>
      </c>
      <c r="G1409" s="60" t="inlineStr">
        <is>
          <t>NORMAL</t>
        </is>
      </c>
      <c r="H1409" s="91" t="n">
        <v>69.90000000000001</v>
      </c>
      <c r="I1409" s="91" t="n">
        <v>29.89</v>
      </c>
      <c r="J1409" s="65" t="inlineStr">
        <is>
          <t>SIM</t>
        </is>
      </c>
      <c r="K1409" s="91" t="n">
        <v>29.89</v>
      </c>
      <c r="L1409" s="87" t="n">
        <v>29.89</v>
      </c>
      <c r="M1409" s="88" t="n">
        <v>1</v>
      </c>
      <c r="N1409" s="89" t="n">
        <v>17.16</v>
      </c>
      <c r="O1409" s="89">
        <f>ROUND(M1409*N1409,2)</f>
        <v/>
      </c>
      <c r="P1409" s="92">
        <f>IF($O1409="","",L1409-O1409-(L1409*IF(L1409&lt;=79.99,20%,14%)+IF(L1409&lt;=79.99,4,IF(L1409&lt;=99.99,16,IF(L1409&lt;=199.99,20,IF(L1409&lt;=499.99,26,28)))))-L1409*1.3%-L1409*6%-(L1409-O1409)*9.25%-L1409*3%-L1409*3%-1)</f>
        <v/>
      </c>
      <c r="Q1409" s="67" t="n">
        <v>0.572</v>
      </c>
      <c r="R1409" s="60" t="n">
        <v>490987084534129</v>
      </c>
      <c r="S1409" s="68" t="n">
        <v>46248</v>
      </c>
      <c r="T1409" s="68" t="n">
        <v>46249</v>
      </c>
      <c r="U1409" s="60" t="n">
        <v>100122</v>
      </c>
      <c r="V1409" t="inlineStr">
        <is>
          <t>213282</t>
        </is>
      </c>
      <c r="W1409" t="inlineStr">
        <is>
          <t>venda casada (467 pedidos) · custo do KIT 213992 (1× 213282)</t>
        </is>
      </c>
      <c r="X1409" t="n">
        <v>467</v>
      </c>
      <c r="Y1409" t="inlineStr">
        <is>
          <t>ok</t>
        </is>
      </c>
    </row>
    <row r="1410" ht="18" customHeight="1">
      <c r="A1410" s="54" t="inlineStr">
        <is>
          <t>Oliverhome</t>
        </is>
      </c>
      <c r="B1410" s="54" t="inlineStr">
        <is>
          <t>Balança Corporal Digital Até 180kg Com Vidro Temperado Premium</t>
        </is>
      </c>
      <c r="C1410" s="54" t="inlineStr">
        <is>
          <t>Balança Quadrada</t>
        </is>
      </c>
      <c r="D1410" s="54" t="inlineStr">
        <is>
          <t>BALANÇA-DIGITAL-180KG</t>
        </is>
      </c>
      <c r="E1410" s="54" t="n">
        <v>58201381468</v>
      </c>
      <c r="F1410" s="54" t="n">
        <v>189615297998</v>
      </c>
      <c r="G1410" s="54" t="inlineStr">
        <is>
          <t>NORMAL</t>
        </is>
      </c>
      <c r="H1410" s="86" t="n">
        <v>69.90000000000001</v>
      </c>
      <c r="I1410" s="86" t="n">
        <v>29.89</v>
      </c>
      <c r="J1410" s="56" t="inlineStr">
        <is>
          <t>SIM</t>
        </is>
      </c>
      <c r="K1410" s="86" t="n">
        <v>29.89</v>
      </c>
      <c r="L1410" s="87" t="n">
        <v>29.89</v>
      </c>
      <c r="M1410" s="88" t="n">
        <v>1</v>
      </c>
      <c r="N1410" s="89" t="n">
        <v>14.6</v>
      </c>
      <c r="O1410" s="89">
        <f>ROUND(M1410*N1410,2)</f>
        <v/>
      </c>
      <c r="P1410" s="90">
        <f>IF($O1410="","",L1410-O1410-(L1410*IF(L1410&lt;=79.99,20%,14%)+IF(L1410&lt;=79.99,4,IF(L1410&lt;=99.99,16,IF(L1410&lt;=199.99,20,IF(L1410&lt;=499.99,26,28)))))-L1410*1.3%-L1410*6%-(L1410-O1410)*9.25%-L1410*3%-L1410*3%-1)</f>
        <v/>
      </c>
      <c r="Q1410" s="58" t="n">
        <v>0.572</v>
      </c>
      <c r="R1410" s="54" t="n">
        <v>490987084534129</v>
      </c>
      <c r="S1410" s="59" t="n">
        <v>46248</v>
      </c>
      <c r="T1410" s="59" t="n">
        <v>46249</v>
      </c>
      <c r="U1410" s="54" t="n">
        <v>100122</v>
      </c>
      <c r="V1410" t="inlineStr">
        <is>
          <t>213449</t>
        </is>
      </c>
      <c r="W1410" t="inlineStr">
        <is>
          <t>venda casada (2344 pedidos) · custo do KIT 213993 (1× 213449)</t>
        </is>
      </c>
      <c r="X1410" t="n">
        <v>2344</v>
      </c>
      <c r="Y1410" t="inlineStr">
        <is>
          <t>ok</t>
        </is>
      </c>
    </row>
    <row r="1411" ht="18" customHeight="1">
      <c r="A1411" s="60" t="inlineStr">
        <is>
          <t>Oliverhome</t>
        </is>
      </c>
      <c r="B1411" s="60" t="inlineStr">
        <is>
          <t>Balanca De Cozinha Digital Alta Precisao 10kg Com Pilhas Inclusas AA OliverHome</t>
        </is>
      </c>
      <c r="C1411" s="60" t="inlineStr">
        <is>
          <t>Sem variação</t>
        </is>
      </c>
      <c r="D1411" s="60" t="inlineStr">
        <is>
          <t>BALANÇA-COZ</t>
        </is>
      </c>
      <c r="E1411" s="60" t="n">
        <v>23198905100</v>
      </c>
      <c r="F1411" s="60" t="n">
        <v>0</v>
      </c>
      <c r="G1411" s="60" t="inlineStr">
        <is>
          <t>NORMAL</t>
        </is>
      </c>
      <c r="H1411" s="91" t="n">
        <v>39.9</v>
      </c>
      <c r="I1411" s="91" t="n">
        <v>23.9</v>
      </c>
      <c r="J1411" s="65" t="inlineStr">
        <is>
          <t>SIM</t>
        </is>
      </c>
      <c r="K1411" s="91" t="n">
        <v>23.9</v>
      </c>
      <c r="L1411" s="87" t="n">
        <v>23.9</v>
      </c>
      <c r="P1411" s="92">
        <f>IF($O1411="","",L1411-O1411-(L1411*IF(L1411&lt;=79.99,20%,14%)+IF(L1411&lt;=79.99,4,IF(L1411&lt;=99.99,16,IF(L1411&lt;=199.99,20,IF(L1411&lt;=499.99,26,28)))))-L1411*1.3%-L1411*6%-(L1411-O1411)*9.25%-L1411*3%-L1411*3%-1)</f>
        <v/>
      </c>
      <c r="Q1411" s="67" t="n">
        <v>0.401</v>
      </c>
      <c r="R1411" s="60" t="n">
        <v>489574396802176</v>
      </c>
      <c r="S1411" s="68" t="n">
        <v>46240.52083333334</v>
      </c>
      <c r="T1411" s="68" t="n">
        <v>46353.5625</v>
      </c>
      <c r="U1411" s="60" t="n">
        <v>101234</v>
      </c>
      <c r="V1411" t="inlineStr">
        <is>
          <t>BALANÇA-COZ</t>
        </is>
      </c>
      <c r="W1411" t="inlineStr">
        <is>
          <t>venda casada (167 pedidos)</t>
        </is>
      </c>
      <c r="X1411" t="n">
        <v>167</v>
      </c>
      <c r="Y1411" t="inlineStr">
        <is>
          <t>ok</t>
        </is>
      </c>
    </row>
    <row r="1412" ht="18" customHeight="1">
      <c r="A1412" s="54" t="inlineStr">
        <is>
          <t>Oliverhome</t>
        </is>
      </c>
      <c r="B1412" s="54" t="inlineStr">
        <is>
          <t>Balança Digital Medidora Corporal Bioimpedância até 180kg Oliver Home</t>
        </is>
      </c>
      <c r="C1412" s="54" t="inlineStr">
        <is>
          <t>Sem variação</t>
        </is>
      </c>
      <c r="D1412" s="54" t="inlineStr">
        <is>
          <t>BALANÇA-BIOIMPEDANCIA</t>
        </is>
      </c>
      <c r="E1412" s="54" t="n">
        <v>19398206458</v>
      </c>
      <c r="F1412" s="54" t="n">
        <v>0</v>
      </c>
      <c r="G1412" s="54" t="inlineStr">
        <is>
          <t>NORMAL</t>
        </is>
      </c>
      <c r="H1412" s="86" t="n">
        <v>69.90000000000001</v>
      </c>
      <c r="I1412" s="86" t="n">
        <v>29.9</v>
      </c>
      <c r="J1412" s="56" t="inlineStr">
        <is>
          <t>SIM</t>
        </is>
      </c>
      <c r="K1412" s="86" t="n">
        <v>29.9</v>
      </c>
      <c r="L1412" s="87" t="n">
        <v>29.9</v>
      </c>
      <c r="M1412" s="88" t="n">
        <v>1</v>
      </c>
      <c r="N1412" s="89" t="n">
        <v>17.16</v>
      </c>
      <c r="O1412" s="89">
        <f>ROUND(M1412*N1412,2)</f>
        <v/>
      </c>
      <c r="P1412" s="90">
        <f>IF($O1412="","",L1412-O1412-(L1412*IF(L1412&lt;=79.99,20%,14%)+IF(L1412&lt;=79.99,4,IF(L1412&lt;=99.99,16,IF(L1412&lt;=199.99,20,IF(L1412&lt;=499.99,26,28)))))-L1412*1.3%-L1412*6%-(L1412-O1412)*9.25%-L1412*3%-L1412*3%-1)</f>
        <v/>
      </c>
      <c r="Q1412" s="58" t="n">
        <v>0.572</v>
      </c>
      <c r="R1412" s="54" t="n">
        <v>489574396802176</v>
      </c>
      <c r="S1412" s="59" t="n">
        <v>46240.52083333334</v>
      </c>
      <c r="T1412" s="59" t="n">
        <v>46353.5625</v>
      </c>
      <c r="U1412" s="54" t="n">
        <v>100122</v>
      </c>
      <c r="V1412" t="inlineStr">
        <is>
          <t>213282</t>
        </is>
      </c>
      <c r="W1412" t="inlineStr">
        <is>
          <t>venda casada (2260 pedidos) · custo do KIT 213992 (1× 213282)</t>
        </is>
      </c>
      <c r="X1412" t="n">
        <v>2260</v>
      </c>
      <c r="Y1412" t="inlineStr">
        <is>
          <t>ok</t>
        </is>
      </c>
    </row>
    <row r="1413" ht="18" customHeight="1">
      <c r="A1413" s="60" t="inlineStr">
        <is>
          <t>Oliverhome</t>
        </is>
      </c>
      <c r="B1413" s="60" t="inlineStr">
        <is>
          <t>Bandeja Retangular De Bambu 46x33Cm E 40x30Cm Com Arco 33x22Cm Alça Reta Decorativo Servir Bandeja</t>
        </is>
      </c>
      <c r="C1413" s="60" t="inlineStr">
        <is>
          <t>G - 45X33X4 CM</t>
        </is>
      </c>
      <c r="D1413" s="60" t="inlineStr">
        <is>
          <t>BANDEJA BAMBU G</t>
        </is>
      </c>
      <c r="E1413" s="60" t="n">
        <v>22794046813</v>
      </c>
      <c r="F1413" s="60" t="n">
        <v>149546446458</v>
      </c>
      <c r="G1413" s="60" t="inlineStr">
        <is>
          <t>NORMAL</t>
        </is>
      </c>
      <c r="H1413" s="91" t="n">
        <v>99.90000000000001</v>
      </c>
      <c r="I1413" s="91" t="n">
        <v>99.90000000000001</v>
      </c>
      <c r="J1413" s="62" t="inlineStr">
        <is>
          <t>NÃO</t>
        </is>
      </c>
      <c r="K1413" s="60" t="inlineStr">
        <is>
          <t> </t>
        </is>
      </c>
      <c r="L1413" s="87" t="n">
        <v>99.90000000000001</v>
      </c>
      <c r="P1413" s="92">
        <f>IF($O1413="","",L1413-O1413-(L1413*IF(L1413&lt;=79.99,20%,14%)+IF(L1413&lt;=79.99,4,IF(L1413&lt;=99.99,16,IF(L1413&lt;=199.99,20,IF(L1413&lt;=499.99,26,28)))))-L1413*1.3%-L1413*6%-(L1413-O1413)*9.25%-L1413*3%-L1413*3%-1)</f>
        <v/>
      </c>
      <c r="Q1413" s="60" t="inlineStr">
        <is>
          <t> </t>
        </is>
      </c>
      <c r="R1413" s="60" t="inlineStr">
        <is>
          <t> </t>
        </is>
      </c>
      <c r="S1413" s="60" t="inlineStr">
        <is>
          <t> </t>
        </is>
      </c>
      <c r="T1413" s="60" t="inlineStr">
        <is>
          <t> </t>
        </is>
      </c>
      <c r="U1413" s="60" t="n">
        <v>101237</v>
      </c>
      <c r="W1413" t="inlineStr">
        <is>
          <t>sem correspondência</t>
        </is>
      </c>
      <c r="Y1413" t="inlineStr"/>
    </row>
    <row r="1414" ht="18" customHeight="1">
      <c r="A1414" s="54" t="inlineStr">
        <is>
          <t>Oliverhome</t>
        </is>
      </c>
      <c r="B1414" s="54" t="inlineStr">
        <is>
          <t>Bandeja Retangular De Bambu 46x33Cm E 40x30Cm Com Arco 33x22Cm Alça Reta Decorativo Servir Bandeja</t>
        </is>
      </c>
      <c r="C1414" s="54" t="inlineStr">
        <is>
          <t>M- 40X30X4 CM</t>
        </is>
      </c>
      <c r="D1414" s="54" t="inlineStr">
        <is>
          <t>BANDEJA BAMBU M</t>
        </is>
      </c>
      <c r="E1414" s="54" t="n">
        <v>22794046813</v>
      </c>
      <c r="F1414" s="54" t="n">
        <v>149546446460</v>
      </c>
      <c r="G1414" s="54" t="inlineStr">
        <is>
          <t>NORMAL</t>
        </is>
      </c>
      <c r="H1414" s="86" t="n">
        <v>89.90000000000001</v>
      </c>
      <c r="I1414" s="86" t="n">
        <v>89.90000000000001</v>
      </c>
      <c r="J1414" s="69" t="inlineStr">
        <is>
          <t>NÃO</t>
        </is>
      </c>
      <c r="K1414" s="54" t="n"/>
      <c r="L1414" s="87" t="n">
        <v>89.90000000000001</v>
      </c>
      <c r="P1414" s="90">
        <f>IF($O1414="","",L1414-O1414-(L1414*IF(L1414&lt;=79.99,20%,14%)+IF(L1414&lt;=79.99,4,IF(L1414&lt;=99.99,16,IF(L1414&lt;=199.99,20,IF(L1414&lt;=499.99,26,28)))))-L1414*1.3%-L1414*6%-(L1414-O1414)*9.25%-L1414*3%-L1414*3%-1)</f>
        <v/>
      </c>
      <c r="Q1414" s="54">
        <f>IF(AND(K1414&lt;&gt;"",H1414&gt;0),(H1414-K1414)/H1414,"")</f>
        <v/>
      </c>
      <c r="R1414" s="54" t="n"/>
      <c r="S1414" s="54" t="n"/>
      <c r="T1414" s="54" t="n"/>
      <c r="U1414" s="54" t="n">
        <v>101237</v>
      </c>
      <c r="W1414" t="inlineStr">
        <is>
          <t>sem correspondência</t>
        </is>
      </c>
      <c r="Y1414" t="inlineStr"/>
    </row>
    <row r="1415" ht="18" customHeight="1">
      <c r="A1415" s="60" t="inlineStr">
        <is>
          <t>Oliverhome</t>
        </is>
      </c>
      <c r="B1415" s="60" t="inlineStr">
        <is>
          <t>Bandeja Retangular De Bambu 46x33Cm E 40x30Cm Com Arco 33x22Cm Alça Reta Decorativo Servir Bandeja</t>
        </is>
      </c>
      <c r="C1415" s="60" t="inlineStr">
        <is>
          <t>P - 33X22X4 CM</t>
        </is>
      </c>
      <c r="D1415" s="60" t="inlineStr">
        <is>
          <t>BANDEJA BAMBU P</t>
        </is>
      </c>
      <c r="E1415" s="60" t="n">
        <v>22794046813</v>
      </c>
      <c r="F1415" s="60" t="n">
        <v>149546446459</v>
      </c>
      <c r="G1415" s="60" t="inlineStr">
        <is>
          <t>NORMAL</t>
        </is>
      </c>
      <c r="H1415" s="91" t="n">
        <v>79.90000000000001</v>
      </c>
      <c r="I1415" s="91" t="n">
        <v>79.90000000000001</v>
      </c>
      <c r="J1415" s="62" t="inlineStr">
        <is>
          <t>NÃO</t>
        </is>
      </c>
      <c r="K1415" s="60" t="inlineStr">
        <is>
          <t> </t>
        </is>
      </c>
      <c r="L1415" s="87" t="n">
        <v>79.90000000000001</v>
      </c>
      <c r="P1415" s="92">
        <f>IF($O1415="","",L1415-O1415-(L1415*IF(L1415&lt;=79.99,20%,14%)+IF(L1415&lt;=79.99,4,IF(L1415&lt;=99.99,16,IF(L1415&lt;=199.99,20,IF(L1415&lt;=499.99,26,28)))))-L1415*1.3%-L1415*6%-(L1415-O1415)*9.25%-L1415*3%-L1415*3%-1)</f>
        <v/>
      </c>
      <c r="Q1415" s="60" t="inlineStr">
        <is>
          <t> </t>
        </is>
      </c>
      <c r="R1415" s="60" t="inlineStr">
        <is>
          <t> </t>
        </is>
      </c>
      <c r="S1415" s="60" t="inlineStr">
        <is>
          <t> </t>
        </is>
      </c>
      <c r="T1415" s="60" t="inlineStr">
        <is>
          <t> </t>
        </is>
      </c>
      <c r="U1415" s="60" t="n">
        <v>101237</v>
      </c>
      <c r="W1415" t="inlineStr">
        <is>
          <t>sem correspondência</t>
        </is>
      </c>
      <c r="Y1415" t="inlineStr"/>
    </row>
    <row r="1416" ht="18" customHeight="1">
      <c r="A1416" s="54" t="inlineStr">
        <is>
          <t>Oliverhome</t>
        </is>
      </c>
      <c r="B1416" s="54" t="inlineStr">
        <is>
          <t>Bomba Submersa 1000 L/h Ideal Para Aquários Piscinas Fontes</t>
        </is>
      </c>
      <c r="C1416" s="54" t="inlineStr">
        <is>
          <t>110V</t>
        </is>
      </c>
      <c r="D1416" s="54" t="inlineStr">
        <is>
          <t>BOMBA-1000L-110V</t>
        </is>
      </c>
      <c r="E1416" s="54" t="n">
        <v>22098563207</v>
      </c>
      <c r="F1416" s="54" t="n">
        <v>228785252169</v>
      </c>
      <c r="G1416" s="54" t="inlineStr">
        <is>
          <t>NORMAL</t>
        </is>
      </c>
      <c r="H1416" s="86" t="n">
        <v>109.9</v>
      </c>
      <c r="I1416" s="86" t="n">
        <v>72.90000000000001</v>
      </c>
      <c r="J1416" s="56" t="inlineStr">
        <is>
          <t>SIM</t>
        </is>
      </c>
      <c r="K1416" s="86" t="n">
        <v>72.90000000000001</v>
      </c>
      <c r="L1416" s="87" t="n">
        <v>72.90000000000001</v>
      </c>
      <c r="P1416" s="90">
        <f>IF($O1416="","",L1416-O1416-(L1416*IF(L1416&lt;=79.99,20%,14%)+IF(L1416&lt;=79.99,4,IF(L1416&lt;=99.99,16,IF(L1416&lt;=199.99,20,IF(L1416&lt;=499.99,26,28)))))-L1416*1.3%-L1416*6%-(L1416-O1416)*9.25%-L1416*3%-L1416*3%-1)</f>
        <v/>
      </c>
      <c r="Q1416" s="58" t="n">
        <v>0.337</v>
      </c>
      <c r="R1416" s="54" t="inlineStr">
        <is>
          <t>478840979931317, 489574396802176</t>
        </is>
      </c>
      <c r="S1416" s="59" t="n">
        <v>46240.52083333334</v>
      </c>
      <c r="T1416" s="59" t="n">
        <v>46248.99930555555</v>
      </c>
      <c r="U1416" s="54" t="n">
        <v>100921</v>
      </c>
      <c r="W1416" t="inlineStr">
        <is>
          <t>sem correspondência</t>
        </is>
      </c>
      <c r="Y1416" t="inlineStr"/>
    </row>
    <row r="1417" ht="18" customHeight="1">
      <c r="A1417" s="60" t="inlineStr">
        <is>
          <t>Oliverhome</t>
        </is>
      </c>
      <c r="B1417" s="60" t="inlineStr">
        <is>
          <t>Bomba Submersa 1000 L/h Ideal Para Aquários Piscinas Fontes</t>
        </is>
      </c>
      <c r="C1417" s="60" t="inlineStr">
        <is>
          <t>220V</t>
        </is>
      </c>
      <c r="D1417" s="60" t="inlineStr">
        <is>
          <t>BOMBA-1000L-220V</t>
        </is>
      </c>
      <c r="E1417" s="60" t="n">
        <v>22098563207</v>
      </c>
      <c r="F1417" s="60" t="n">
        <v>228785252170</v>
      </c>
      <c r="G1417" s="60" t="inlineStr">
        <is>
          <t>NORMAL</t>
        </is>
      </c>
      <c r="H1417" s="91" t="n">
        <v>109.9</v>
      </c>
      <c r="I1417" s="91" t="n">
        <v>72.90000000000001</v>
      </c>
      <c r="J1417" s="65" t="inlineStr">
        <is>
          <t>SIM</t>
        </is>
      </c>
      <c r="K1417" s="91" t="n">
        <v>72.90000000000001</v>
      </c>
      <c r="L1417" s="87" t="n">
        <v>72.90000000000001</v>
      </c>
      <c r="P1417" s="92">
        <f>IF($O1417="","",L1417-O1417-(L1417*IF(L1417&lt;=79.99,20%,14%)+IF(L1417&lt;=79.99,4,IF(L1417&lt;=99.99,16,IF(L1417&lt;=199.99,20,IF(L1417&lt;=499.99,26,28)))))-L1417*1.3%-L1417*6%-(L1417-O1417)*9.25%-L1417*3%-L1417*3%-1)</f>
        <v/>
      </c>
      <c r="Q1417" s="67" t="n">
        <v>0.337</v>
      </c>
      <c r="R1417" s="60" t="inlineStr">
        <is>
          <t>478840979931317, 489574396802176</t>
        </is>
      </c>
      <c r="S1417" s="68" t="n">
        <v>46240.52083333334</v>
      </c>
      <c r="T1417" s="68" t="n">
        <v>46248.99930555555</v>
      </c>
      <c r="U1417" s="60" t="n">
        <v>100921</v>
      </c>
      <c r="W1417" t="inlineStr">
        <is>
          <t>sem correspondência</t>
        </is>
      </c>
      <c r="Y1417" t="inlineStr"/>
    </row>
    <row r="1418" ht="18" customHeight="1">
      <c r="A1418" s="54" t="inlineStr">
        <is>
          <t>Oliverhome</t>
        </is>
      </c>
      <c r="B1418" s="54" t="inlineStr">
        <is>
          <t>Bomba Submersa Bombinha Motor Para Aquário Fonte Água Bebedouro Pet 2000L p/h 110 ou 220V</t>
        </is>
      </c>
      <c r="C1418" s="54" t="inlineStr">
        <is>
          <t>110V</t>
        </is>
      </c>
      <c r="D1418" s="54" t="inlineStr">
        <is>
          <t>BOMBA-2000L-110V</t>
        </is>
      </c>
      <c r="E1418" s="54" t="n">
        <v>57814384453</v>
      </c>
      <c r="F1418" s="54" t="n">
        <v>282801753406</v>
      </c>
      <c r="G1418" s="54" t="inlineStr">
        <is>
          <t>NORMAL</t>
        </is>
      </c>
      <c r="H1418" s="86" t="n">
        <v>139.9</v>
      </c>
      <c r="I1418" s="86" t="n">
        <v>99.90000000000001</v>
      </c>
      <c r="J1418" s="56" t="inlineStr">
        <is>
          <t>SIM</t>
        </is>
      </c>
      <c r="K1418" s="86" t="n">
        <v>99.90000000000001</v>
      </c>
      <c r="L1418" s="87" t="n">
        <v>99.90000000000001</v>
      </c>
      <c r="P1418" s="90">
        <f>IF($O1418="","",L1418-O1418-(L1418*IF(L1418&lt;=79.99,20%,14%)+IF(L1418&lt;=79.99,4,IF(L1418&lt;=99.99,16,IF(L1418&lt;=199.99,20,IF(L1418&lt;=499.99,26,28)))))-L1418*1.3%-L1418*6%-(L1418-O1418)*9.25%-L1418*3%-L1418*3%-1)</f>
        <v/>
      </c>
      <c r="Q1418" s="58" t="n">
        <v>0.286</v>
      </c>
      <c r="R1418" s="54" t="n">
        <v>489574396802176</v>
      </c>
      <c r="S1418" s="59" t="n">
        <v>46240.52083333334</v>
      </c>
      <c r="T1418" s="59" t="n">
        <v>46353.5625</v>
      </c>
      <c r="U1418" s="54" t="n">
        <v>100921</v>
      </c>
      <c r="W1418" t="inlineStr">
        <is>
          <t>sem correspondência</t>
        </is>
      </c>
      <c r="Y1418" t="inlineStr"/>
    </row>
    <row r="1419" ht="18" customHeight="1">
      <c r="A1419" s="60" t="inlineStr">
        <is>
          <t>Oliverhome</t>
        </is>
      </c>
      <c r="B1419" s="60" t="inlineStr">
        <is>
          <t>Bomba Submersa Bombinha Motor Para Aquário Fonte Água Bebedouro Pet 2000L p/h 110 ou 220V</t>
        </is>
      </c>
      <c r="C1419" s="60" t="inlineStr">
        <is>
          <t>220V</t>
        </is>
      </c>
      <c r="D1419" s="60" t="inlineStr">
        <is>
          <t>BOMBA-2000L-220V</t>
        </is>
      </c>
      <c r="E1419" s="60" t="n">
        <v>57814384453</v>
      </c>
      <c r="F1419" s="60" t="n">
        <v>282801753407</v>
      </c>
      <c r="G1419" s="60" t="inlineStr">
        <is>
          <t>NORMAL</t>
        </is>
      </c>
      <c r="H1419" s="91" t="n">
        <v>139.9</v>
      </c>
      <c r="I1419" s="91" t="n">
        <v>99.90000000000001</v>
      </c>
      <c r="J1419" s="65" t="inlineStr">
        <is>
          <t>SIM</t>
        </is>
      </c>
      <c r="K1419" s="91" t="n">
        <v>99.90000000000001</v>
      </c>
      <c r="L1419" s="87" t="n">
        <v>99.90000000000001</v>
      </c>
      <c r="P1419" s="92">
        <f>IF($O1419="","",L1419-O1419-(L1419*IF(L1419&lt;=79.99,20%,14%)+IF(L1419&lt;=79.99,4,IF(L1419&lt;=99.99,16,IF(L1419&lt;=199.99,20,IF(L1419&lt;=499.99,26,28)))))-L1419*1.3%-L1419*6%-(L1419-O1419)*9.25%-L1419*3%-L1419*3%-1)</f>
        <v/>
      </c>
      <c r="Q1419" s="67" t="n">
        <v>0.286</v>
      </c>
      <c r="R1419" s="60" t="n">
        <v>489574396802176</v>
      </c>
      <c r="S1419" s="68" t="n">
        <v>46240.52083333334</v>
      </c>
      <c r="T1419" s="68" t="n">
        <v>46353.5625</v>
      </c>
      <c r="U1419" s="60" t="n">
        <v>100921</v>
      </c>
      <c r="W1419" t="inlineStr">
        <is>
          <t>sem correspondência</t>
        </is>
      </c>
      <c r="Y1419" t="inlineStr"/>
    </row>
    <row r="1420" ht="18" customHeight="1">
      <c r="A1420" s="54" t="inlineStr">
        <is>
          <t>Oliverhome</t>
        </is>
      </c>
      <c r="B1420" s="54" t="inlineStr">
        <is>
          <t>Bomba Submersa Bombinha Motor Para Aquário Fonte Água Bebedouro Pet 200L p/h 110 ou 220V</t>
        </is>
      </c>
      <c r="C1420" s="54" t="inlineStr">
        <is>
          <t>110V</t>
        </is>
      </c>
      <c r="D1420" s="54" t="inlineStr">
        <is>
          <t>BOMBA-200L-110V</t>
        </is>
      </c>
      <c r="E1420" s="54" t="n">
        <v>22394051265</v>
      </c>
      <c r="F1420" s="54" t="n">
        <v>169406152842</v>
      </c>
      <c r="G1420" s="54" t="inlineStr">
        <is>
          <t>NORMAL</t>
        </is>
      </c>
      <c r="H1420" s="86" t="n">
        <v>49.9</v>
      </c>
      <c r="I1420" s="86" t="n">
        <v>21.5</v>
      </c>
      <c r="J1420" s="56" t="inlineStr">
        <is>
          <t>SIM</t>
        </is>
      </c>
      <c r="K1420" s="86" t="n">
        <v>21.5</v>
      </c>
      <c r="L1420" s="87" t="n">
        <v>21.5</v>
      </c>
      <c r="M1420" s="88" t="n">
        <v>1</v>
      </c>
      <c r="N1420" s="89" t="n">
        <v>8.26</v>
      </c>
      <c r="O1420" s="89">
        <f>ROUND(M1420*N1420,2)</f>
        <v/>
      </c>
      <c r="P1420" s="90">
        <f>IF($O1420="","",L1420-O1420-(L1420*IF(L1420&lt;=79.99,20%,14%)+IF(L1420&lt;=79.99,4,IF(L1420&lt;=99.99,16,IF(L1420&lt;=199.99,20,IF(L1420&lt;=499.99,26,28)))))-L1420*1.3%-L1420*6%-(L1420-O1420)*9.25%-L1420*3%-L1420*3%-1)</f>
        <v/>
      </c>
      <c r="Q1420" s="58" t="n">
        <v>0.569</v>
      </c>
      <c r="R1420" s="54" t="n">
        <v>489574396802176</v>
      </c>
      <c r="S1420" s="59" t="n">
        <v>46240.52083333334</v>
      </c>
      <c r="T1420" s="59" t="n">
        <v>46353.5625</v>
      </c>
      <c r="U1420" s="54" t="n">
        <v>100921</v>
      </c>
      <c r="V1420" t="inlineStr">
        <is>
          <t>214109</t>
        </is>
      </c>
      <c r="W1420" t="inlineStr">
        <is>
          <t>venda casada (128 pedidos)</t>
        </is>
      </c>
      <c r="X1420" t="n">
        <v>128</v>
      </c>
      <c r="Y1420" t="inlineStr">
        <is>
          <t>ok</t>
        </is>
      </c>
    </row>
    <row r="1421" ht="18" customHeight="1">
      <c r="A1421" s="60" t="inlineStr">
        <is>
          <t>Oliverhome</t>
        </is>
      </c>
      <c r="B1421" s="60" t="inlineStr">
        <is>
          <t>Bomba Submersa Bombinha Motor Para Aquário Fonte Água Bebedouro Pet 200L p/h 110 ou 220V</t>
        </is>
      </c>
      <c r="C1421" s="60" t="inlineStr">
        <is>
          <t>220V</t>
        </is>
      </c>
      <c r="D1421" s="60" t="inlineStr">
        <is>
          <t>BOMBA-200L-220V</t>
        </is>
      </c>
      <c r="E1421" s="60" t="n">
        <v>22394051265</v>
      </c>
      <c r="F1421" s="60" t="n">
        <v>169406152841</v>
      </c>
      <c r="G1421" s="60" t="inlineStr">
        <is>
          <t>NORMAL</t>
        </is>
      </c>
      <c r="H1421" s="91" t="n">
        <v>49.9</v>
      </c>
      <c r="I1421" s="91" t="n">
        <v>21.5</v>
      </c>
      <c r="J1421" s="65" t="inlineStr">
        <is>
          <t>SIM</t>
        </is>
      </c>
      <c r="K1421" s="91" t="n">
        <v>21.5</v>
      </c>
      <c r="L1421" s="87" t="n">
        <v>21.49</v>
      </c>
      <c r="M1421" s="88" t="n">
        <v>1</v>
      </c>
      <c r="N1421" s="89" t="n">
        <v>8.26</v>
      </c>
      <c r="O1421" s="89">
        <f>ROUND(M1421*N1421,2)</f>
        <v/>
      </c>
      <c r="P1421" s="92">
        <f>IF($O1421="","",L1421-O1421-(L1421*IF(L1421&lt;=79.99,20%,14%)+IF(L1421&lt;=79.99,4,IF(L1421&lt;=99.99,16,IF(L1421&lt;=199.99,20,IF(L1421&lt;=499.99,26,28)))))-L1421*1.3%-L1421*6%-(L1421-O1421)*9.25%-L1421*3%-L1421*3%-1)</f>
        <v/>
      </c>
      <c r="Q1421" s="67" t="n">
        <v>0.569</v>
      </c>
      <c r="R1421" s="60" t="n">
        <v>490987084534129</v>
      </c>
      <c r="S1421" s="68" t="n">
        <v>46248</v>
      </c>
      <c r="T1421" s="68" t="n">
        <v>46249</v>
      </c>
      <c r="U1421" s="60" t="n">
        <v>100921</v>
      </c>
      <c r="V1421" t="inlineStr">
        <is>
          <t>214112</t>
        </is>
      </c>
      <c r="W1421" t="inlineStr">
        <is>
          <t>venda casada (104 pedidos)</t>
        </is>
      </c>
      <c r="X1421" t="n">
        <v>104</v>
      </c>
      <c r="Y1421" t="inlineStr">
        <is>
          <t>ok</t>
        </is>
      </c>
    </row>
    <row r="1422" ht="18" customHeight="1">
      <c r="A1422" s="54" t="inlineStr">
        <is>
          <t>Oliverhome</t>
        </is>
      </c>
      <c r="B1422" s="54" t="inlineStr">
        <is>
          <t>Cascata 120 Led Natal Estrela Decoração 8 Funções 110V/220V 3 Metros</t>
        </is>
      </c>
      <c r="C1422" s="54" t="inlineStr">
        <is>
          <t>Branco Quente,110V</t>
        </is>
      </c>
      <c r="D1422" s="54" t="inlineStr">
        <is>
          <t>CASCATA-120LED-110V</t>
        </is>
      </c>
      <c r="E1422" s="54" t="n">
        <v>58250319835</v>
      </c>
      <c r="F1422" s="54" t="n">
        <v>199181636426</v>
      </c>
      <c r="G1422" s="54" t="inlineStr">
        <is>
          <t>NORMAL</t>
        </is>
      </c>
      <c r="H1422" s="86" t="n">
        <v>109.9</v>
      </c>
      <c r="I1422" s="86" t="n">
        <v>109.9</v>
      </c>
      <c r="J1422" s="69" t="inlineStr">
        <is>
          <t>NÃO</t>
        </is>
      </c>
      <c r="K1422" s="54" t="n"/>
      <c r="L1422" s="87" t="n">
        <v>109.9</v>
      </c>
      <c r="P1422" s="90">
        <f>IF($O1422="","",L1422-O1422-(L1422*IF(L1422&lt;=79.99,20%,14%)+IF(L1422&lt;=79.99,4,IF(L1422&lt;=99.99,16,IF(L1422&lt;=199.99,20,IF(L1422&lt;=499.99,26,28)))))-L1422*1.3%-L1422*6%-(L1422-O1422)*9.25%-L1422*3%-L1422*3%-1)</f>
        <v/>
      </c>
      <c r="Q1422" s="54">
        <f>IF(AND(K1422&lt;&gt;"",H1422&gt;0),(H1422-K1422)/H1422,"")</f>
        <v/>
      </c>
      <c r="R1422" s="54" t="n"/>
      <c r="S1422" s="54" t="n"/>
      <c r="T1422" s="54" t="n"/>
      <c r="U1422" s="54" t="n">
        <v>100719</v>
      </c>
      <c r="W1422" t="inlineStr">
        <is>
          <t>sem correspondência</t>
        </is>
      </c>
      <c r="Y1422" t="inlineStr"/>
    </row>
    <row r="1423" ht="18" customHeight="1">
      <c r="A1423" s="60" t="inlineStr">
        <is>
          <t>Oliverhome</t>
        </is>
      </c>
      <c r="B1423" s="60" t="inlineStr">
        <is>
          <t>Cascata 120 Led Natal Estrela Decoração 8 Funções 110V/220V 3 Metros</t>
        </is>
      </c>
      <c r="C1423" s="60" t="inlineStr">
        <is>
          <t>Branco Quente,220V</t>
        </is>
      </c>
      <c r="D1423" s="60" t="inlineStr">
        <is>
          <t>CASCATA-120LED-220V</t>
        </is>
      </c>
      <c r="E1423" s="60" t="n">
        <v>58250319835</v>
      </c>
      <c r="F1423" s="60" t="n">
        <v>199181636425</v>
      </c>
      <c r="G1423" s="60" t="inlineStr">
        <is>
          <t>NORMAL</t>
        </is>
      </c>
      <c r="H1423" s="91" t="n">
        <v>109.9</v>
      </c>
      <c r="I1423" s="91" t="n">
        <v>109.9</v>
      </c>
      <c r="J1423" s="62" t="inlineStr">
        <is>
          <t>NÃO</t>
        </is>
      </c>
      <c r="K1423" s="60" t="inlineStr">
        <is>
          <t> </t>
        </is>
      </c>
      <c r="L1423" s="87" t="n">
        <v>109.9</v>
      </c>
      <c r="P1423" s="92">
        <f>IF($O1423="","",L1423-O1423-(L1423*IF(L1423&lt;=79.99,20%,14%)+IF(L1423&lt;=79.99,4,IF(L1423&lt;=99.99,16,IF(L1423&lt;=199.99,20,IF(L1423&lt;=499.99,26,28)))))-L1423*1.3%-L1423*6%-(L1423-O1423)*9.25%-L1423*3%-L1423*3%-1)</f>
        <v/>
      </c>
      <c r="Q1423" s="60" t="inlineStr">
        <is>
          <t> </t>
        </is>
      </c>
      <c r="R1423" s="60" t="inlineStr">
        <is>
          <t> </t>
        </is>
      </c>
      <c r="S1423" s="60" t="inlineStr">
        <is>
          <t> </t>
        </is>
      </c>
      <c r="T1423" s="60" t="inlineStr">
        <is>
          <t> </t>
        </is>
      </c>
      <c r="U1423" s="60" t="n">
        <v>100719</v>
      </c>
      <c r="W1423" t="inlineStr">
        <is>
          <t>sem correspondência</t>
        </is>
      </c>
      <c r="Y1423" t="inlineStr"/>
    </row>
    <row r="1424" ht="18" customHeight="1">
      <c r="A1424" s="54" t="inlineStr">
        <is>
          <t>Oliverhome</t>
        </is>
      </c>
      <c r="B1424" s="54" t="inlineStr">
        <is>
          <t>Cesto de Roupa Suja 70 LITROS Lavanderia Bambu c/ Tampa Retangular/Redondo Forrado Oliver Home</t>
        </is>
      </c>
      <c r="C1424" s="54" t="inlineStr">
        <is>
          <t>Cesto Redondo,1 Unidade</t>
        </is>
      </c>
      <c r="D1424" s="54" t="inlineStr">
        <is>
          <t>CESTO-REDONDO- 70 LITROS</t>
        </is>
      </c>
      <c r="E1424" s="54" t="n">
        <v>22998545109</v>
      </c>
      <c r="F1424" s="54" t="n">
        <v>199607837928</v>
      </c>
      <c r="G1424" s="54" t="inlineStr">
        <is>
          <t>NORMAL</t>
        </is>
      </c>
      <c r="H1424" s="86" t="n">
        <v>179.9</v>
      </c>
      <c r="I1424" s="86" t="n">
        <v>91.75</v>
      </c>
      <c r="J1424" s="56" t="inlineStr">
        <is>
          <t>SIM</t>
        </is>
      </c>
      <c r="K1424" s="86" t="n">
        <v>91.75</v>
      </c>
      <c r="L1424" s="87" t="n">
        <v>91.75</v>
      </c>
      <c r="M1424" s="88" t="n">
        <v>2</v>
      </c>
      <c r="N1424" s="89" t="n">
        <v>33.22</v>
      </c>
      <c r="O1424" s="89">
        <f>ROUND(M1424*N1424,2)</f>
        <v/>
      </c>
      <c r="P1424" s="90">
        <f>IF($O1424="","",L1424-O1424-(L1424*IF(L1424&lt;=79.99,20%,14%)+IF(L1424&lt;=79.99,4,IF(L1424&lt;=99.99,16,IF(L1424&lt;=199.99,20,IF(L1424&lt;=499.99,26,28)))))-L1424*1.3%-L1424*6%-(L1424-O1424)*9.25%-L1424*3%-L1424*3%-1)</f>
        <v/>
      </c>
      <c r="Q1424" s="58" t="n">
        <v>0.49</v>
      </c>
      <c r="R1424" s="54" t="inlineStr">
        <is>
          <t>478840979931317, 489574396802176</t>
        </is>
      </c>
      <c r="S1424" s="59" t="n">
        <v>46240.52083333334</v>
      </c>
      <c r="T1424" s="59" t="n">
        <v>46248.99930555555</v>
      </c>
      <c r="U1424" s="54" t="n">
        <v>101257</v>
      </c>
      <c r="V1424" t="inlineStr">
        <is>
          <t>214233</t>
        </is>
      </c>
      <c r="W1424" t="inlineStr">
        <is>
          <t>venda casada (1 pedido) · custo do KIT 214241 (2× 214233)</t>
        </is>
      </c>
      <c r="X1424" t="n">
        <v>1</v>
      </c>
      <c r="Y1424" t="inlineStr">
        <is>
          <t>⚠ evidência fraca (1 pedido)</t>
        </is>
      </c>
    </row>
    <row r="1425" ht="18" customHeight="1">
      <c r="A1425" s="60" t="inlineStr">
        <is>
          <t>Oliverhome</t>
        </is>
      </c>
      <c r="B1425" s="60" t="inlineStr">
        <is>
          <t>Cesto de Roupa Suja 70 LITROS Lavanderia Bambu c/ Tampa Retangular/Redondo Forrado Oliver Home</t>
        </is>
      </c>
      <c r="C1425" s="60" t="inlineStr">
        <is>
          <t>Cesto Redondo,2 Unidades (+3% OFF)</t>
        </is>
      </c>
      <c r="D1425" s="60" t="inlineStr">
        <is>
          <t>KIT2-CESTO-REDONDO- 70 LITROS</t>
        </is>
      </c>
      <c r="E1425" s="60" t="n">
        <v>22998545109</v>
      </c>
      <c r="F1425" s="60" t="n">
        <v>199607837929</v>
      </c>
      <c r="G1425" s="60" t="inlineStr">
        <is>
          <t>NORMAL</t>
        </is>
      </c>
      <c r="H1425" s="91" t="n">
        <v>289.9</v>
      </c>
      <c r="I1425" s="91" t="n">
        <v>147.85</v>
      </c>
      <c r="J1425" s="65" t="inlineStr">
        <is>
          <t>SIM</t>
        </is>
      </c>
      <c r="K1425" s="91" t="n">
        <v>147.85</v>
      </c>
      <c r="L1425" s="87" t="n">
        <v>147.85</v>
      </c>
      <c r="P1425" s="92">
        <f>IF($O1425="","",L1425-O1425-(L1425*IF(L1425&lt;=79.99,20%,14%)+IF(L1425&lt;=79.99,4,IF(L1425&lt;=99.99,16,IF(L1425&lt;=199.99,20,IF(L1425&lt;=499.99,26,28)))))-L1425*1.3%-L1425*6%-(L1425-O1425)*9.25%-L1425*3%-L1425*3%-1)</f>
        <v/>
      </c>
      <c r="Q1425" s="67" t="n">
        <v>0.49</v>
      </c>
      <c r="R1425" s="60" t="inlineStr">
        <is>
          <t>478840979931317, 489574396802176</t>
        </is>
      </c>
      <c r="S1425" s="68" t="n">
        <v>46240.52083333334</v>
      </c>
      <c r="T1425" s="68" t="n">
        <v>46248.99930555555</v>
      </c>
      <c r="U1425" s="60" t="n">
        <v>101257</v>
      </c>
      <c r="W1425" t="inlineStr">
        <is>
          <t>sem correspondência</t>
        </is>
      </c>
      <c r="Y1425" t="inlineStr"/>
    </row>
    <row r="1426" ht="18" customHeight="1">
      <c r="A1426" s="54" t="inlineStr">
        <is>
          <t>Oliverhome</t>
        </is>
      </c>
      <c r="B1426" s="54" t="inlineStr">
        <is>
          <t>Cesto de Roupa Suja 70 LITROS Lavanderia Bambu c/ Tampa Retangular/Redondo Forrado Oliver Home</t>
        </is>
      </c>
      <c r="C1426" s="54" t="inlineStr">
        <is>
          <t>Cesto Redondo,3 Unidades (+5% OFF)</t>
        </is>
      </c>
      <c r="D1426" s="54" t="inlineStr">
        <is>
          <t>KIT3-CESTO-REDONDO- 70 LITROS</t>
        </is>
      </c>
      <c r="E1426" s="54" t="n">
        <v>22998545109</v>
      </c>
      <c r="F1426" s="54" t="n">
        <v>199607837930</v>
      </c>
      <c r="G1426" s="54" t="inlineStr">
        <is>
          <t>NORMAL</t>
        </is>
      </c>
      <c r="H1426" s="86" t="n">
        <v>409.9</v>
      </c>
      <c r="I1426" s="86" t="n">
        <v>209.05</v>
      </c>
      <c r="J1426" s="56" t="inlineStr">
        <is>
          <t>SIM</t>
        </is>
      </c>
      <c r="K1426" s="86" t="n">
        <v>209.05</v>
      </c>
      <c r="L1426" s="87" t="n">
        <v>209.05</v>
      </c>
      <c r="P1426" s="90">
        <f>IF($O1426="","",L1426-O1426-(L1426*IF(L1426&lt;=79.99,20%,14%)+IF(L1426&lt;=79.99,4,IF(L1426&lt;=99.99,16,IF(L1426&lt;=199.99,20,IF(L1426&lt;=499.99,26,28)))))-L1426*1.3%-L1426*6%-(L1426-O1426)*9.25%-L1426*3%-L1426*3%-1)</f>
        <v/>
      </c>
      <c r="Q1426" s="58" t="n">
        <v>0.49</v>
      </c>
      <c r="R1426" s="54" t="inlineStr">
        <is>
          <t>478840979931317, 489574396802176</t>
        </is>
      </c>
      <c r="S1426" s="59" t="n">
        <v>46240.52083333334</v>
      </c>
      <c r="T1426" s="59" t="n">
        <v>46248.99930555555</v>
      </c>
      <c r="U1426" s="54" t="n">
        <v>101257</v>
      </c>
      <c r="W1426" t="inlineStr">
        <is>
          <t>sem correspondência</t>
        </is>
      </c>
      <c r="Y1426" t="inlineStr"/>
    </row>
    <row r="1427" ht="18" customHeight="1">
      <c r="A1427" s="60" t="inlineStr">
        <is>
          <t>Oliverhome</t>
        </is>
      </c>
      <c r="B1427" s="60" t="inlineStr">
        <is>
          <t>Cesto de Roupa Suja 70 LITROS Lavanderia Bambu c/ Tampa Retangular/Redondo Forrado Oliver Home</t>
        </is>
      </c>
      <c r="C1427" s="60" t="inlineStr">
        <is>
          <t>Cesto Retangular,1 Unidade</t>
        </is>
      </c>
      <c r="D1427" s="60" t="inlineStr">
        <is>
          <t>CESTO-RETANGULAR- 70 LITROS</t>
        </is>
      </c>
      <c r="E1427" s="60" t="n">
        <v>22998545109</v>
      </c>
      <c r="F1427" s="60" t="n">
        <v>199607837931</v>
      </c>
      <c r="G1427" s="60" t="inlineStr">
        <is>
          <t>NORMAL</t>
        </is>
      </c>
      <c r="H1427" s="91" t="n">
        <v>189.9</v>
      </c>
      <c r="I1427" s="91" t="n">
        <v>96.84999999999999</v>
      </c>
      <c r="J1427" s="65" t="inlineStr">
        <is>
          <t>SIM</t>
        </is>
      </c>
      <c r="K1427" s="91" t="n">
        <v>96.84999999999999</v>
      </c>
      <c r="L1427" s="87" t="n">
        <v>96.84999999999999</v>
      </c>
      <c r="M1427" s="88" t="n">
        <v>1</v>
      </c>
      <c r="N1427" s="89" t="n">
        <v>36.61</v>
      </c>
      <c r="O1427" s="89">
        <f>ROUND(M1427*N1427,2)</f>
        <v/>
      </c>
      <c r="P1427" s="92">
        <f>IF($O1427="","",L1427-O1427-(L1427*IF(L1427&lt;=79.99,20%,14%)+IF(L1427&lt;=79.99,4,IF(L1427&lt;=99.99,16,IF(L1427&lt;=199.99,20,IF(L1427&lt;=499.99,26,28)))))-L1427*1.3%-L1427*6%-(L1427-O1427)*9.25%-L1427*3%-L1427*3%-1)</f>
        <v/>
      </c>
      <c r="Q1427" s="67" t="n">
        <v>0.49</v>
      </c>
      <c r="R1427" s="60" t="inlineStr">
        <is>
          <t>478840979931317, 489574396802176</t>
        </is>
      </c>
      <c r="S1427" s="68" t="n">
        <v>46240.52083333334</v>
      </c>
      <c r="T1427" s="68" t="n">
        <v>46248.99930555555</v>
      </c>
      <c r="U1427" s="60" t="n">
        <v>101257</v>
      </c>
      <c r="V1427" t="inlineStr">
        <is>
          <t>214232</t>
        </is>
      </c>
      <c r="W1427" t="inlineStr">
        <is>
          <t>venda casada (1 pedido) · custo do KIT 214238 (1× 214232)</t>
        </is>
      </c>
      <c r="X1427" t="n">
        <v>1</v>
      </c>
      <c r="Y1427" t="inlineStr">
        <is>
          <t>⚠ evidência fraca (1 pedido)</t>
        </is>
      </c>
    </row>
    <row r="1428" ht="18" customHeight="1">
      <c r="A1428" s="54" t="inlineStr">
        <is>
          <t>Oliverhome</t>
        </is>
      </c>
      <c r="B1428" s="54" t="inlineStr">
        <is>
          <t>Cesto de Roupa Suja 70 LITROS Lavanderia Bambu c/ Tampa Retangular/Redondo Forrado Oliver Home</t>
        </is>
      </c>
      <c r="C1428" s="54" t="inlineStr">
        <is>
          <t>Cesto Retangular,2 Unidades (+3% OFF)</t>
        </is>
      </c>
      <c r="D1428" s="54" t="inlineStr">
        <is>
          <t>KIT2-CESTO-RETANGULAR- 70 LITROS</t>
        </is>
      </c>
      <c r="E1428" s="54" t="n">
        <v>22998545109</v>
      </c>
      <c r="F1428" s="54" t="n">
        <v>199607837932</v>
      </c>
      <c r="G1428" s="54" t="inlineStr">
        <is>
          <t>NORMAL</t>
        </is>
      </c>
      <c r="H1428" s="86" t="n">
        <v>299.9</v>
      </c>
      <c r="I1428" s="86" t="n">
        <v>152.95</v>
      </c>
      <c r="J1428" s="56" t="inlineStr">
        <is>
          <t>SIM</t>
        </is>
      </c>
      <c r="K1428" s="86" t="n">
        <v>152.95</v>
      </c>
      <c r="L1428" s="87" t="n">
        <v>152.95</v>
      </c>
      <c r="P1428" s="90">
        <f>IF($O1428="","",L1428-O1428-(L1428*IF(L1428&lt;=79.99,20%,14%)+IF(L1428&lt;=79.99,4,IF(L1428&lt;=99.99,16,IF(L1428&lt;=199.99,20,IF(L1428&lt;=499.99,26,28)))))-L1428*1.3%-L1428*6%-(L1428-O1428)*9.25%-L1428*3%-L1428*3%-1)</f>
        <v/>
      </c>
      <c r="Q1428" s="58" t="n">
        <v>0.49</v>
      </c>
      <c r="R1428" s="54" t="inlineStr">
        <is>
          <t>478840979931317, 489574396802176</t>
        </is>
      </c>
      <c r="S1428" s="59" t="n">
        <v>46240.52083333334</v>
      </c>
      <c r="T1428" s="59" t="n">
        <v>46248.99930555555</v>
      </c>
      <c r="U1428" s="54" t="n">
        <v>101257</v>
      </c>
      <c r="W1428" t="inlineStr">
        <is>
          <t>sem correspondência</t>
        </is>
      </c>
      <c r="Y1428" t="inlineStr"/>
    </row>
    <row r="1429" ht="18" customHeight="1">
      <c r="A1429" s="60" t="inlineStr">
        <is>
          <t>Oliverhome</t>
        </is>
      </c>
      <c r="B1429" s="60" t="inlineStr">
        <is>
          <t>Cesto de Roupa Suja 70 LITROS Lavanderia Bambu c/ Tampa Retangular/Redondo Forrado Oliver Home</t>
        </is>
      </c>
      <c r="C1429" s="60" t="inlineStr">
        <is>
          <t>Cesto Retangular,3 Unidades (+5% OFF)</t>
        </is>
      </c>
      <c r="D1429" s="60" t="inlineStr">
        <is>
          <t>KIT3-CESTO-RETANGULAR- 70 LITROS</t>
        </is>
      </c>
      <c r="E1429" s="60" t="n">
        <v>22998545109</v>
      </c>
      <c r="F1429" s="60" t="n">
        <v>199607837927</v>
      </c>
      <c r="G1429" s="60" t="inlineStr">
        <is>
          <t>NORMAL</t>
        </is>
      </c>
      <c r="H1429" s="91" t="n">
        <v>429.9</v>
      </c>
      <c r="I1429" s="91" t="n">
        <v>219.25</v>
      </c>
      <c r="J1429" s="65" t="inlineStr">
        <is>
          <t>SIM</t>
        </is>
      </c>
      <c r="K1429" s="91" t="n">
        <v>219.25</v>
      </c>
      <c r="L1429" s="87" t="n">
        <v>219.25</v>
      </c>
      <c r="P1429" s="92">
        <f>IF($O1429="","",L1429-O1429-(L1429*IF(L1429&lt;=79.99,20%,14%)+IF(L1429&lt;=79.99,4,IF(L1429&lt;=99.99,16,IF(L1429&lt;=199.99,20,IF(L1429&lt;=499.99,26,28)))))-L1429*1.3%-L1429*6%-(L1429-O1429)*9.25%-L1429*3%-L1429*3%-1)</f>
        <v/>
      </c>
      <c r="Q1429" s="67" t="n">
        <v>0.49</v>
      </c>
      <c r="R1429" s="60" t="inlineStr">
        <is>
          <t>478840979931317, 489574396802176</t>
        </is>
      </c>
      <c r="S1429" s="68" t="n">
        <v>46240.52083333334</v>
      </c>
      <c r="T1429" s="68" t="n">
        <v>46248.99930555555</v>
      </c>
      <c r="U1429" s="60" t="n">
        <v>101257</v>
      </c>
      <c r="W1429" t="inlineStr">
        <is>
          <t>sem correspondência</t>
        </is>
      </c>
      <c r="Y1429" t="inlineStr"/>
    </row>
    <row r="1430" ht="18" customHeight="1">
      <c r="A1430" s="54" t="inlineStr">
        <is>
          <t>Oliverhome</t>
        </is>
      </c>
      <c r="B1430" s="54" t="inlineStr">
        <is>
          <t>Chaleira Elétrica OliverHome 110/220v Inox 1,8L Térmica Ferve Água Rápido Desligamento Automático</t>
        </is>
      </c>
      <c r="C1430" s="54" t="inlineStr">
        <is>
          <t>1.5 L - BRANCO- 110V</t>
        </is>
      </c>
      <c r="D1430" s="54" t="inlineStr">
        <is>
          <t>CHALEIRA-BRANCO-110V</t>
        </is>
      </c>
      <c r="E1430" s="54" t="n">
        <v>52014471762</v>
      </c>
      <c r="F1430" s="54" t="n">
        <v>292805253047</v>
      </c>
      <c r="G1430" s="54" t="inlineStr">
        <is>
          <t>NORMAL</t>
        </is>
      </c>
      <c r="H1430" s="86" t="n">
        <v>89.90000000000001</v>
      </c>
      <c r="I1430" s="86" t="n">
        <v>54.89</v>
      </c>
      <c r="J1430" s="56" t="inlineStr">
        <is>
          <t>SIM</t>
        </is>
      </c>
      <c r="K1430" s="86" t="n">
        <v>54.89</v>
      </c>
      <c r="L1430" s="87" t="n">
        <v>54.89</v>
      </c>
      <c r="M1430" s="88" t="n">
        <v>1</v>
      </c>
      <c r="N1430" s="89" t="n">
        <v>16.85</v>
      </c>
      <c r="O1430" s="89">
        <f>ROUND(M1430*N1430,2)</f>
        <v/>
      </c>
      <c r="P1430" s="90">
        <f>IF($O1430="","",L1430-O1430-(L1430*IF(L1430&lt;=79.99,20%,14%)+IF(L1430&lt;=79.99,4,IF(L1430&lt;=99.99,16,IF(L1430&lt;=199.99,20,IF(L1430&lt;=499.99,26,28)))))-L1430*1.3%-L1430*6%-(L1430-O1430)*9.25%-L1430*3%-L1430*3%-1)</f>
        <v/>
      </c>
      <c r="Q1430" s="58" t="n">
        <v>0.389</v>
      </c>
      <c r="R1430" s="54" t="n">
        <v>489574396802176</v>
      </c>
      <c r="S1430" s="59" t="n">
        <v>46240.52083333334</v>
      </c>
      <c r="T1430" s="59" t="n">
        <v>46353.5625</v>
      </c>
      <c r="U1430" s="54" t="n">
        <v>100191</v>
      </c>
      <c r="V1430" t="inlineStr">
        <is>
          <t>213859</t>
        </is>
      </c>
      <c r="W1430" t="inlineStr">
        <is>
          <t>SKU do de-para</t>
        </is>
      </c>
      <c r="X1430" t="n">
        <v>168</v>
      </c>
      <c r="Y1430" t="inlineStr">
        <is>
          <t>ok</t>
        </is>
      </c>
    </row>
    <row r="1431" ht="18" customHeight="1">
      <c r="A1431" s="60" t="inlineStr">
        <is>
          <t>Oliverhome</t>
        </is>
      </c>
      <c r="B1431" s="60" t="inlineStr">
        <is>
          <t>Chaleira Elétrica OliverHome 110/220v Inox 1,8L Térmica Ferve Água Rápido Desligamento Automático</t>
        </is>
      </c>
      <c r="C1431" s="60" t="inlineStr">
        <is>
          <t>1.5 L - BRANCO- 220V</t>
        </is>
      </c>
      <c r="D1431" s="60" t="inlineStr">
        <is>
          <t>CHALEIRA-BRANCO-220V</t>
        </is>
      </c>
      <c r="E1431" s="60" t="n">
        <v>52014471762</v>
      </c>
      <c r="F1431" s="60" t="n">
        <v>292805253048</v>
      </c>
      <c r="G1431" s="60" t="inlineStr">
        <is>
          <t>NORMAL</t>
        </is>
      </c>
      <c r="H1431" s="91" t="n">
        <v>89.90000000000001</v>
      </c>
      <c r="I1431" s="91" t="n">
        <v>54.89</v>
      </c>
      <c r="J1431" s="65" t="inlineStr">
        <is>
          <t>SIM</t>
        </is>
      </c>
      <c r="K1431" s="91" t="n">
        <v>54.89</v>
      </c>
      <c r="L1431" s="87" t="n">
        <v>54.89</v>
      </c>
      <c r="M1431" s="88" t="n">
        <v>1</v>
      </c>
      <c r="N1431" s="89" t="n">
        <v>16.85</v>
      </c>
      <c r="O1431" s="89">
        <f>ROUND(M1431*N1431,2)</f>
        <v/>
      </c>
      <c r="P1431" s="92">
        <f>IF($O1431="","",L1431-O1431-(L1431*IF(L1431&lt;=79.99,20%,14%)+IF(L1431&lt;=79.99,4,IF(L1431&lt;=99.99,16,IF(L1431&lt;=199.99,20,IF(L1431&lt;=499.99,26,28)))))-L1431*1.3%-L1431*6%-(L1431-O1431)*9.25%-L1431*3%-L1431*3%-1)</f>
        <v/>
      </c>
      <c r="Q1431" s="67" t="n">
        <v>0.389</v>
      </c>
      <c r="R1431" s="60" t="n">
        <v>489574396802176</v>
      </c>
      <c r="S1431" s="68" t="n">
        <v>46240.52083333334</v>
      </c>
      <c r="T1431" s="68" t="n">
        <v>46353.5625</v>
      </c>
      <c r="U1431" s="60" t="n">
        <v>100191</v>
      </c>
      <c r="V1431" t="inlineStr">
        <is>
          <t>213861</t>
        </is>
      </c>
      <c r="W1431" t="inlineStr">
        <is>
          <t>SKU do de-para</t>
        </is>
      </c>
      <c r="X1431" t="n">
        <v>199</v>
      </c>
      <c r="Y1431" t="inlineStr">
        <is>
          <t>ok</t>
        </is>
      </c>
    </row>
    <row r="1432" ht="18" customHeight="1">
      <c r="A1432" s="54" t="inlineStr">
        <is>
          <t>Oliverhome</t>
        </is>
      </c>
      <c r="B1432" s="54" t="inlineStr">
        <is>
          <t>Chaleira Elétrica OliverHome 110/220v Inox 1,8L Térmica Ferve Água Rápido Desligamento Automático</t>
        </is>
      </c>
      <c r="C1432" s="54" t="inlineStr">
        <is>
          <t>1.5 L - PRETO- 110V</t>
        </is>
      </c>
      <c r="D1432" s="54" t="inlineStr">
        <is>
          <t>CHALEIRA-PRETO-110V</t>
        </is>
      </c>
      <c r="E1432" s="54" t="n">
        <v>52014471762</v>
      </c>
      <c r="F1432" s="54" t="n">
        <v>292805253049</v>
      </c>
      <c r="G1432" s="54" t="inlineStr">
        <is>
          <t>NORMAL</t>
        </is>
      </c>
      <c r="H1432" s="86" t="n">
        <v>89.90000000000001</v>
      </c>
      <c r="I1432" s="86" t="n">
        <v>54.89</v>
      </c>
      <c r="J1432" s="56" t="inlineStr">
        <is>
          <t>SIM</t>
        </is>
      </c>
      <c r="K1432" s="86" t="n">
        <v>54.89</v>
      </c>
      <c r="L1432" s="87" t="n">
        <v>54.89</v>
      </c>
      <c r="M1432" s="88" t="n">
        <v>1</v>
      </c>
      <c r="N1432" s="89" t="n">
        <v>16.85</v>
      </c>
      <c r="O1432" s="89">
        <f>ROUND(M1432*N1432,2)</f>
        <v/>
      </c>
      <c r="P1432" s="90">
        <f>IF($O1432="","",L1432-O1432-(L1432*IF(L1432&lt;=79.99,20%,14%)+IF(L1432&lt;=79.99,4,IF(L1432&lt;=99.99,16,IF(L1432&lt;=199.99,20,IF(L1432&lt;=499.99,26,28)))))-L1432*1.3%-L1432*6%-(L1432-O1432)*9.25%-L1432*3%-L1432*3%-1)</f>
        <v/>
      </c>
      <c r="Q1432" s="58" t="n">
        <v>0.389</v>
      </c>
      <c r="R1432" s="54" t="n">
        <v>489574396802176</v>
      </c>
      <c r="S1432" s="59" t="n">
        <v>46240.52083333334</v>
      </c>
      <c r="T1432" s="59" t="n">
        <v>46353.5625</v>
      </c>
      <c r="U1432" s="54" t="n">
        <v>100191</v>
      </c>
      <c r="V1432" t="inlineStr">
        <is>
          <t>213860</t>
        </is>
      </c>
      <c r="W1432" t="inlineStr">
        <is>
          <t>SKU do de-para</t>
        </is>
      </c>
      <c r="X1432" t="n">
        <v>228</v>
      </c>
      <c r="Y1432" t="inlineStr">
        <is>
          <t>ok</t>
        </is>
      </c>
    </row>
    <row r="1433" ht="18" customHeight="1">
      <c r="A1433" s="60" t="inlineStr">
        <is>
          <t>Oliverhome</t>
        </is>
      </c>
      <c r="B1433" s="60" t="inlineStr">
        <is>
          <t>Chaleira Elétrica OliverHome 110/220v Inox 1,8L Térmica Ferve Água Rápido Desligamento Automático</t>
        </is>
      </c>
      <c r="C1433" s="60" t="inlineStr">
        <is>
          <t>1.5 L - PRETO- 220V</t>
        </is>
      </c>
      <c r="D1433" s="60" t="inlineStr">
        <is>
          <t>CHALEIRA-PRETO-220V</t>
        </is>
      </c>
      <c r="E1433" s="60" t="n">
        <v>52014471762</v>
      </c>
      <c r="F1433" s="60" t="n">
        <v>292805253050</v>
      </c>
      <c r="G1433" s="60" t="inlineStr">
        <is>
          <t>NORMAL</t>
        </is>
      </c>
      <c r="H1433" s="91" t="n">
        <v>89.90000000000001</v>
      </c>
      <c r="I1433" s="91" t="n">
        <v>54.89</v>
      </c>
      <c r="J1433" s="65" t="inlineStr">
        <is>
          <t>SIM</t>
        </is>
      </c>
      <c r="K1433" s="91" t="n">
        <v>54.89</v>
      </c>
      <c r="L1433" s="87" t="n">
        <v>54.89</v>
      </c>
      <c r="M1433" s="88" t="n">
        <v>1</v>
      </c>
      <c r="N1433" s="89" t="n">
        <v>16.85</v>
      </c>
      <c r="O1433" s="89">
        <f>ROUND(M1433*N1433,2)</f>
        <v/>
      </c>
      <c r="P1433" s="92">
        <f>IF($O1433="","",L1433-O1433-(L1433*IF(L1433&lt;=79.99,20%,14%)+IF(L1433&lt;=79.99,4,IF(L1433&lt;=99.99,16,IF(L1433&lt;=199.99,20,IF(L1433&lt;=499.99,26,28)))))-L1433*1.3%-L1433*6%-(L1433-O1433)*9.25%-L1433*3%-L1433*3%-1)</f>
        <v/>
      </c>
      <c r="Q1433" s="67" t="n">
        <v>0.389</v>
      </c>
      <c r="R1433" s="60" t="n">
        <v>489574396802176</v>
      </c>
      <c r="S1433" s="68" t="n">
        <v>46240.52083333334</v>
      </c>
      <c r="T1433" s="68" t="n">
        <v>46353.5625</v>
      </c>
      <c r="U1433" s="60" t="n">
        <v>100191</v>
      </c>
      <c r="V1433" t="inlineStr">
        <is>
          <t>213862</t>
        </is>
      </c>
      <c r="W1433" t="inlineStr">
        <is>
          <t>SKU do de-para</t>
        </is>
      </c>
      <c r="X1433" t="n">
        <v>231</v>
      </c>
      <c r="Y1433" t="inlineStr">
        <is>
          <t>ok</t>
        </is>
      </c>
    </row>
    <row r="1434" ht="18" customHeight="1">
      <c r="A1434" s="54" t="inlineStr">
        <is>
          <t>Oliverhome</t>
        </is>
      </c>
      <c r="B1434" s="54" t="inlineStr">
        <is>
          <t>Chaleira Elétrica OliverHome 110/220v Inox 1,8L Térmica Ferve Água Rápido Desligamento Automático</t>
        </is>
      </c>
      <c r="C1434" s="54" t="inlineStr">
        <is>
          <t>1.8 L - INOX - 110V</t>
        </is>
      </c>
      <c r="D1434" s="54" t="inlineStr">
        <is>
          <t>CHALEIRA-110V</t>
        </is>
      </c>
      <c r="E1434" s="54" t="n">
        <v>52014471762</v>
      </c>
      <c r="F1434" s="54" t="n">
        <v>292805253045</v>
      </c>
      <c r="G1434" s="54" t="inlineStr">
        <is>
          <t>NORMAL</t>
        </is>
      </c>
      <c r="H1434" s="86" t="n">
        <v>89.90000000000001</v>
      </c>
      <c r="I1434" s="86" t="n">
        <v>89.90000000000001</v>
      </c>
      <c r="J1434" s="69" t="inlineStr">
        <is>
          <t>NÃO</t>
        </is>
      </c>
      <c r="K1434" s="54" t="n"/>
      <c r="L1434" s="87" t="n">
        <v>89.90000000000001</v>
      </c>
      <c r="M1434" s="88" t="n">
        <v>1</v>
      </c>
      <c r="N1434" s="89" t="n">
        <v>14.43</v>
      </c>
      <c r="O1434" s="89">
        <f>ROUND(M1434*N1434,2)</f>
        <v/>
      </c>
      <c r="P1434" s="90">
        <f>IF($O1434="","",L1434-O1434-(L1434*IF(L1434&lt;=79.99,20%,14%)+IF(L1434&lt;=79.99,4,IF(L1434&lt;=99.99,16,IF(L1434&lt;=199.99,20,IF(L1434&lt;=499.99,26,28)))))-L1434*1.3%-L1434*6%-(L1434-O1434)*9.25%-L1434*3%-L1434*3%-1)</f>
        <v/>
      </c>
      <c r="Q1434" s="54">
        <f>IF(AND(K1434&lt;&gt;"",H1434&gt;0),(H1434-K1434)/H1434,"")</f>
        <v/>
      </c>
      <c r="R1434" s="54" t="n"/>
      <c r="S1434" s="54" t="n"/>
      <c r="T1434" s="54" t="n"/>
      <c r="U1434" s="54" t="n">
        <v>100191</v>
      </c>
      <c r="V1434" t="inlineStr">
        <is>
          <t>213986</t>
        </is>
      </c>
      <c r="W1434" t="inlineStr">
        <is>
          <t>SKU do de-para</t>
        </is>
      </c>
      <c r="X1434" t="n">
        <v>451</v>
      </c>
      <c r="Y1434" t="inlineStr">
        <is>
          <t>ok</t>
        </is>
      </c>
    </row>
    <row r="1435" ht="18" customHeight="1">
      <c r="A1435" s="60" t="inlineStr">
        <is>
          <t>Oliverhome</t>
        </is>
      </c>
      <c r="B1435" s="60" t="inlineStr">
        <is>
          <t>Chaleira Elétrica OliverHome 110/220v Inox 1,8L Térmica Ferve Água Rápido Desligamento Automático</t>
        </is>
      </c>
      <c r="C1435" s="60" t="inlineStr">
        <is>
          <t>1.8 L - INOX - 220V</t>
        </is>
      </c>
      <c r="D1435" s="60" t="inlineStr">
        <is>
          <t>CHALEIRA-220V</t>
        </is>
      </c>
      <c r="E1435" s="60" t="n">
        <v>52014471762</v>
      </c>
      <c r="F1435" s="60" t="n">
        <v>292805253046</v>
      </c>
      <c r="G1435" s="60" t="inlineStr">
        <is>
          <t>NORMAL</t>
        </is>
      </c>
      <c r="H1435" s="91" t="n">
        <v>89.90000000000001</v>
      </c>
      <c r="I1435" s="91" t="n">
        <v>43.53</v>
      </c>
      <c r="J1435" s="65" t="inlineStr">
        <is>
          <t>SIM</t>
        </is>
      </c>
      <c r="K1435" s="91" t="n">
        <v>43.53</v>
      </c>
      <c r="L1435" s="87" t="n">
        <v>43.53</v>
      </c>
      <c r="M1435" s="88" t="n">
        <v>1</v>
      </c>
      <c r="N1435" s="89" t="n">
        <v>14.43</v>
      </c>
      <c r="O1435" s="89">
        <f>ROUND(M1435*N1435,2)</f>
        <v/>
      </c>
      <c r="P1435" s="92">
        <f>IF($O1435="","",L1435-O1435-(L1435*IF(L1435&lt;=79.99,20%,14%)+IF(L1435&lt;=79.99,4,IF(L1435&lt;=99.99,16,IF(L1435&lt;=199.99,20,IF(L1435&lt;=499.99,26,28)))))-L1435*1.3%-L1435*6%-(L1435-O1435)*9.25%-L1435*3%-L1435*3%-1)</f>
        <v/>
      </c>
      <c r="Q1435" s="67" t="n">
        <v>0.516</v>
      </c>
      <c r="R1435" s="60" t="n">
        <v>489574396802176</v>
      </c>
      <c r="S1435" s="68" t="n">
        <v>46240.52083333334</v>
      </c>
      <c r="T1435" s="68" t="n">
        <v>46353.5625</v>
      </c>
      <c r="U1435" s="60" t="n">
        <v>100191</v>
      </c>
      <c r="V1435" t="inlineStr">
        <is>
          <t>213987</t>
        </is>
      </c>
      <c r="W1435" t="inlineStr">
        <is>
          <t>SKU do de-para</t>
        </is>
      </c>
      <c r="X1435" t="n">
        <v>1164</v>
      </c>
      <c r="Y1435" t="inlineStr">
        <is>
          <t>ok</t>
        </is>
      </c>
    </row>
    <row r="1436" ht="18" customHeight="1">
      <c r="A1436" s="54" t="inlineStr">
        <is>
          <t>Oliverhome</t>
        </is>
      </c>
      <c r="B1436" s="54" t="inlineStr">
        <is>
          <t>Chaleira Elétrica Térmica Moderno 1.5 L preta e branca 110V/220v OliverHome</t>
        </is>
      </c>
      <c r="C1436" s="54" t="inlineStr">
        <is>
          <t>Branco,110V</t>
        </is>
      </c>
      <c r="D1436" s="54" t="inlineStr">
        <is>
          <t>CHALEIRA-TERMICA-BRANCA-110V</t>
        </is>
      </c>
      <c r="E1436" s="54" t="n">
        <v>56814466885</v>
      </c>
      <c r="F1436" s="54" t="n">
        <v>272805227416</v>
      </c>
      <c r="G1436" s="54" t="inlineStr">
        <is>
          <t>NORMAL</t>
        </is>
      </c>
      <c r="H1436" s="86" t="n">
        <v>89.90000000000001</v>
      </c>
      <c r="I1436" s="86" t="n">
        <v>54.89</v>
      </c>
      <c r="J1436" s="56" t="inlineStr">
        <is>
          <t>SIM</t>
        </is>
      </c>
      <c r="K1436" s="86" t="n">
        <v>54.89</v>
      </c>
      <c r="L1436" s="87" t="n">
        <v>54.89</v>
      </c>
      <c r="M1436" s="88" t="n">
        <v>1</v>
      </c>
      <c r="N1436" s="89" t="n">
        <v>16.85</v>
      </c>
      <c r="O1436" s="89">
        <f>ROUND(M1436*N1436,2)</f>
        <v/>
      </c>
      <c r="P1436" s="90">
        <f>IF($O1436="","",L1436-O1436-(L1436*IF(L1436&lt;=79.99,20%,14%)+IF(L1436&lt;=79.99,4,IF(L1436&lt;=99.99,16,IF(L1436&lt;=199.99,20,IF(L1436&lt;=499.99,26,28)))))-L1436*1.3%-L1436*6%-(L1436-O1436)*9.25%-L1436*3%-L1436*3%-1)</f>
        <v/>
      </c>
      <c r="Q1436" s="58" t="n">
        <v>0.389</v>
      </c>
      <c r="R1436" s="54" t="n">
        <v>489574396802176</v>
      </c>
      <c r="S1436" s="59" t="n">
        <v>46240.52083333334</v>
      </c>
      <c r="T1436" s="59" t="n">
        <v>46353.5625</v>
      </c>
      <c r="U1436" s="54" t="n">
        <v>100191</v>
      </c>
      <c r="V1436" t="inlineStr">
        <is>
          <t>213859</t>
        </is>
      </c>
      <c r="W1436" t="inlineStr">
        <is>
          <t>venda casada (27 pedidos)</t>
        </is>
      </c>
      <c r="X1436" t="n">
        <v>27</v>
      </c>
      <c r="Y1436" t="inlineStr">
        <is>
          <t>ok</t>
        </is>
      </c>
    </row>
    <row r="1437" ht="18" customHeight="1">
      <c r="A1437" s="60" t="inlineStr">
        <is>
          <t>Oliverhome</t>
        </is>
      </c>
      <c r="B1437" s="60" t="inlineStr">
        <is>
          <t>Chaleira Elétrica Térmica Moderno 1.5 L preta e branca 110V/220v OliverHome</t>
        </is>
      </c>
      <c r="C1437" s="60" t="inlineStr">
        <is>
          <t>Branco,220V</t>
        </is>
      </c>
      <c r="D1437" s="60" t="inlineStr">
        <is>
          <t>CHALEIRA-TERMICA-BRANCA-220V</t>
        </is>
      </c>
      <c r="E1437" s="60" t="n">
        <v>56814466885</v>
      </c>
      <c r="F1437" s="60" t="n">
        <v>361245008663</v>
      </c>
      <c r="G1437" s="60" t="inlineStr">
        <is>
          <t>NORMAL</t>
        </is>
      </c>
      <c r="H1437" s="91" t="n">
        <v>89.90000000000001</v>
      </c>
      <c r="I1437" s="91" t="n">
        <v>54.89</v>
      </c>
      <c r="J1437" s="65" t="inlineStr">
        <is>
          <t>SIM</t>
        </is>
      </c>
      <c r="K1437" s="91" t="n">
        <v>54.89</v>
      </c>
      <c r="L1437" s="87" t="n">
        <v>54.89</v>
      </c>
      <c r="M1437" s="88" t="n">
        <v>1</v>
      </c>
      <c r="N1437" s="89" t="n">
        <v>16.85</v>
      </c>
      <c r="O1437" s="89">
        <f>ROUND(M1437*N1437,2)</f>
        <v/>
      </c>
      <c r="P1437" s="92">
        <f>IF($O1437="","",L1437-O1437-(L1437*IF(L1437&lt;=79.99,20%,14%)+IF(L1437&lt;=79.99,4,IF(L1437&lt;=99.99,16,IF(L1437&lt;=199.99,20,IF(L1437&lt;=499.99,26,28)))))-L1437*1.3%-L1437*6%-(L1437-O1437)*9.25%-L1437*3%-L1437*3%-1)</f>
        <v/>
      </c>
      <c r="Q1437" s="67" t="n">
        <v>0.389</v>
      </c>
      <c r="R1437" s="60" t="n">
        <v>489574396802176</v>
      </c>
      <c r="S1437" s="68" t="n">
        <v>46240.52083333334</v>
      </c>
      <c r="T1437" s="68" t="n">
        <v>46353.5625</v>
      </c>
      <c r="U1437" s="60" t="n">
        <v>100191</v>
      </c>
      <c r="V1437" t="inlineStr">
        <is>
          <t>213861</t>
        </is>
      </c>
      <c r="W1437" t="inlineStr">
        <is>
          <t>venda casada (18 pedidos)</t>
        </is>
      </c>
      <c r="X1437" t="n">
        <v>18</v>
      </c>
      <c r="Y1437" t="inlineStr">
        <is>
          <t>ok</t>
        </is>
      </c>
    </row>
    <row r="1438" ht="18" customHeight="1">
      <c r="A1438" s="54" t="inlineStr">
        <is>
          <t>Oliverhome</t>
        </is>
      </c>
      <c r="B1438" s="54" t="inlineStr">
        <is>
          <t>Chaleira Elétrica Térmica Moderno 1.5 L preta e branca 110V/220v OliverHome</t>
        </is>
      </c>
      <c r="C1438" s="54" t="inlineStr">
        <is>
          <t>Preto,110V</t>
        </is>
      </c>
      <c r="D1438" s="54" t="inlineStr">
        <is>
          <t>CHALEIRA-TERMICA-PRETO-110V</t>
        </is>
      </c>
      <c r="E1438" s="54" t="n">
        <v>56814466885</v>
      </c>
      <c r="F1438" s="54" t="n">
        <v>361245008664</v>
      </c>
      <c r="G1438" s="54" t="inlineStr">
        <is>
          <t>NORMAL</t>
        </is>
      </c>
      <c r="H1438" s="86" t="n">
        <v>89.90000000000001</v>
      </c>
      <c r="I1438" s="86" t="n">
        <v>54.89</v>
      </c>
      <c r="J1438" s="56" t="inlineStr">
        <is>
          <t>SIM</t>
        </is>
      </c>
      <c r="K1438" s="86" t="n">
        <v>54.89</v>
      </c>
      <c r="L1438" s="87" t="n">
        <v>54.89</v>
      </c>
      <c r="M1438" s="88" t="n">
        <v>1</v>
      </c>
      <c r="N1438" s="89" t="n">
        <v>16.85</v>
      </c>
      <c r="O1438" s="89">
        <f>ROUND(M1438*N1438,2)</f>
        <v/>
      </c>
      <c r="P1438" s="90">
        <f>IF($O1438="","",L1438-O1438-(L1438*IF(L1438&lt;=79.99,20%,14%)+IF(L1438&lt;=79.99,4,IF(L1438&lt;=99.99,16,IF(L1438&lt;=199.99,20,IF(L1438&lt;=499.99,26,28)))))-L1438*1.3%-L1438*6%-(L1438-O1438)*9.25%-L1438*3%-L1438*3%-1)</f>
        <v/>
      </c>
      <c r="Q1438" s="58" t="n">
        <v>0.389</v>
      </c>
      <c r="R1438" s="54" t="n">
        <v>489574396802176</v>
      </c>
      <c r="S1438" s="59" t="n">
        <v>46240.52083333334</v>
      </c>
      <c r="T1438" s="59" t="n">
        <v>46353.5625</v>
      </c>
      <c r="U1438" s="54" t="n">
        <v>100191</v>
      </c>
      <c r="V1438" t="inlineStr">
        <is>
          <t>213860</t>
        </is>
      </c>
      <c r="W1438" t="inlineStr">
        <is>
          <t>venda casada (57 pedidos)</t>
        </is>
      </c>
      <c r="X1438" t="n">
        <v>57</v>
      </c>
      <c r="Y1438" t="inlineStr">
        <is>
          <t>ok</t>
        </is>
      </c>
    </row>
    <row r="1439" ht="18" customHeight="1">
      <c r="A1439" s="60" t="inlineStr">
        <is>
          <t>Oliverhome</t>
        </is>
      </c>
      <c r="B1439" s="60" t="inlineStr">
        <is>
          <t>Chaleira Elétrica Térmica Moderno 1.5 L preta e branca 110V/220v OliverHome</t>
        </is>
      </c>
      <c r="C1439" s="60" t="inlineStr">
        <is>
          <t>Preto,220V</t>
        </is>
      </c>
      <c r="D1439" s="60" t="inlineStr">
        <is>
          <t>CHALEIRA-TERMICA-PRETO-220V</t>
        </is>
      </c>
      <c r="E1439" s="60" t="n">
        <v>56814466885</v>
      </c>
      <c r="F1439" s="60" t="n">
        <v>361245008665</v>
      </c>
      <c r="G1439" s="60" t="inlineStr">
        <is>
          <t>NORMAL</t>
        </is>
      </c>
      <c r="H1439" s="91" t="n">
        <v>89.90000000000001</v>
      </c>
      <c r="I1439" s="91" t="n">
        <v>54.89</v>
      </c>
      <c r="J1439" s="65" t="inlineStr">
        <is>
          <t>SIM</t>
        </is>
      </c>
      <c r="K1439" s="91" t="n">
        <v>54.89</v>
      </c>
      <c r="L1439" s="87" t="n">
        <v>54.89</v>
      </c>
      <c r="M1439" s="88" t="n">
        <v>1</v>
      </c>
      <c r="N1439" s="89" t="n">
        <v>16.85</v>
      </c>
      <c r="O1439" s="89">
        <f>ROUND(M1439*N1439,2)</f>
        <v/>
      </c>
      <c r="P1439" s="92">
        <f>IF($O1439="","",L1439-O1439-(L1439*IF(L1439&lt;=79.99,20%,14%)+IF(L1439&lt;=79.99,4,IF(L1439&lt;=99.99,16,IF(L1439&lt;=199.99,20,IF(L1439&lt;=499.99,26,28)))))-L1439*1.3%-L1439*6%-(L1439-O1439)*9.25%-L1439*3%-L1439*3%-1)</f>
        <v/>
      </c>
      <c r="Q1439" s="67" t="n">
        <v>0.389</v>
      </c>
      <c r="R1439" s="60" t="n">
        <v>489574396802176</v>
      </c>
      <c r="S1439" s="68" t="n">
        <v>46240.52083333334</v>
      </c>
      <c r="T1439" s="68" t="n">
        <v>46353.5625</v>
      </c>
      <c r="U1439" s="60" t="n">
        <v>100191</v>
      </c>
      <c r="V1439" t="inlineStr">
        <is>
          <t>213862</t>
        </is>
      </c>
      <c r="W1439" t="inlineStr">
        <is>
          <t>venda casada (46 pedidos)</t>
        </is>
      </c>
      <c r="X1439" t="n">
        <v>46</v>
      </c>
      <c r="Y1439" t="inlineStr">
        <is>
          <t>ok</t>
        </is>
      </c>
    </row>
    <row r="1440" ht="18" customHeight="1">
      <c r="A1440" s="54" t="inlineStr">
        <is>
          <t>Oliverhome</t>
        </is>
      </c>
      <c r="B1440" s="54" t="inlineStr">
        <is>
          <t>Chaleira Elétrica Térmica Oliver Home Inox 1.8 Litros Com Tampa 110v E 220v</t>
        </is>
      </c>
      <c r="C1440" s="54" t="inlineStr">
        <is>
          <t>110V</t>
        </is>
      </c>
      <c r="D1440" s="54" t="inlineStr">
        <is>
          <t>CHALEIRA-110V</t>
        </is>
      </c>
      <c r="E1440" s="54" t="n">
        <v>23898886790</v>
      </c>
      <c r="F1440" s="54" t="n">
        <v>179720465632</v>
      </c>
      <c r="G1440" s="54" t="inlineStr">
        <is>
          <t>NORMAL</t>
        </is>
      </c>
      <c r="H1440" s="86" t="n">
        <v>99.90000000000001</v>
      </c>
      <c r="I1440" s="86" t="n">
        <v>47.9</v>
      </c>
      <c r="J1440" s="56" t="inlineStr">
        <is>
          <t>SIM</t>
        </is>
      </c>
      <c r="K1440" s="86" t="n">
        <v>47.9</v>
      </c>
      <c r="L1440" s="87" t="n">
        <v>47.9</v>
      </c>
      <c r="M1440" s="88" t="n">
        <v>1</v>
      </c>
      <c r="N1440" s="89" t="n">
        <v>14.43</v>
      </c>
      <c r="O1440" s="89">
        <f>ROUND(M1440*N1440,2)</f>
        <v/>
      </c>
      <c r="P1440" s="90">
        <f>IF($O1440="","",L1440-O1440-(L1440*IF(L1440&lt;=79.99,20%,14%)+IF(L1440&lt;=79.99,4,IF(L1440&lt;=99.99,16,IF(L1440&lt;=199.99,20,IF(L1440&lt;=499.99,26,28)))))-L1440*1.3%-L1440*6%-(L1440-O1440)*9.25%-L1440*3%-L1440*3%-1)</f>
        <v/>
      </c>
      <c r="Q1440" s="58" t="n">
        <v>0.521</v>
      </c>
      <c r="R1440" s="54" t="n">
        <v>478840979931317</v>
      </c>
      <c r="S1440" s="59" t="n">
        <v>46248</v>
      </c>
      <c r="T1440" s="59" t="n">
        <v>46248.99930555555</v>
      </c>
      <c r="U1440" s="54" t="n">
        <v>100191</v>
      </c>
      <c r="V1440" t="inlineStr">
        <is>
          <t>213986</t>
        </is>
      </c>
      <c r="W1440" t="inlineStr">
        <is>
          <t>venda casada (77 pedidos)</t>
        </is>
      </c>
      <c r="X1440" t="n">
        <v>77</v>
      </c>
      <c r="Y1440" t="inlineStr">
        <is>
          <t>ok</t>
        </is>
      </c>
    </row>
    <row r="1441" ht="18" customHeight="1">
      <c r="A1441" s="60" t="inlineStr">
        <is>
          <t>Oliverhome</t>
        </is>
      </c>
      <c r="B1441" s="60" t="inlineStr">
        <is>
          <t>Chaleira Elétrica Térmica Oliver Home Inox 1.8 Litros Com Tampa 110v E 220v</t>
        </is>
      </c>
      <c r="C1441" s="60" t="inlineStr">
        <is>
          <t>220V</t>
        </is>
      </c>
      <c r="D1441" s="60" t="inlineStr">
        <is>
          <t>CHALEIRA-220V</t>
        </is>
      </c>
      <c r="E1441" s="60" t="n">
        <v>23898886790</v>
      </c>
      <c r="F1441" s="60" t="n">
        <v>179720465631</v>
      </c>
      <c r="G1441" s="60" t="inlineStr">
        <is>
          <t>NORMAL</t>
        </is>
      </c>
      <c r="H1441" s="91" t="n">
        <v>99.90000000000001</v>
      </c>
      <c r="I1441" s="91" t="n">
        <v>47.9</v>
      </c>
      <c r="J1441" s="65" t="inlineStr">
        <is>
          <t>SIM</t>
        </is>
      </c>
      <c r="K1441" s="91" t="n">
        <v>47.9</v>
      </c>
      <c r="L1441" s="87" t="n">
        <v>47.9</v>
      </c>
      <c r="M1441" s="88" t="n">
        <v>1</v>
      </c>
      <c r="N1441" s="89" t="n">
        <v>14.43</v>
      </c>
      <c r="O1441" s="89">
        <f>ROUND(M1441*N1441,2)</f>
        <v/>
      </c>
      <c r="P1441" s="92">
        <f>IF($O1441="","",L1441-O1441-(L1441*IF(L1441&lt;=79.99,20%,14%)+IF(L1441&lt;=79.99,4,IF(L1441&lt;=99.99,16,IF(L1441&lt;=199.99,20,IF(L1441&lt;=499.99,26,28)))))-L1441*1.3%-L1441*6%-(L1441-O1441)*9.25%-L1441*3%-L1441*3%-1)</f>
        <v/>
      </c>
      <c r="Q1441" s="67" t="n">
        <v>0.521</v>
      </c>
      <c r="R1441" s="60" t="n">
        <v>478840979931317</v>
      </c>
      <c r="S1441" s="68" t="n">
        <v>46248</v>
      </c>
      <c r="T1441" s="68" t="n">
        <v>46248.99930555555</v>
      </c>
      <c r="U1441" s="60" t="n">
        <v>100191</v>
      </c>
      <c r="V1441" t="inlineStr">
        <is>
          <t>213987</t>
        </is>
      </c>
      <c r="W1441" t="inlineStr">
        <is>
          <t>venda casada (96 pedidos)</t>
        </is>
      </c>
      <c r="X1441" t="n">
        <v>96</v>
      </c>
      <c r="Y1441" t="inlineStr">
        <is>
          <t>ok</t>
        </is>
      </c>
    </row>
    <row r="1442" ht="18" customHeight="1">
      <c r="A1442" s="54" t="inlineStr">
        <is>
          <t>Oliverhome</t>
        </is>
      </c>
      <c r="B1442" s="54" t="inlineStr">
        <is>
          <t>Conjunto Com 10 Potes Vidro 1040ml Hermético Marmita 4 Trava</t>
        </is>
      </c>
      <c r="C1442" s="54" t="inlineStr">
        <is>
          <t>Azul</t>
        </is>
      </c>
      <c r="D1442" s="54" t="inlineStr">
        <is>
          <t>Kit potes 10 un 1040ml azul</t>
        </is>
      </c>
      <c r="E1442" s="54" t="n">
        <v>22794053262</v>
      </c>
      <c r="F1442" s="54" t="n">
        <v>179717629645</v>
      </c>
      <c r="G1442" s="54" t="inlineStr">
        <is>
          <t>NORMAL</t>
        </is>
      </c>
      <c r="H1442" s="86" t="n">
        <v>289.9</v>
      </c>
      <c r="I1442" s="86" t="n">
        <v>289.9</v>
      </c>
      <c r="J1442" s="69" t="inlineStr">
        <is>
          <t>NÃO</t>
        </is>
      </c>
      <c r="K1442" s="54" t="n"/>
      <c r="L1442" s="87" t="n">
        <v>289.9</v>
      </c>
      <c r="M1442" s="88" t="n">
        <v>10</v>
      </c>
      <c r="N1442" s="89" t="n">
        <v>9.48</v>
      </c>
      <c r="O1442" s="89">
        <f>ROUND(M1442*N1442,2)</f>
        <v/>
      </c>
      <c r="P1442" s="90">
        <f>IF($O1442="","",L1442-O1442-(L1442*IF(L1442&lt;=79.99,20%,14%)+IF(L1442&lt;=79.99,4,IF(L1442&lt;=99.99,16,IF(L1442&lt;=199.99,20,IF(L1442&lt;=499.99,26,28)))))-L1442*1.3%-L1442*6%-(L1442-O1442)*9.25%-L1442*3%-L1442*3%-1)</f>
        <v/>
      </c>
      <c r="Q1442" s="54">
        <f>IF(AND(K1442&lt;&gt;"",H1442&gt;0),(H1442-K1442)/H1442,"")</f>
        <v/>
      </c>
      <c r="R1442" s="54" t="n"/>
      <c r="S1442" s="54" t="n"/>
      <c r="T1442" s="54" t="n"/>
      <c r="U1442" s="54" t="n">
        <v>101220</v>
      </c>
      <c r="V1442" t="inlineStr">
        <is>
          <t>213880</t>
        </is>
      </c>
      <c r="W1442" t="inlineStr">
        <is>
          <t>venda casada (2 pedidos) · custo do KIT 216009 (10× 213880)</t>
        </is>
      </c>
      <c r="X1442" t="n">
        <v>2</v>
      </c>
      <c r="Y1442" t="inlineStr">
        <is>
          <t>ok</t>
        </is>
      </c>
    </row>
    <row r="1443" ht="18" customHeight="1">
      <c r="A1443" s="60" t="inlineStr">
        <is>
          <t>Oliverhome</t>
        </is>
      </c>
      <c r="B1443" s="60" t="inlineStr">
        <is>
          <t>Conjunto Com 10 Potes Vidro 1040ml Hermético Marmita 4 Trava</t>
        </is>
      </c>
      <c r="C1443" s="60" t="inlineStr">
        <is>
          <t>Branco</t>
        </is>
      </c>
      <c r="D1443" s="60" t="inlineStr">
        <is>
          <t>Kit potes 10 un 1040ml branco</t>
        </is>
      </c>
      <c r="E1443" s="60" t="n">
        <v>22794053262</v>
      </c>
      <c r="F1443" s="60" t="n">
        <v>179717629644</v>
      </c>
      <c r="G1443" s="60" t="inlineStr">
        <is>
          <t>NORMAL</t>
        </is>
      </c>
      <c r="H1443" s="91" t="n">
        <v>289.9</v>
      </c>
      <c r="I1443" s="91" t="n">
        <v>289.9</v>
      </c>
      <c r="J1443" s="62" t="inlineStr">
        <is>
          <t>NÃO</t>
        </is>
      </c>
      <c r="K1443" s="60" t="inlineStr">
        <is>
          <t> </t>
        </is>
      </c>
      <c r="L1443" s="87" t="n">
        <v>289.9</v>
      </c>
      <c r="M1443" s="88" t="n">
        <v>10</v>
      </c>
      <c r="N1443" s="89" t="n">
        <v>9.48</v>
      </c>
      <c r="O1443" s="89">
        <f>ROUND(M1443*N1443,2)</f>
        <v/>
      </c>
      <c r="P1443" s="92">
        <f>IF($O1443="","",L1443-O1443-(L1443*IF(L1443&lt;=79.99,20%,14%)+IF(L1443&lt;=79.99,4,IF(L1443&lt;=99.99,16,IF(L1443&lt;=199.99,20,IF(L1443&lt;=499.99,26,28)))))-L1443*1.3%-L1443*6%-(L1443-O1443)*9.25%-L1443*3%-L1443*3%-1)</f>
        <v/>
      </c>
      <c r="Q1443" s="60" t="inlineStr">
        <is>
          <t> </t>
        </is>
      </c>
      <c r="R1443" s="60" t="inlineStr">
        <is>
          <t> </t>
        </is>
      </c>
      <c r="S1443" s="60" t="inlineStr">
        <is>
          <t> </t>
        </is>
      </c>
      <c r="T1443" s="60" t="inlineStr">
        <is>
          <t> </t>
        </is>
      </c>
      <c r="U1443" s="60" t="n">
        <v>101220</v>
      </c>
      <c r="V1443" t="inlineStr">
        <is>
          <t>213879</t>
        </is>
      </c>
      <c r="W1443" t="inlineStr">
        <is>
          <t>SKU do de-para · custo do KIT 216025 (10× 213879)</t>
        </is>
      </c>
      <c r="X1443" t="n">
        <v>236</v>
      </c>
      <c r="Y1443" t="inlineStr">
        <is>
          <t>ok</t>
        </is>
      </c>
    </row>
    <row r="1444" ht="18" customHeight="1">
      <c r="A1444" s="54" t="inlineStr">
        <is>
          <t>Oliverhome</t>
        </is>
      </c>
      <c r="B1444" s="54" t="inlineStr">
        <is>
          <t>Conjunto Com 10 Potes Vidro 1040ml Hermético Marmita 4 Trava</t>
        </is>
      </c>
      <c r="C1444" s="54" t="inlineStr">
        <is>
          <t>Sortido</t>
        </is>
      </c>
      <c r="D1444" s="54" t="inlineStr">
        <is>
          <t>Kit potes 10 un 1040ml sortido</t>
        </is>
      </c>
      <c r="E1444" s="54" t="n">
        <v>22794053262</v>
      </c>
      <c r="F1444" s="54" t="n">
        <v>179717629643</v>
      </c>
      <c r="G1444" s="54" t="inlineStr">
        <is>
          <t>NORMAL</t>
        </is>
      </c>
      <c r="H1444" s="86" t="n">
        <v>289.9</v>
      </c>
      <c r="I1444" s="86" t="n">
        <v>289.9</v>
      </c>
      <c r="J1444" s="69" t="inlineStr">
        <is>
          <t>NÃO</t>
        </is>
      </c>
      <c r="K1444" s="54" t="n"/>
      <c r="L1444" s="87" t="n">
        <v>289.9</v>
      </c>
      <c r="M1444" s="88" t="n">
        <v>10</v>
      </c>
      <c r="N1444" s="89" t="n">
        <v>9.48</v>
      </c>
      <c r="O1444" s="89">
        <f>ROUND(M1444*N1444,2)</f>
        <v/>
      </c>
      <c r="P1444" s="90">
        <f>IF($O1444="","",L1444-O1444-(L1444*IF(L1444&lt;=79.99,20%,14%)+IF(L1444&lt;=79.99,4,IF(L1444&lt;=99.99,16,IF(L1444&lt;=199.99,20,IF(L1444&lt;=499.99,26,28)))))-L1444*1.3%-L1444*6%-(L1444-O1444)*9.25%-L1444*3%-L1444*3%-1)</f>
        <v/>
      </c>
      <c r="Q1444" s="54">
        <f>IF(AND(K1444&lt;&gt;"",H1444&gt;0),(H1444-K1444)/H1444,"")</f>
        <v/>
      </c>
      <c r="R1444" s="54" t="n"/>
      <c r="S1444" s="54" t="n"/>
      <c r="T1444" s="54" t="n"/>
      <c r="U1444" s="54" t="n">
        <v>101220</v>
      </c>
      <c r="V1444" t="inlineStr">
        <is>
          <t>213879</t>
        </is>
      </c>
      <c r="W1444" t="inlineStr">
        <is>
          <t>SKU do de-para · custo do KIT 216025 (10× 213879)</t>
        </is>
      </c>
      <c r="X1444" t="n">
        <v>71</v>
      </c>
      <c r="Y1444" t="inlineStr">
        <is>
          <t>ok</t>
        </is>
      </c>
    </row>
    <row r="1445" ht="18" customHeight="1">
      <c r="A1445" s="60" t="inlineStr">
        <is>
          <t>Oliverhome</t>
        </is>
      </c>
      <c r="B1445" s="60" t="inlineStr">
        <is>
          <t>Conjunto Com 3 Potes Vidro 1040ml Hermético Marmita 4 Trava</t>
        </is>
      </c>
      <c r="C1445" s="60" t="inlineStr">
        <is>
          <t>Azul</t>
        </is>
      </c>
      <c r="D1445" s="60" t="inlineStr">
        <is>
          <t>Kit pote 3 un 1040ml azul</t>
        </is>
      </c>
      <c r="E1445" s="60" t="n">
        <v>22994052981</v>
      </c>
      <c r="F1445" s="60" t="n">
        <v>219175433875</v>
      </c>
      <c r="G1445" s="60" t="inlineStr">
        <is>
          <t>NORMAL</t>
        </is>
      </c>
      <c r="H1445" s="91" t="n">
        <v>109.9</v>
      </c>
      <c r="I1445" s="91" t="n">
        <v>109.9</v>
      </c>
      <c r="J1445" s="62" t="inlineStr">
        <is>
          <t>NÃO</t>
        </is>
      </c>
      <c r="K1445" s="60" t="inlineStr">
        <is>
          <t> </t>
        </is>
      </c>
      <c r="L1445" s="87" t="n">
        <v>109.9</v>
      </c>
      <c r="M1445" s="88" t="n">
        <v>3</v>
      </c>
      <c r="N1445" s="89" t="n">
        <v>9.48</v>
      </c>
      <c r="O1445" s="89">
        <f>ROUND(M1445*N1445,2)</f>
        <v/>
      </c>
      <c r="P1445" s="92">
        <f>IF($O1445="","",L1445-O1445-(L1445*IF(L1445&lt;=79.99,20%,14%)+IF(L1445&lt;=79.99,4,IF(L1445&lt;=99.99,16,IF(L1445&lt;=199.99,20,IF(L1445&lt;=499.99,26,28)))))-L1445*1.3%-L1445*6%-(L1445-O1445)*9.25%-L1445*3%-L1445*3%-1)</f>
        <v/>
      </c>
      <c r="Q1445" s="60" t="inlineStr">
        <is>
          <t> </t>
        </is>
      </c>
      <c r="R1445" s="60" t="inlineStr">
        <is>
          <t> </t>
        </is>
      </c>
      <c r="S1445" s="60" t="inlineStr">
        <is>
          <t> </t>
        </is>
      </c>
      <c r="T1445" s="60" t="inlineStr">
        <is>
          <t> </t>
        </is>
      </c>
      <c r="U1445" s="60" t="n">
        <v>101220</v>
      </c>
      <c r="V1445" t="inlineStr">
        <is>
          <t>213880</t>
        </is>
      </c>
      <c r="W1445" t="inlineStr">
        <is>
          <t>venda casada (5 pedidos) · custo do KIT 216005 (3× 213880)</t>
        </is>
      </c>
      <c r="X1445" t="n">
        <v>5</v>
      </c>
      <c r="Y1445" t="inlineStr">
        <is>
          <t>ok</t>
        </is>
      </c>
    </row>
    <row r="1446" ht="18" customHeight="1">
      <c r="A1446" s="54" t="inlineStr">
        <is>
          <t>Oliverhome</t>
        </is>
      </c>
      <c r="B1446" s="54" t="inlineStr">
        <is>
          <t>Conjunto Com 3 Potes Vidro 1040ml Hermético Marmita 4 Trava</t>
        </is>
      </c>
      <c r="C1446" s="54" t="inlineStr">
        <is>
          <t>Branco</t>
        </is>
      </c>
      <c r="D1446" s="54" t="inlineStr">
        <is>
          <t>Kit pote 3 un 1040ml branco</t>
        </is>
      </c>
      <c r="E1446" s="54" t="n">
        <v>22994052981</v>
      </c>
      <c r="F1446" s="54" t="n">
        <v>219175433877</v>
      </c>
      <c r="G1446" s="54" t="inlineStr">
        <is>
          <t>NORMAL</t>
        </is>
      </c>
      <c r="H1446" s="86" t="n">
        <v>109.9</v>
      </c>
      <c r="I1446" s="86" t="n">
        <v>109.9</v>
      </c>
      <c r="J1446" s="69" t="inlineStr">
        <is>
          <t>NÃO</t>
        </is>
      </c>
      <c r="K1446" s="54" t="n"/>
      <c r="L1446" s="87" t="n">
        <v>109.9</v>
      </c>
      <c r="M1446" s="88" t="n">
        <v>3</v>
      </c>
      <c r="N1446" s="89" t="n">
        <v>9.48</v>
      </c>
      <c r="O1446" s="89">
        <f>ROUND(M1446*N1446,2)</f>
        <v/>
      </c>
      <c r="P1446" s="90">
        <f>IF($O1446="","",L1446-O1446-(L1446*IF(L1446&lt;=79.99,20%,14%)+IF(L1446&lt;=79.99,4,IF(L1446&lt;=99.99,16,IF(L1446&lt;=199.99,20,IF(L1446&lt;=499.99,26,28)))))-L1446*1.3%-L1446*6%-(L1446-O1446)*9.25%-L1446*3%-L1446*3%-1)</f>
        <v/>
      </c>
      <c r="Q1446" s="54">
        <f>IF(AND(K1446&lt;&gt;"",H1446&gt;0),(H1446-K1446)/H1446,"")</f>
        <v/>
      </c>
      <c r="R1446" s="54" t="n"/>
      <c r="S1446" s="54" t="n"/>
      <c r="T1446" s="54" t="n"/>
      <c r="U1446" s="54" t="n">
        <v>101220</v>
      </c>
      <c r="V1446" t="inlineStr">
        <is>
          <t>213879</t>
        </is>
      </c>
      <c r="W1446" t="inlineStr">
        <is>
          <t>venda casada (5 pedidos) · custo do KIT 216021 (3× 213879)</t>
        </is>
      </c>
      <c r="X1446" t="n">
        <v>5</v>
      </c>
      <c r="Y1446" t="inlineStr">
        <is>
          <t>ok</t>
        </is>
      </c>
    </row>
    <row r="1447" ht="18" customHeight="1">
      <c r="A1447" s="60" t="inlineStr">
        <is>
          <t>Oliverhome</t>
        </is>
      </c>
      <c r="B1447" s="60" t="inlineStr">
        <is>
          <t>Conjunto Com 3 Potes Vidro 1040ml Hermético Marmita 4 Trava</t>
        </is>
      </c>
      <c r="C1447" s="60" t="inlineStr">
        <is>
          <t>Sortido</t>
        </is>
      </c>
      <c r="D1447" s="60" t="inlineStr">
        <is>
          <t>Kit pote 3 un 1040ml sortido</t>
        </is>
      </c>
      <c r="E1447" s="60" t="n">
        <v>22994052981</v>
      </c>
      <c r="F1447" s="60" t="n">
        <v>219175433876</v>
      </c>
      <c r="G1447" s="60" t="inlineStr">
        <is>
          <t>NORMAL</t>
        </is>
      </c>
      <c r="H1447" s="91" t="n">
        <v>109.9</v>
      </c>
      <c r="I1447" s="91" t="n">
        <v>109.9</v>
      </c>
      <c r="J1447" s="62" t="inlineStr">
        <is>
          <t>NÃO</t>
        </is>
      </c>
      <c r="K1447" s="60" t="inlineStr">
        <is>
          <t> </t>
        </is>
      </c>
      <c r="L1447" s="87" t="n">
        <v>109.9</v>
      </c>
      <c r="P1447" s="92">
        <f>IF($O1447="","",L1447-O1447-(L1447*IF(L1447&lt;=79.99,20%,14%)+IF(L1447&lt;=79.99,4,IF(L1447&lt;=99.99,16,IF(L1447&lt;=199.99,20,IF(L1447&lt;=499.99,26,28)))))-L1447*1.3%-L1447*6%-(L1447-O1447)*9.25%-L1447*3%-L1447*3%-1)</f>
        <v/>
      </c>
      <c r="Q1447" s="60" t="inlineStr">
        <is>
          <t> </t>
        </is>
      </c>
      <c r="R1447" s="60" t="inlineStr">
        <is>
          <t> </t>
        </is>
      </c>
      <c r="S1447" s="60" t="inlineStr">
        <is>
          <t> </t>
        </is>
      </c>
      <c r="T1447" s="60" t="inlineStr">
        <is>
          <t> </t>
        </is>
      </c>
      <c r="U1447" s="60" t="n">
        <v>101220</v>
      </c>
      <c r="W1447" t="inlineStr">
        <is>
          <t>sem correspondência</t>
        </is>
      </c>
      <c r="Y1447" t="inlineStr"/>
    </row>
    <row r="1448" ht="18" customHeight="1">
      <c r="A1448" s="54" t="inlineStr">
        <is>
          <t>Oliverhome</t>
        </is>
      </c>
      <c r="B1448" s="54" t="inlineStr">
        <is>
          <t>Conjunto Com 5 Potes Vidro 1040ml Hermético Marmita 4 Trava</t>
        </is>
      </c>
      <c r="C1448" s="54" t="inlineStr">
        <is>
          <t>Azul</t>
        </is>
      </c>
      <c r="D1448" s="54" t="inlineStr">
        <is>
          <t>Kit potes 5 un 1040ml azul</t>
        </is>
      </c>
      <c r="E1448" s="54" t="n">
        <v>22998549495</v>
      </c>
      <c r="F1448" s="54" t="n">
        <v>129650679430</v>
      </c>
      <c r="G1448" s="54" t="inlineStr">
        <is>
          <t>NORMAL</t>
        </is>
      </c>
      <c r="H1448" s="86" t="n">
        <v>169.9</v>
      </c>
      <c r="I1448" s="86" t="n">
        <v>169.9</v>
      </c>
      <c r="J1448" s="69" t="inlineStr">
        <is>
          <t>NÃO</t>
        </is>
      </c>
      <c r="K1448" s="54" t="n"/>
      <c r="L1448" s="87" t="n">
        <v>169.9</v>
      </c>
      <c r="M1448" s="88" t="n">
        <v>5</v>
      </c>
      <c r="N1448" s="89" t="n">
        <v>9.48</v>
      </c>
      <c r="O1448" s="89">
        <f>ROUND(M1448*N1448,2)</f>
        <v/>
      </c>
      <c r="P1448" s="90">
        <f>IF($O1448="","",L1448-O1448-(L1448*IF(L1448&lt;=79.99,20%,14%)+IF(L1448&lt;=79.99,4,IF(L1448&lt;=99.99,16,IF(L1448&lt;=199.99,20,IF(L1448&lt;=499.99,26,28)))))-L1448*1.3%-L1448*6%-(L1448-O1448)*9.25%-L1448*3%-L1448*3%-1)</f>
        <v/>
      </c>
      <c r="Q1448" s="54">
        <f>IF(AND(K1448&lt;&gt;"",H1448&gt;0),(H1448-K1448)/H1448,"")</f>
        <v/>
      </c>
      <c r="R1448" s="54" t="n"/>
      <c r="S1448" s="54" t="n"/>
      <c r="T1448" s="54" t="n"/>
      <c r="U1448" s="54" t="n">
        <v>101220</v>
      </c>
      <c r="V1448" t="inlineStr">
        <is>
          <t>213880</t>
        </is>
      </c>
      <c r="W1448" t="inlineStr">
        <is>
          <t>venda casada (1 pedido) · custo do KIT 216006 (5× 213880)</t>
        </is>
      </c>
      <c r="X1448" t="n">
        <v>1</v>
      </c>
      <c r="Y1448" t="inlineStr">
        <is>
          <t>⚠ evidência fraca (1 pedido)</t>
        </is>
      </c>
    </row>
    <row r="1449" ht="18" customHeight="1">
      <c r="A1449" s="60" t="inlineStr">
        <is>
          <t>Oliverhome</t>
        </is>
      </c>
      <c r="B1449" s="60" t="inlineStr">
        <is>
          <t>Conjunto Com 5 Potes Vidro 1040ml Hermético Marmita 4 Trava</t>
        </is>
      </c>
      <c r="C1449" s="60" t="inlineStr">
        <is>
          <t>Branco</t>
        </is>
      </c>
      <c r="D1449" s="60" t="inlineStr">
        <is>
          <t>Kit potes 5 un 1040ml branco</t>
        </is>
      </c>
      <c r="E1449" s="60" t="n">
        <v>22998549495</v>
      </c>
      <c r="F1449" s="60" t="n">
        <v>129650679432</v>
      </c>
      <c r="G1449" s="60" t="inlineStr">
        <is>
          <t>NORMAL</t>
        </is>
      </c>
      <c r="H1449" s="91" t="n">
        <v>169.9</v>
      </c>
      <c r="I1449" s="91" t="n">
        <v>169.9</v>
      </c>
      <c r="J1449" s="62" t="inlineStr">
        <is>
          <t>NÃO</t>
        </is>
      </c>
      <c r="K1449" s="60" t="inlineStr">
        <is>
          <t> </t>
        </is>
      </c>
      <c r="L1449" s="87" t="n">
        <v>169.9</v>
      </c>
      <c r="M1449" s="88" t="n">
        <v>5</v>
      </c>
      <c r="N1449" s="89" t="n">
        <v>9.48</v>
      </c>
      <c r="O1449" s="89">
        <f>ROUND(M1449*N1449,2)</f>
        <v/>
      </c>
      <c r="P1449" s="92">
        <f>IF($O1449="","",L1449-O1449-(L1449*IF(L1449&lt;=79.99,20%,14%)+IF(L1449&lt;=79.99,4,IF(L1449&lt;=99.99,16,IF(L1449&lt;=199.99,20,IF(L1449&lt;=499.99,26,28)))))-L1449*1.3%-L1449*6%-(L1449-O1449)*9.25%-L1449*3%-L1449*3%-1)</f>
        <v/>
      </c>
      <c r="Q1449" s="60" t="inlineStr">
        <is>
          <t> </t>
        </is>
      </c>
      <c r="R1449" s="60" t="inlineStr">
        <is>
          <t> </t>
        </is>
      </c>
      <c r="S1449" s="60" t="inlineStr">
        <is>
          <t> </t>
        </is>
      </c>
      <c r="T1449" s="60" t="inlineStr">
        <is>
          <t> </t>
        </is>
      </c>
      <c r="U1449" s="60" t="n">
        <v>101220</v>
      </c>
      <c r="V1449" t="inlineStr">
        <is>
          <t>213879</t>
        </is>
      </c>
      <c r="W1449" t="inlineStr">
        <is>
          <t>venda casada (3 pedidos) · custo do KIT 216022 (5× 213879)</t>
        </is>
      </c>
      <c r="X1449" t="n">
        <v>3</v>
      </c>
      <c r="Y1449" t="inlineStr">
        <is>
          <t>ok</t>
        </is>
      </c>
    </row>
    <row r="1450" ht="18" customHeight="1">
      <c r="A1450" s="54" t="inlineStr">
        <is>
          <t>Oliverhome</t>
        </is>
      </c>
      <c r="B1450" s="54" t="inlineStr">
        <is>
          <t>Conjunto Com 5 Potes Vidro 1040ml Hermético Marmita 4 Trava</t>
        </is>
      </c>
      <c r="C1450" s="54" t="inlineStr">
        <is>
          <t>Sortido</t>
        </is>
      </c>
      <c r="D1450" s="54" t="inlineStr">
        <is>
          <t>Kit potes 5 un 1040ml sortido</t>
        </is>
      </c>
      <c r="E1450" s="54" t="n">
        <v>22998549495</v>
      </c>
      <c r="F1450" s="54" t="n">
        <v>129650679431</v>
      </c>
      <c r="G1450" s="54" t="inlineStr">
        <is>
          <t>NORMAL</t>
        </is>
      </c>
      <c r="H1450" s="86" t="n">
        <v>169.9</v>
      </c>
      <c r="I1450" s="86" t="n">
        <v>169.9</v>
      </c>
      <c r="J1450" s="69" t="inlineStr">
        <is>
          <t>NÃO</t>
        </is>
      </c>
      <c r="K1450" s="54" t="n"/>
      <c r="L1450" s="87" t="n">
        <v>169.9</v>
      </c>
      <c r="M1450" s="88" t="n">
        <v>5</v>
      </c>
      <c r="N1450" s="89" t="n">
        <v>9.48</v>
      </c>
      <c r="O1450" s="89">
        <f>ROUND(M1450*N1450,2)</f>
        <v/>
      </c>
      <c r="P1450" s="90">
        <f>IF($O1450="","",L1450-O1450-(L1450*IF(L1450&lt;=79.99,20%,14%)+IF(L1450&lt;=79.99,4,IF(L1450&lt;=99.99,16,IF(L1450&lt;=199.99,20,IF(L1450&lt;=499.99,26,28)))))-L1450*1.3%-L1450*6%-(L1450-O1450)*9.25%-L1450*3%-L1450*3%-1)</f>
        <v/>
      </c>
      <c r="Q1450" s="54">
        <f>IF(AND(K1450&lt;&gt;"",H1450&gt;0),(H1450-K1450)/H1450,"")</f>
        <v/>
      </c>
      <c r="R1450" s="54" t="n"/>
      <c r="S1450" s="54" t="n"/>
      <c r="T1450" s="54" t="n"/>
      <c r="U1450" s="54" t="n">
        <v>101220</v>
      </c>
      <c r="V1450" t="inlineStr">
        <is>
          <t>213879</t>
        </is>
      </c>
      <c r="W1450" t="inlineStr">
        <is>
          <t>venda casada (5 pedidos) · custo do KIT 216022 (5× 213879)</t>
        </is>
      </c>
      <c r="X1450" t="n">
        <v>5</v>
      </c>
      <c r="Y1450" t="inlineStr">
        <is>
          <t>ok</t>
        </is>
      </c>
    </row>
    <row r="1451" ht="18" customHeight="1">
      <c r="A1451" s="60" t="inlineStr">
        <is>
          <t>Oliverhome</t>
        </is>
      </c>
      <c r="B1451" s="60" t="inlineStr">
        <is>
          <t>Escorredor De Louças 12 Pratos Organizador Cozinha Suspensa Preto Aço Inoxidável Rack Oliver Home</t>
        </is>
      </c>
      <c r="C1451" s="60" t="inlineStr">
        <is>
          <t>MODELO 1</t>
        </is>
      </c>
      <c r="D1451" s="60" t="inlineStr">
        <is>
          <t>ESCORREDOR-SUSPENSO-65CM</t>
        </is>
      </c>
      <c r="E1451" s="60" t="n">
        <v>23898886498</v>
      </c>
      <c r="F1451" s="60" t="n">
        <v>169720450218</v>
      </c>
      <c r="G1451" s="60" t="inlineStr">
        <is>
          <t>NORMAL</t>
        </is>
      </c>
      <c r="H1451" s="91" t="n">
        <v>179.9</v>
      </c>
      <c r="I1451" s="91" t="n">
        <v>74.90000000000001</v>
      </c>
      <c r="J1451" s="65" t="inlineStr">
        <is>
          <t>SIM</t>
        </is>
      </c>
      <c r="K1451" s="91" t="n">
        <v>74.90000000000001</v>
      </c>
      <c r="L1451" s="87" t="n">
        <v>74.90000000000001</v>
      </c>
      <c r="M1451" s="88" t="n">
        <v>1</v>
      </c>
      <c r="N1451" s="89" t="n">
        <v>51.63</v>
      </c>
      <c r="O1451" s="89">
        <f>ROUND(M1451*N1451,2)</f>
        <v/>
      </c>
      <c r="P1451" s="92">
        <f>IF($O1451="","",L1451-O1451-(L1451*IF(L1451&lt;=79.99,20%,14%)+IF(L1451&lt;=79.99,4,IF(L1451&lt;=99.99,16,IF(L1451&lt;=199.99,20,IF(L1451&lt;=499.99,26,28)))))-L1451*1.3%-L1451*6%-(L1451-O1451)*9.25%-L1451*3%-L1451*3%-1)</f>
        <v/>
      </c>
      <c r="Q1451" s="67" t="n">
        <v>0.584</v>
      </c>
      <c r="R1451" s="60" t="n">
        <v>489574396802176</v>
      </c>
      <c r="S1451" s="68" t="n">
        <v>46240.52083333334</v>
      </c>
      <c r="T1451" s="68" t="n">
        <v>46353.5625</v>
      </c>
      <c r="U1451" s="60" t="n">
        <v>101224</v>
      </c>
      <c r="V1451" t="inlineStr">
        <is>
          <t>214030</t>
        </is>
      </c>
      <c r="W1451" t="inlineStr">
        <is>
          <t>venda casada (763 pedidos)</t>
        </is>
      </c>
      <c r="X1451" t="n">
        <v>763</v>
      </c>
      <c r="Y1451" t="inlineStr">
        <is>
          <t>ok</t>
        </is>
      </c>
    </row>
    <row r="1452" ht="18" customHeight="1">
      <c r="A1452" s="54" t="inlineStr">
        <is>
          <t>Oliverhome</t>
        </is>
      </c>
      <c r="B1452" s="54" t="inlineStr">
        <is>
          <t>Escorredor De Louças 12 Pratos Organizador Cozinha Suspensa Preto Aço Inoxidável Rack Oliver Home</t>
        </is>
      </c>
      <c r="C1452" s="54" t="inlineStr">
        <is>
          <t>MODELO 2</t>
        </is>
      </c>
      <c r="D1452" s="54" t="inlineStr">
        <is>
          <t>ESCORREDOR-DE-PRATOS12</t>
        </is>
      </c>
      <c r="E1452" s="54" t="n">
        <v>23898886498</v>
      </c>
      <c r="F1452" s="54" t="n">
        <v>169720450219</v>
      </c>
      <c r="G1452" s="54" t="inlineStr">
        <is>
          <t>NORMAL</t>
        </is>
      </c>
      <c r="H1452" s="86" t="n">
        <v>229.9</v>
      </c>
      <c r="I1452" s="86" t="n">
        <v>79.89</v>
      </c>
      <c r="J1452" s="56" t="inlineStr">
        <is>
          <t>SIM</t>
        </is>
      </c>
      <c r="K1452" s="86" t="n">
        <v>79.89</v>
      </c>
      <c r="L1452" s="87" t="n">
        <v>79.89</v>
      </c>
      <c r="M1452" s="88" t="n">
        <v>1</v>
      </c>
      <c r="N1452" s="89" t="n">
        <v>48.6</v>
      </c>
      <c r="O1452" s="89">
        <f>ROUND(M1452*N1452,2)</f>
        <v/>
      </c>
      <c r="P1452" s="90">
        <f>IF($O1452="","",L1452-O1452-(L1452*IF(L1452&lt;=79.99,20%,14%)+IF(L1452&lt;=79.99,4,IF(L1452&lt;=99.99,16,IF(L1452&lt;=199.99,20,IF(L1452&lt;=499.99,26,28)))))-L1452*1.3%-L1452*6%-(L1452-O1452)*9.25%-L1452*3%-L1452*3%-1)</f>
        <v/>
      </c>
      <c r="Q1452" s="58" t="n">
        <v>0.653</v>
      </c>
      <c r="R1452" s="54" t="inlineStr">
        <is>
          <t>478840979931317, 490987084534129</t>
        </is>
      </c>
      <c r="S1452" s="59" t="n">
        <v>46248</v>
      </c>
      <c r="T1452" s="59" t="n">
        <v>46248.99930555555</v>
      </c>
      <c r="U1452" s="54" t="n">
        <v>101224</v>
      </c>
      <c r="V1452" t="inlineStr">
        <is>
          <t>214031</t>
        </is>
      </c>
      <c r="W1452" t="inlineStr">
        <is>
          <t>venda casada (97 pedidos)</t>
        </is>
      </c>
      <c r="X1452" t="n">
        <v>97</v>
      </c>
      <c r="Y1452" t="inlineStr">
        <is>
          <t>ok</t>
        </is>
      </c>
    </row>
    <row r="1453" ht="18" customHeight="1">
      <c r="A1453" s="60" t="inlineStr">
        <is>
          <t>Oliverhome</t>
        </is>
      </c>
      <c r="B1453" s="60" t="inlineStr">
        <is>
          <t>Escorredor De Louças 12 Pratos Organizador Cozinha Suspensa Preto Aço Inoxidável Rack Oliver Home</t>
        </is>
      </c>
      <c r="C1453" s="60" t="inlineStr">
        <is>
          <t>MODELO 3</t>
        </is>
      </c>
      <c r="D1453" s="60" t="inlineStr">
        <is>
          <t>ESCORREDOR-AÇO-CARBONO</t>
        </is>
      </c>
      <c r="E1453" s="60" t="n">
        <v>23898886498</v>
      </c>
      <c r="F1453" s="60" t="n">
        <v>169720450220</v>
      </c>
      <c r="G1453" s="60" t="inlineStr">
        <is>
          <t>NORMAL</t>
        </is>
      </c>
      <c r="H1453" s="91" t="n">
        <v>199.9</v>
      </c>
      <c r="I1453" s="91" t="n">
        <v>79.89</v>
      </c>
      <c r="J1453" s="65" t="inlineStr">
        <is>
          <t>SIM</t>
        </is>
      </c>
      <c r="K1453" s="91" t="n">
        <v>79.89</v>
      </c>
      <c r="L1453" s="87" t="n">
        <v>79.89</v>
      </c>
      <c r="M1453" s="88" t="n">
        <v>1</v>
      </c>
      <c r="N1453" s="89" t="n">
        <v>50.11</v>
      </c>
      <c r="O1453" s="89">
        <f>ROUND(M1453*N1453,2)</f>
        <v/>
      </c>
      <c r="P1453" s="92">
        <f>IF($O1453="","",L1453-O1453-(L1453*IF(L1453&lt;=79.99,20%,14%)+IF(L1453&lt;=79.99,4,IF(L1453&lt;=99.99,16,IF(L1453&lt;=199.99,20,IF(L1453&lt;=499.99,26,28)))))-L1453*1.3%-L1453*6%-(L1453-O1453)*9.25%-L1453*3%-L1453*3%-1)</f>
        <v/>
      </c>
      <c r="Q1453" s="67" t="n">
        <v>0.6</v>
      </c>
      <c r="R1453" s="60" t="inlineStr">
        <is>
          <t>478840979931317, 490987084534129</t>
        </is>
      </c>
      <c r="S1453" s="68" t="n">
        <v>46248</v>
      </c>
      <c r="T1453" s="68" t="n">
        <v>46248.99930555555</v>
      </c>
      <c r="U1453" s="60" t="n">
        <v>101224</v>
      </c>
      <c r="V1453" t="inlineStr">
        <is>
          <t>214032</t>
        </is>
      </c>
      <c r="W1453" t="inlineStr">
        <is>
          <t>venda casada (33 pedidos)</t>
        </is>
      </c>
      <c r="X1453" t="n">
        <v>33</v>
      </c>
      <c r="Y1453" t="inlineStr">
        <is>
          <t>ok</t>
        </is>
      </c>
    </row>
    <row r="1454" ht="18" customHeight="1">
      <c r="A1454" s="54" t="inlineStr">
        <is>
          <t>Oliverhome</t>
        </is>
      </c>
      <c r="B1454" s="54" t="inlineStr">
        <is>
          <t>Flat Mop 2 Refis Esfregão Com Balde Rodo Mágico Lava Seca Tira Pó Envio Imediato Limpa Facíl</t>
        </is>
      </c>
      <c r="C1454" s="54" t="inlineStr">
        <is>
          <t>Verde Àgua,1 Unidades</t>
        </is>
      </c>
      <c r="D1454" s="54" t="inlineStr">
        <is>
          <t>Mop-Flat-1 Unidades</t>
        </is>
      </c>
      <c r="E1454" s="54" t="n">
        <v>23994036082</v>
      </c>
      <c r="F1454" s="54" t="n">
        <v>239422512071</v>
      </c>
      <c r="G1454" s="54" t="inlineStr">
        <is>
          <t>NORMAL</t>
        </is>
      </c>
      <c r="H1454" s="86" t="n">
        <v>59.9</v>
      </c>
      <c r="I1454" s="86" t="n">
        <v>59.9</v>
      </c>
      <c r="J1454" s="69" t="inlineStr">
        <is>
          <t>NÃO</t>
        </is>
      </c>
      <c r="K1454" s="54" t="n"/>
      <c r="L1454" s="87" t="n">
        <v>59.9</v>
      </c>
      <c r="P1454" s="90">
        <f>IF($O1454="","",L1454-O1454-(L1454*IF(L1454&lt;=79.99,20%,14%)+IF(L1454&lt;=79.99,4,IF(L1454&lt;=99.99,16,IF(L1454&lt;=199.99,20,IF(L1454&lt;=499.99,26,28)))))-L1454*1.3%-L1454*6%-(L1454-O1454)*9.25%-L1454*3%-L1454*3%-1)</f>
        <v/>
      </c>
      <c r="Q1454" s="54">
        <f>IF(AND(K1454&lt;&gt;"",H1454&gt;0),(H1454-K1454)/H1454,"")</f>
        <v/>
      </c>
      <c r="R1454" s="54" t="n"/>
      <c r="S1454" s="54" t="n"/>
      <c r="T1454" s="54" t="n"/>
      <c r="U1454" s="54" t="n">
        <v>101204</v>
      </c>
      <c r="W1454" t="inlineStr">
        <is>
          <t>sem correspondência</t>
        </is>
      </c>
      <c r="Y1454" t="inlineStr"/>
    </row>
    <row r="1455" ht="18" customHeight="1">
      <c r="A1455" s="60" t="inlineStr">
        <is>
          <t>Oliverhome</t>
        </is>
      </c>
      <c r="B1455" s="60" t="inlineStr">
        <is>
          <t>Flat Mop 2 Refis Esfregão Com Balde Rodo Mágico Lava Seca Tira Pó Envio Imediato Limpa Facíl</t>
        </is>
      </c>
      <c r="C1455" s="60" t="inlineStr">
        <is>
          <t>Verde Àgua,2 Unidades</t>
        </is>
      </c>
      <c r="D1455" s="60" t="inlineStr">
        <is>
          <t>Mop-Flat-2 Unidades</t>
        </is>
      </c>
      <c r="E1455" s="60" t="n">
        <v>23994036082</v>
      </c>
      <c r="F1455" s="60" t="n">
        <v>239422512072</v>
      </c>
      <c r="G1455" s="60" t="inlineStr">
        <is>
          <t>NORMAL</t>
        </is>
      </c>
      <c r="H1455" s="91" t="n">
        <v>99.90000000000001</v>
      </c>
      <c r="I1455" s="91" t="n">
        <v>99.90000000000001</v>
      </c>
      <c r="J1455" s="62" t="inlineStr">
        <is>
          <t>NÃO</t>
        </is>
      </c>
      <c r="K1455" s="60" t="inlineStr">
        <is>
          <t> </t>
        </is>
      </c>
      <c r="L1455" s="87" t="n">
        <v>99.90000000000001</v>
      </c>
      <c r="P1455" s="92">
        <f>IF($O1455="","",L1455-O1455-(L1455*IF(L1455&lt;=79.99,20%,14%)+IF(L1455&lt;=79.99,4,IF(L1455&lt;=99.99,16,IF(L1455&lt;=199.99,20,IF(L1455&lt;=499.99,26,28)))))-L1455*1.3%-L1455*6%-(L1455-O1455)*9.25%-L1455*3%-L1455*3%-1)</f>
        <v/>
      </c>
      <c r="Q1455" s="60" t="inlineStr">
        <is>
          <t> </t>
        </is>
      </c>
      <c r="R1455" s="60" t="inlineStr">
        <is>
          <t> </t>
        </is>
      </c>
      <c r="S1455" s="60" t="inlineStr">
        <is>
          <t> </t>
        </is>
      </c>
      <c r="T1455" s="60" t="inlineStr">
        <is>
          <t> </t>
        </is>
      </c>
      <c r="U1455" s="60" t="n">
        <v>101204</v>
      </c>
      <c r="V1455" t="inlineStr">
        <is>
          <t>Mop-Flat-2 Unidades</t>
        </is>
      </c>
      <c r="W1455" t="inlineStr">
        <is>
          <t>SKU idêntico na Olist · CUSTO ZERADO na Olist (conferido hoje)</t>
        </is>
      </c>
      <c r="Y1455" t="inlineStr">
        <is>
          <t>ok</t>
        </is>
      </c>
    </row>
    <row r="1456" ht="18" customHeight="1">
      <c r="A1456" s="54" t="inlineStr">
        <is>
          <t>Oliverhome</t>
        </is>
      </c>
      <c r="B1456" s="54" t="inlineStr">
        <is>
          <t>Flat Mop 2 Refis Esfregão Com Balde Rodo Mágico Lava Seca Tira Pó Envio Imediato Limpa Facíl</t>
        </is>
      </c>
      <c r="C1456" s="54" t="inlineStr">
        <is>
          <t>Verde Àgua,3 Unidades</t>
        </is>
      </c>
      <c r="D1456" s="54" t="inlineStr">
        <is>
          <t>Mop-Flat-3 Unidades</t>
        </is>
      </c>
      <c r="E1456" s="54" t="n">
        <v>23994036082</v>
      </c>
      <c r="F1456" s="54" t="n">
        <v>239422512073</v>
      </c>
      <c r="G1456" s="54" t="inlineStr">
        <is>
          <t>NORMAL</t>
        </is>
      </c>
      <c r="H1456" s="86" t="n">
        <v>139.9</v>
      </c>
      <c r="I1456" s="86" t="n">
        <v>139.9</v>
      </c>
      <c r="J1456" s="69" t="inlineStr">
        <is>
          <t>NÃO</t>
        </is>
      </c>
      <c r="K1456" s="54" t="n"/>
      <c r="L1456" s="87" t="n">
        <v>139.9</v>
      </c>
      <c r="P1456" s="90">
        <f>IF($O1456="","",L1456-O1456-(L1456*IF(L1456&lt;=79.99,20%,14%)+IF(L1456&lt;=79.99,4,IF(L1456&lt;=99.99,16,IF(L1456&lt;=199.99,20,IF(L1456&lt;=499.99,26,28)))))-L1456*1.3%-L1456*6%-(L1456-O1456)*9.25%-L1456*3%-L1456*3%-1)</f>
        <v/>
      </c>
      <c r="Q1456" s="54">
        <f>IF(AND(K1456&lt;&gt;"",H1456&gt;0),(H1456-K1456)/H1456,"")</f>
        <v/>
      </c>
      <c r="R1456" s="54" t="n"/>
      <c r="S1456" s="54" t="n"/>
      <c r="T1456" s="54" t="n"/>
      <c r="U1456" s="54" t="n">
        <v>101204</v>
      </c>
      <c r="V1456" t="inlineStr">
        <is>
          <t>Mop-Flat-3 Unidades</t>
        </is>
      </c>
      <c r="W1456" t="inlineStr">
        <is>
          <t>SKU idêntico na Olist · CUSTO ZERADO na Olist (conferido hoje)</t>
        </is>
      </c>
      <c r="Y1456" t="inlineStr">
        <is>
          <t>ok</t>
        </is>
      </c>
    </row>
    <row r="1457" ht="18" customHeight="1">
      <c r="A1457" s="60" t="inlineStr">
        <is>
          <t>Oliverhome</t>
        </is>
      </c>
      <c r="B1457" s="60" t="inlineStr">
        <is>
          <t>Jogo Taça Diamante Copo Vidro Transparente Bico De Jaca 340ml Oliver Home 4/6/12 Un</t>
        </is>
      </c>
      <c r="C1457" s="60" t="inlineStr">
        <is>
          <t>12 UNIDADES</t>
        </is>
      </c>
      <c r="D1457" s="60" t="inlineStr">
        <is>
          <t>TAÇA-340ML-12UN</t>
        </is>
      </c>
      <c r="E1457" s="60" t="n">
        <v>23194384737</v>
      </c>
      <c r="F1457" s="60" t="n">
        <v>109725338999</v>
      </c>
      <c r="G1457" s="60" t="inlineStr">
        <is>
          <t>NORMAL</t>
        </is>
      </c>
      <c r="H1457" s="91" t="n">
        <v>139.9</v>
      </c>
      <c r="I1457" s="91" t="n">
        <v>68.89</v>
      </c>
      <c r="J1457" s="65" t="inlineStr">
        <is>
          <t>SIM</t>
        </is>
      </c>
      <c r="K1457" s="91" t="n">
        <v>68.89</v>
      </c>
      <c r="L1457" s="87" t="n">
        <v>68.89</v>
      </c>
      <c r="M1457" s="88" t="n">
        <v>12</v>
      </c>
      <c r="N1457" s="89" t="n">
        <v>2.14</v>
      </c>
      <c r="O1457" s="89">
        <f>ROUND(M1457*N1457,2)</f>
        <v/>
      </c>
      <c r="P1457" s="92">
        <f>IF($O1457="","",L1457-O1457-(L1457*IF(L1457&lt;=79.99,20%,14%)+IF(L1457&lt;=79.99,4,IF(L1457&lt;=99.99,16,IF(L1457&lt;=199.99,20,IF(L1457&lt;=499.99,26,28)))))-L1457*1.3%-L1457*6%-(L1457-O1457)*9.25%-L1457*3%-L1457*3%-1)</f>
        <v/>
      </c>
      <c r="Q1457" s="67" t="n">
        <v>0.508</v>
      </c>
      <c r="R1457" s="60" t="n">
        <v>489574396802176</v>
      </c>
      <c r="S1457" s="68" t="n">
        <v>46240.52083333334</v>
      </c>
      <c r="T1457" s="68" t="n">
        <v>46353.5625</v>
      </c>
      <c r="U1457" s="60" t="n">
        <v>101240</v>
      </c>
      <c r="V1457" t="inlineStr">
        <is>
          <t>213243</t>
        </is>
      </c>
      <c r="W1457" t="inlineStr">
        <is>
          <t>venda casada (35 pedidos) · custo do KIT 214036 (12× 213243)</t>
        </is>
      </c>
      <c r="X1457" t="n">
        <v>35</v>
      </c>
      <c r="Y1457" t="inlineStr">
        <is>
          <t>ok</t>
        </is>
      </c>
    </row>
    <row r="1458" ht="18" customHeight="1">
      <c r="A1458" s="54" t="inlineStr">
        <is>
          <t>Oliverhome</t>
        </is>
      </c>
      <c r="B1458" s="54" t="inlineStr">
        <is>
          <t>Jogo Taça Diamante Copo Vidro Transparente Bico De Jaca 340ml Oliver Home 4/6/12 Un</t>
        </is>
      </c>
      <c r="C1458" s="54" t="inlineStr">
        <is>
          <t>4 UNIDADES</t>
        </is>
      </c>
      <c r="D1458" s="54" t="inlineStr">
        <is>
          <t>TAÇA-340ML-4UN</t>
        </is>
      </c>
      <c r="E1458" s="54" t="n">
        <v>23194384737</v>
      </c>
      <c r="F1458" s="54" t="n">
        <v>109725339000</v>
      </c>
      <c r="G1458" s="54" t="inlineStr">
        <is>
          <t>NORMAL</t>
        </is>
      </c>
      <c r="H1458" s="86" t="n">
        <v>99.90000000000001</v>
      </c>
      <c r="I1458" s="86" t="n">
        <v>26.98</v>
      </c>
      <c r="J1458" s="56" t="inlineStr">
        <is>
          <t>SIM</t>
        </is>
      </c>
      <c r="K1458" s="86" t="n">
        <v>26.98</v>
      </c>
      <c r="L1458" s="87" t="n">
        <v>26.98</v>
      </c>
      <c r="M1458" s="88" t="n">
        <v>4</v>
      </c>
      <c r="N1458" s="89" t="n">
        <v>2.14</v>
      </c>
      <c r="O1458" s="89">
        <f>ROUND(M1458*N1458,2)</f>
        <v/>
      </c>
      <c r="P1458" s="90">
        <f>IF($O1458="","",L1458-O1458-(L1458*IF(L1458&lt;=79.99,20%,14%)+IF(L1458&lt;=79.99,4,IF(L1458&lt;=99.99,16,IF(L1458&lt;=199.99,20,IF(L1458&lt;=499.99,26,28)))))-L1458*1.3%-L1458*6%-(L1458-O1458)*9.25%-L1458*3%-L1458*3%-1)</f>
        <v/>
      </c>
      <c r="Q1458" s="58" t="n">
        <v>0.73</v>
      </c>
      <c r="R1458" s="54" t="n">
        <v>489574396802176</v>
      </c>
      <c r="S1458" s="59" t="n">
        <v>46240.52083333334</v>
      </c>
      <c r="T1458" s="59" t="n">
        <v>46353.5625</v>
      </c>
      <c r="U1458" s="54" t="n">
        <v>101240</v>
      </c>
      <c r="V1458" t="inlineStr">
        <is>
          <t>213243</t>
        </is>
      </c>
      <c r="W1458" t="inlineStr">
        <is>
          <t>venda casada (36 pedidos) · custo do KIT 214034 (4× 213243)</t>
        </is>
      </c>
      <c r="X1458" t="n">
        <v>36</v>
      </c>
      <c r="Y1458" t="inlineStr">
        <is>
          <t>ok</t>
        </is>
      </c>
    </row>
    <row r="1459" ht="18" customHeight="1">
      <c r="A1459" s="60" t="inlineStr">
        <is>
          <t>Oliverhome</t>
        </is>
      </c>
      <c r="B1459" s="60" t="inlineStr">
        <is>
          <t>Jogo Taça Diamante Copo Vidro Transparente Bico De Jaca 340ml Oliver Home 4/6/12 Un</t>
        </is>
      </c>
      <c r="C1459" s="60" t="inlineStr">
        <is>
          <t>6 UNIDADES</t>
        </is>
      </c>
      <c r="D1459" s="60" t="inlineStr">
        <is>
          <t>TAÇA-340ML-6UN</t>
        </is>
      </c>
      <c r="E1459" s="60" t="n">
        <v>23194384737</v>
      </c>
      <c r="F1459" s="60" t="n">
        <v>109725338998</v>
      </c>
      <c r="G1459" s="60" t="inlineStr">
        <is>
          <t>NORMAL</t>
        </is>
      </c>
      <c r="H1459" s="91" t="n">
        <v>99.90000000000001</v>
      </c>
      <c r="I1459" s="91" t="n">
        <v>34.89</v>
      </c>
      <c r="J1459" s="65" t="inlineStr">
        <is>
          <t>SIM</t>
        </is>
      </c>
      <c r="K1459" s="91" t="n">
        <v>34.89</v>
      </c>
      <c r="L1459" s="87" t="n">
        <v>34.89</v>
      </c>
      <c r="M1459" s="88" t="n">
        <v>6</v>
      </c>
      <c r="N1459" s="89" t="n">
        <v>2.14</v>
      </c>
      <c r="O1459" s="89">
        <f>ROUND(M1459*N1459,2)</f>
        <v/>
      </c>
      <c r="P1459" s="92">
        <f>IF($O1459="","",L1459-O1459-(L1459*IF(L1459&lt;=79.99,20%,14%)+IF(L1459&lt;=79.99,4,IF(L1459&lt;=99.99,16,IF(L1459&lt;=199.99,20,IF(L1459&lt;=499.99,26,28)))))-L1459*1.3%-L1459*6%-(L1459-O1459)*9.25%-L1459*3%-L1459*3%-1)</f>
        <v/>
      </c>
      <c r="Q1459" s="67" t="n">
        <v>0.651</v>
      </c>
      <c r="R1459" s="60" t="n">
        <v>489574396802176</v>
      </c>
      <c r="S1459" s="68" t="n">
        <v>46240.52083333334</v>
      </c>
      <c r="T1459" s="68" t="n">
        <v>46353.5625</v>
      </c>
      <c r="U1459" s="60" t="n">
        <v>101240</v>
      </c>
      <c r="V1459" t="inlineStr">
        <is>
          <t>213243</t>
        </is>
      </c>
      <c r="W1459" t="inlineStr">
        <is>
          <t>venda casada (84 pedidos) · custo do KIT 214035 (6× 213243)</t>
        </is>
      </c>
      <c r="X1459" t="n">
        <v>84</v>
      </c>
      <c r="Y1459" t="inlineStr">
        <is>
          <t>ok</t>
        </is>
      </c>
    </row>
    <row r="1460" ht="18" customHeight="1">
      <c r="A1460" s="54" t="inlineStr">
        <is>
          <t>Oliverhome</t>
        </is>
      </c>
      <c r="B1460" s="54" t="inlineStr">
        <is>
          <t>kit 1 - 5 Cordão 100 Led interno 4 fixo 1 strobo - 10 metro fio verde pisca pisca decoração natal Conector m/f</t>
        </is>
      </c>
      <c r="C1460" s="54" t="inlineStr">
        <is>
          <t>Branco Quente 8 Funções 110V,1 Unidade</t>
        </is>
      </c>
      <c r="D1460" s="54" t="inlineStr">
        <is>
          <t>PISCA-110V-1UN</t>
        </is>
      </c>
      <c r="E1460" s="54" t="n">
        <v>23594655756</v>
      </c>
      <c r="F1460" s="54" t="n">
        <v>239431646703</v>
      </c>
      <c r="G1460" s="54" t="inlineStr">
        <is>
          <t>NORMAL</t>
        </is>
      </c>
      <c r="H1460" s="86" t="n">
        <v>69.90000000000001</v>
      </c>
      <c r="I1460" s="86" t="n">
        <v>69.90000000000001</v>
      </c>
      <c r="J1460" s="69" t="inlineStr">
        <is>
          <t>NÃO</t>
        </is>
      </c>
      <c r="K1460" s="54" t="n"/>
      <c r="L1460" s="87" t="n">
        <v>69.90000000000001</v>
      </c>
      <c r="P1460" s="90">
        <f>IF($O1460="","",L1460-O1460-(L1460*IF(L1460&lt;=79.99,20%,14%)+IF(L1460&lt;=79.99,4,IF(L1460&lt;=99.99,16,IF(L1460&lt;=199.99,20,IF(L1460&lt;=499.99,26,28)))))-L1460*1.3%-L1460*6%-(L1460-O1460)*9.25%-L1460*3%-L1460*3%-1)</f>
        <v/>
      </c>
      <c r="Q1460" s="54">
        <f>IF(AND(K1460&lt;&gt;"",H1460&gt;0),(H1460-K1460)/H1460,"")</f>
        <v/>
      </c>
      <c r="R1460" s="54" t="n"/>
      <c r="S1460" s="54" t="n"/>
      <c r="T1460" s="54" t="n"/>
      <c r="U1460" s="54" t="n">
        <v>100719</v>
      </c>
      <c r="W1460" t="inlineStr">
        <is>
          <t>sem correspondência</t>
        </is>
      </c>
      <c r="Y1460" t="inlineStr"/>
    </row>
    <row r="1461" ht="18" customHeight="1">
      <c r="A1461" s="60" t="inlineStr">
        <is>
          <t>Oliverhome</t>
        </is>
      </c>
      <c r="B1461" s="60" t="inlineStr">
        <is>
          <t>kit 1 - 5 Cordão 100 Led interno 4 fixo 1 strobo - 10 metro fio verde pisca pisca decoração natal Conector m/f</t>
        </is>
      </c>
      <c r="C1461" s="60" t="inlineStr">
        <is>
          <t>Branco Quente 8 Funções 110V,2 Unidades</t>
        </is>
      </c>
      <c r="D1461" s="60" t="inlineStr">
        <is>
          <t>PISCA-110V-2UN</t>
        </is>
      </c>
      <c r="E1461" s="60" t="n">
        <v>23594655756</v>
      </c>
      <c r="F1461" s="60" t="n">
        <v>239431646704</v>
      </c>
      <c r="G1461" s="60" t="inlineStr">
        <is>
          <t>NORMAL</t>
        </is>
      </c>
      <c r="H1461" s="91" t="n">
        <v>99.90000000000001</v>
      </c>
      <c r="I1461" s="91" t="n">
        <v>99.90000000000001</v>
      </c>
      <c r="J1461" s="62" t="inlineStr">
        <is>
          <t>NÃO</t>
        </is>
      </c>
      <c r="K1461" s="60" t="inlineStr">
        <is>
          <t> </t>
        </is>
      </c>
      <c r="L1461" s="87" t="n">
        <v>99.90000000000001</v>
      </c>
      <c r="P1461" s="92">
        <f>IF($O1461="","",L1461-O1461-(L1461*IF(L1461&lt;=79.99,20%,14%)+IF(L1461&lt;=79.99,4,IF(L1461&lt;=99.99,16,IF(L1461&lt;=199.99,20,IF(L1461&lt;=499.99,26,28)))))-L1461*1.3%-L1461*6%-(L1461-O1461)*9.25%-L1461*3%-L1461*3%-1)</f>
        <v/>
      </c>
      <c r="Q1461" s="60" t="inlineStr">
        <is>
          <t> </t>
        </is>
      </c>
      <c r="R1461" s="60" t="inlineStr">
        <is>
          <t> </t>
        </is>
      </c>
      <c r="S1461" s="60" t="inlineStr">
        <is>
          <t> </t>
        </is>
      </c>
      <c r="T1461" s="60" t="inlineStr">
        <is>
          <t> </t>
        </is>
      </c>
      <c r="U1461" s="60" t="n">
        <v>100719</v>
      </c>
      <c r="W1461" t="inlineStr">
        <is>
          <t>sem correspondência</t>
        </is>
      </c>
      <c r="Y1461" t="inlineStr"/>
    </row>
    <row r="1462" ht="18" customHeight="1">
      <c r="A1462" s="54" t="inlineStr">
        <is>
          <t>Oliverhome</t>
        </is>
      </c>
      <c r="B1462" s="54" t="inlineStr">
        <is>
          <t>kit 1 - 5 Cordão 100 Led interno 4 fixo 1 strobo - 10 metro fio verde pisca pisca decoração natal Conector m/f</t>
        </is>
      </c>
      <c r="C1462" s="54" t="inlineStr">
        <is>
          <t>Branco Quente 8 Funções 110V,3 Unidades</t>
        </is>
      </c>
      <c r="D1462" s="54" t="inlineStr">
        <is>
          <t>PISCA-110V-3UN</t>
        </is>
      </c>
      <c r="E1462" s="54" t="n">
        <v>23594655756</v>
      </c>
      <c r="F1462" s="54" t="n">
        <v>239431646705</v>
      </c>
      <c r="G1462" s="54" t="inlineStr">
        <is>
          <t>NORMAL</t>
        </is>
      </c>
      <c r="H1462" s="86" t="n">
        <v>139.9</v>
      </c>
      <c r="I1462" s="86" t="n">
        <v>139.9</v>
      </c>
      <c r="J1462" s="69" t="inlineStr">
        <is>
          <t>NÃO</t>
        </is>
      </c>
      <c r="K1462" s="54" t="n"/>
      <c r="L1462" s="87" t="n">
        <v>139.9</v>
      </c>
      <c r="P1462" s="90">
        <f>IF($O1462="","",L1462-O1462-(L1462*IF(L1462&lt;=79.99,20%,14%)+IF(L1462&lt;=79.99,4,IF(L1462&lt;=99.99,16,IF(L1462&lt;=199.99,20,IF(L1462&lt;=499.99,26,28)))))-L1462*1.3%-L1462*6%-(L1462-O1462)*9.25%-L1462*3%-L1462*3%-1)</f>
        <v/>
      </c>
      <c r="Q1462" s="54">
        <f>IF(AND(K1462&lt;&gt;"",H1462&gt;0),(H1462-K1462)/H1462,"")</f>
        <v/>
      </c>
      <c r="R1462" s="54" t="n"/>
      <c r="S1462" s="54" t="n"/>
      <c r="T1462" s="54" t="n"/>
      <c r="U1462" s="54" t="n">
        <v>100719</v>
      </c>
      <c r="W1462" t="inlineStr">
        <is>
          <t>sem correspondência</t>
        </is>
      </c>
      <c r="Y1462" t="inlineStr"/>
    </row>
    <row r="1463" ht="18" customHeight="1">
      <c r="A1463" s="60" t="inlineStr">
        <is>
          <t>Oliverhome</t>
        </is>
      </c>
      <c r="B1463" s="60" t="inlineStr">
        <is>
          <t>kit 1 - 5 Cordão 100 Led interno 4 fixo 1 strobo - 10 metro fio verde pisca pisca decoração natal Conector m/f</t>
        </is>
      </c>
      <c r="C1463" s="60" t="inlineStr">
        <is>
          <t>Branco Quente 8 Funções 110V,4 Unidades</t>
        </is>
      </c>
      <c r="D1463" s="60" t="inlineStr">
        <is>
          <t>PISCA-110V-4UN</t>
        </is>
      </c>
      <c r="E1463" s="60" t="n">
        <v>23594655756</v>
      </c>
      <c r="F1463" s="60" t="n">
        <v>239431646706</v>
      </c>
      <c r="G1463" s="60" t="inlineStr">
        <is>
          <t>NORMAL</t>
        </is>
      </c>
      <c r="H1463" s="91" t="n">
        <v>179.9</v>
      </c>
      <c r="I1463" s="91" t="n">
        <v>179.9</v>
      </c>
      <c r="J1463" s="62" t="inlineStr">
        <is>
          <t>NÃO</t>
        </is>
      </c>
      <c r="K1463" s="60" t="inlineStr">
        <is>
          <t> </t>
        </is>
      </c>
      <c r="L1463" s="87" t="n">
        <v>179.9</v>
      </c>
      <c r="P1463" s="92">
        <f>IF($O1463="","",L1463-O1463-(L1463*IF(L1463&lt;=79.99,20%,14%)+IF(L1463&lt;=79.99,4,IF(L1463&lt;=99.99,16,IF(L1463&lt;=199.99,20,IF(L1463&lt;=499.99,26,28)))))-L1463*1.3%-L1463*6%-(L1463-O1463)*9.25%-L1463*3%-L1463*3%-1)</f>
        <v/>
      </c>
      <c r="Q1463" s="60" t="inlineStr">
        <is>
          <t> </t>
        </is>
      </c>
      <c r="R1463" s="60" t="inlineStr">
        <is>
          <t> </t>
        </is>
      </c>
      <c r="S1463" s="60" t="inlineStr">
        <is>
          <t> </t>
        </is>
      </c>
      <c r="T1463" s="60" t="inlineStr">
        <is>
          <t> </t>
        </is>
      </c>
      <c r="U1463" s="60" t="n">
        <v>100719</v>
      </c>
      <c r="W1463" t="inlineStr">
        <is>
          <t>sem correspondência</t>
        </is>
      </c>
      <c r="Y1463" t="inlineStr"/>
    </row>
    <row r="1464" ht="18" customHeight="1">
      <c r="A1464" s="54" t="inlineStr">
        <is>
          <t>Oliverhome</t>
        </is>
      </c>
      <c r="B1464" s="54" t="inlineStr">
        <is>
          <t>kit 1 - 5 Cordão 100 Led interno 4 fixo 1 strobo - 10 metro fio verde pisca pisca decoração natal Conector m/f</t>
        </is>
      </c>
      <c r="C1464" s="54" t="inlineStr">
        <is>
          <t>Branco Quente 8 Funções 220V,1 Unidade</t>
        </is>
      </c>
      <c r="D1464" s="54" t="inlineStr">
        <is>
          <t>PISCA-220V-1UN</t>
        </is>
      </c>
      <c r="E1464" s="54" t="n">
        <v>23594655756</v>
      </c>
      <c r="F1464" s="54" t="n">
        <v>239431646699</v>
      </c>
      <c r="G1464" s="54" t="inlineStr">
        <is>
          <t>NORMAL</t>
        </is>
      </c>
      <c r="H1464" s="86" t="n">
        <v>69.90000000000001</v>
      </c>
      <c r="I1464" s="86" t="n">
        <v>69.90000000000001</v>
      </c>
      <c r="J1464" s="69" t="inlineStr">
        <is>
          <t>NÃO</t>
        </is>
      </c>
      <c r="K1464" s="54" t="n"/>
      <c r="L1464" s="87" t="n">
        <v>69.90000000000001</v>
      </c>
      <c r="P1464" s="90">
        <f>IF($O1464="","",L1464-O1464-(L1464*IF(L1464&lt;=79.99,20%,14%)+IF(L1464&lt;=79.99,4,IF(L1464&lt;=99.99,16,IF(L1464&lt;=199.99,20,IF(L1464&lt;=499.99,26,28)))))-L1464*1.3%-L1464*6%-(L1464-O1464)*9.25%-L1464*3%-L1464*3%-1)</f>
        <v/>
      </c>
      <c r="Q1464" s="54">
        <f>IF(AND(K1464&lt;&gt;"",H1464&gt;0),(H1464-K1464)/H1464,"")</f>
        <v/>
      </c>
      <c r="R1464" s="54" t="n"/>
      <c r="S1464" s="54" t="n"/>
      <c r="T1464" s="54" t="n"/>
      <c r="U1464" s="54" t="n">
        <v>100719</v>
      </c>
      <c r="W1464" t="inlineStr">
        <is>
          <t>sem correspondência</t>
        </is>
      </c>
      <c r="Y1464" t="inlineStr"/>
    </row>
    <row r="1465" ht="18" customHeight="1">
      <c r="A1465" s="60" t="inlineStr">
        <is>
          <t>Oliverhome</t>
        </is>
      </c>
      <c r="B1465" s="60" t="inlineStr">
        <is>
          <t>kit 1 - 5 Cordão 100 Led interno 4 fixo 1 strobo - 10 metro fio verde pisca pisca decoração natal Conector m/f</t>
        </is>
      </c>
      <c r="C1465" s="60" t="inlineStr">
        <is>
          <t>Branco Quente 8 Funções 220V,2 Unidades</t>
        </is>
      </c>
      <c r="D1465" s="60" t="inlineStr">
        <is>
          <t>PISCA-220V-2UN</t>
        </is>
      </c>
      <c r="E1465" s="60" t="n">
        <v>23594655756</v>
      </c>
      <c r="F1465" s="60" t="n">
        <v>239431646700</v>
      </c>
      <c r="G1465" s="60" t="inlineStr">
        <is>
          <t>NORMAL</t>
        </is>
      </c>
      <c r="H1465" s="91" t="n">
        <v>99.90000000000001</v>
      </c>
      <c r="I1465" s="91" t="n">
        <v>69.90000000000001</v>
      </c>
      <c r="J1465" s="65" t="inlineStr">
        <is>
          <t>SIM</t>
        </is>
      </c>
      <c r="K1465" s="91" t="n">
        <v>69.90000000000001</v>
      </c>
      <c r="L1465" s="87" t="n">
        <v>69.90000000000001</v>
      </c>
      <c r="P1465" s="92">
        <f>IF($O1465="","",L1465-O1465-(L1465*IF(L1465&lt;=79.99,20%,14%)+IF(L1465&lt;=79.99,4,IF(L1465&lt;=99.99,16,IF(L1465&lt;=199.99,20,IF(L1465&lt;=499.99,26,28)))))-L1465*1.3%-L1465*6%-(L1465-O1465)*9.25%-L1465*3%-L1465*3%-1)</f>
        <v/>
      </c>
      <c r="Q1465" s="67" t="n">
        <v>0.3</v>
      </c>
      <c r="R1465" s="60" t="inlineStr">
        <is>
          <t>478840979931317, 489574396802176</t>
        </is>
      </c>
      <c r="S1465" s="68" t="n">
        <v>46240.52083333334</v>
      </c>
      <c r="T1465" s="68" t="n">
        <v>46248.99930555555</v>
      </c>
      <c r="U1465" s="60" t="n">
        <v>100719</v>
      </c>
      <c r="W1465" t="inlineStr">
        <is>
          <t>sem correspondência</t>
        </is>
      </c>
      <c r="Y1465" t="inlineStr"/>
    </row>
    <row r="1466" ht="18" customHeight="1">
      <c r="A1466" s="54" t="inlineStr">
        <is>
          <t>Oliverhome</t>
        </is>
      </c>
      <c r="B1466" s="54" t="inlineStr">
        <is>
          <t>kit 1 - 5 Cordão 100 Led interno 4 fixo 1 strobo - 10 metro fio verde pisca pisca decoração natal Conector m/f</t>
        </is>
      </c>
      <c r="C1466" s="54" t="inlineStr">
        <is>
          <t>Branco Quente 8 Funções 220V,3 Unidades</t>
        </is>
      </c>
      <c r="D1466" s="54" t="inlineStr">
        <is>
          <t>PISCA-220V-3UN</t>
        </is>
      </c>
      <c r="E1466" s="54" t="n">
        <v>23594655756</v>
      </c>
      <c r="F1466" s="54" t="n">
        <v>239431646701</v>
      </c>
      <c r="G1466" s="54" t="inlineStr">
        <is>
          <t>NORMAL</t>
        </is>
      </c>
      <c r="H1466" s="86" t="n">
        <v>139.9</v>
      </c>
      <c r="I1466" s="86" t="n">
        <v>104.9</v>
      </c>
      <c r="J1466" s="56" t="inlineStr">
        <is>
          <t>SIM</t>
        </is>
      </c>
      <c r="K1466" s="86" t="n">
        <v>104.9</v>
      </c>
      <c r="L1466" s="87" t="n">
        <v>104.9</v>
      </c>
      <c r="P1466" s="90">
        <f>IF($O1466="","",L1466-O1466-(L1466*IF(L1466&lt;=79.99,20%,14%)+IF(L1466&lt;=79.99,4,IF(L1466&lt;=99.99,16,IF(L1466&lt;=199.99,20,IF(L1466&lt;=499.99,26,28)))))-L1466*1.3%-L1466*6%-(L1466-O1466)*9.25%-L1466*3%-L1466*3%-1)</f>
        <v/>
      </c>
      <c r="Q1466" s="58" t="n">
        <v>0.25</v>
      </c>
      <c r="R1466" s="54" t="inlineStr">
        <is>
          <t>478840979931317, 489574396802176</t>
        </is>
      </c>
      <c r="S1466" s="59" t="n">
        <v>46240.52083333334</v>
      </c>
      <c r="T1466" s="59" t="n">
        <v>46248.99930555555</v>
      </c>
      <c r="U1466" s="54" t="n">
        <v>100719</v>
      </c>
      <c r="W1466" t="inlineStr">
        <is>
          <t>sem correspondência</t>
        </is>
      </c>
      <c r="Y1466" t="inlineStr"/>
    </row>
    <row r="1467" ht="18" customHeight="1">
      <c r="A1467" s="60" t="inlineStr">
        <is>
          <t>Oliverhome</t>
        </is>
      </c>
      <c r="B1467" s="60" t="inlineStr">
        <is>
          <t>kit 1 - 5 Cordão 100 Led interno 4 fixo 1 strobo - 10 metro fio verde pisca pisca decoração natal Conector m/f</t>
        </is>
      </c>
      <c r="C1467" s="60" t="inlineStr">
        <is>
          <t>Branco Quente 8 Funções 220V,4 Unidades</t>
        </is>
      </c>
      <c r="D1467" s="60" t="inlineStr">
        <is>
          <t>PISCA-220V-4UN</t>
        </is>
      </c>
      <c r="E1467" s="60" t="n">
        <v>23594655756</v>
      </c>
      <c r="F1467" s="60" t="n">
        <v>239431646702</v>
      </c>
      <c r="G1467" s="60" t="inlineStr">
        <is>
          <t>NORMAL</t>
        </is>
      </c>
      <c r="H1467" s="91" t="n">
        <v>179.9</v>
      </c>
      <c r="I1467" s="91" t="n">
        <v>138.9</v>
      </c>
      <c r="J1467" s="65" t="inlineStr">
        <is>
          <t>SIM</t>
        </is>
      </c>
      <c r="K1467" s="91" t="n">
        <v>138.9</v>
      </c>
      <c r="L1467" s="87" t="n">
        <v>138.9</v>
      </c>
      <c r="P1467" s="92">
        <f>IF($O1467="","",L1467-O1467-(L1467*IF(L1467&lt;=79.99,20%,14%)+IF(L1467&lt;=79.99,4,IF(L1467&lt;=99.99,16,IF(L1467&lt;=199.99,20,IF(L1467&lt;=499.99,26,28)))))-L1467*1.3%-L1467*6%-(L1467-O1467)*9.25%-L1467*3%-L1467*3%-1)</f>
        <v/>
      </c>
      <c r="Q1467" s="67" t="n">
        <v>0.228</v>
      </c>
      <c r="R1467" s="60" t="inlineStr">
        <is>
          <t>478840979931317, 489574396802176</t>
        </is>
      </c>
      <c r="S1467" s="68" t="n">
        <v>46240.52083333334</v>
      </c>
      <c r="T1467" s="68" t="n">
        <v>46248.99930555555</v>
      </c>
      <c r="U1467" s="60" t="n">
        <v>100719</v>
      </c>
      <c r="W1467" t="inlineStr">
        <is>
          <t>sem correspondência</t>
        </is>
      </c>
      <c r="Y1467" t="inlineStr"/>
    </row>
    <row r="1468" ht="18" customHeight="1">
      <c r="A1468" s="54" t="inlineStr">
        <is>
          <t>Oliverhome</t>
        </is>
      </c>
      <c r="B1468" s="54" t="inlineStr">
        <is>
          <t>Kit 10 Cabide Multifuncional para Calças de Inox com 5 Divisórias Branco/Preto</t>
        </is>
      </c>
      <c r="C1468" s="54" t="inlineStr">
        <is>
          <t>Kit com 10 Cabides,Branco</t>
        </is>
      </c>
      <c r="D1468" s="54" t="inlineStr">
        <is>
          <t>CABIDE-10-BRANCO</t>
        </is>
      </c>
      <c r="E1468" s="54" t="n">
        <v>23898535596</v>
      </c>
      <c r="F1468" s="54" t="n">
        <v>169406160309</v>
      </c>
      <c r="G1468" s="54" t="inlineStr">
        <is>
          <t>NORMAL</t>
        </is>
      </c>
      <c r="H1468" s="86" t="n">
        <v>139.9</v>
      </c>
      <c r="I1468" s="86" t="n">
        <v>125.9</v>
      </c>
      <c r="J1468" s="56" t="inlineStr">
        <is>
          <t>SIM</t>
        </is>
      </c>
      <c r="K1468" s="86" t="n">
        <v>125.9</v>
      </c>
      <c r="L1468" s="87" t="n">
        <v>125.9</v>
      </c>
      <c r="M1468" s="88" t="n">
        <v>10</v>
      </c>
      <c r="N1468" s="89" t="n">
        <v>4.51</v>
      </c>
      <c r="O1468" s="89">
        <f>ROUND(M1468*N1468,2)</f>
        <v/>
      </c>
      <c r="P1468" s="90">
        <f>IF($O1468="","",L1468-O1468-(L1468*IF(L1468&lt;=79.99,20%,14%)+IF(L1468&lt;=79.99,4,IF(L1468&lt;=99.99,16,IF(L1468&lt;=199.99,20,IF(L1468&lt;=499.99,26,28)))))-L1468*1.3%-L1468*6%-(L1468-O1468)*9.25%-L1468*3%-L1468*3%-1)</f>
        <v/>
      </c>
      <c r="Q1468" s="58" t="n">
        <v>0.1</v>
      </c>
      <c r="R1468" s="54" t="inlineStr">
        <is>
          <t>478840979931317, 489574396802176</t>
        </is>
      </c>
      <c r="S1468" s="59" t="n">
        <v>46240.52083333334</v>
      </c>
      <c r="T1468" s="59" t="n">
        <v>46248.99930555555</v>
      </c>
      <c r="U1468" s="54" t="n">
        <v>101253</v>
      </c>
      <c r="V1468" t="inlineStr">
        <is>
          <t>214149</t>
        </is>
      </c>
      <c r="W1468" t="inlineStr">
        <is>
          <t>venda casada (2 pedidos) · custo do KIT 214486 (10× 214149)</t>
        </is>
      </c>
      <c r="X1468" t="n">
        <v>2</v>
      </c>
      <c r="Y1468" t="inlineStr">
        <is>
          <t>ok</t>
        </is>
      </c>
    </row>
    <row r="1469" ht="18" customHeight="1">
      <c r="A1469" s="60" t="inlineStr">
        <is>
          <t>Oliverhome</t>
        </is>
      </c>
      <c r="B1469" s="60" t="inlineStr">
        <is>
          <t>Kit 10 Cabide Multifuncional para Calças de Inox com 5 Divisórias Branco/Preto</t>
        </is>
      </c>
      <c r="C1469" s="60" t="inlineStr">
        <is>
          <t>Kit com 10 Cabides,Preto</t>
        </is>
      </c>
      <c r="D1469" s="60" t="inlineStr">
        <is>
          <t>CABIDE-10-PRETO</t>
        </is>
      </c>
      <c r="E1469" s="60" t="n">
        <v>23898535596</v>
      </c>
      <c r="F1469" s="60" t="n">
        <v>169406160310</v>
      </c>
      <c r="G1469" s="60" t="inlineStr">
        <is>
          <t>NORMAL</t>
        </is>
      </c>
      <c r="H1469" s="91" t="n">
        <v>139.9</v>
      </c>
      <c r="I1469" s="91" t="n">
        <v>139.9</v>
      </c>
      <c r="J1469" s="62" t="inlineStr">
        <is>
          <t>NÃO</t>
        </is>
      </c>
      <c r="K1469" s="60" t="inlineStr">
        <is>
          <t> </t>
        </is>
      </c>
      <c r="L1469" s="87" t="n">
        <v>139.9</v>
      </c>
      <c r="M1469" s="88" t="n">
        <v>10</v>
      </c>
      <c r="N1469" s="89" t="n">
        <v>4.51</v>
      </c>
      <c r="O1469" s="89">
        <f>ROUND(M1469*N1469,2)</f>
        <v/>
      </c>
      <c r="P1469" s="92">
        <f>IF($O1469="","",L1469-O1469-(L1469*IF(L1469&lt;=79.99,20%,14%)+IF(L1469&lt;=79.99,4,IF(L1469&lt;=99.99,16,IF(L1469&lt;=199.99,20,IF(L1469&lt;=499.99,26,28)))))-L1469*1.3%-L1469*6%-(L1469-O1469)*9.25%-L1469*3%-L1469*3%-1)</f>
        <v/>
      </c>
      <c r="Q1469" s="60" t="inlineStr">
        <is>
          <t> </t>
        </is>
      </c>
      <c r="R1469" s="60" t="inlineStr">
        <is>
          <t> </t>
        </is>
      </c>
      <c r="S1469" s="60" t="inlineStr">
        <is>
          <t> </t>
        </is>
      </c>
      <c r="T1469" s="60" t="inlineStr">
        <is>
          <t> </t>
        </is>
      </c>
      <c r="U1469" s="60" t="n">
        <v>101253</v>
      </c>
      <c r="V1469" t="inlineStr">
        <is>
          <t>214150</t>
        </is>
      </c>
      <c r="W1469" t="inlineStr">
        <is>
          <t>SKU do de-para · custo do KIT 214487 (10× 214150)</t>
        </is>
      </c>
      <c r="X1469" t="n">
        <v>11</v>
      </c>
      <c r="Y1469" t="inlineStr">
        <is>
          <t>ok</t>
        </is>
      </c>
    </row>
    <row r="1470" ht="18" customHeight="1">
      <c r="A1470" s="54" t="inlineStr">
        <is>
          <t>Oliverhome</t>
        </is>
      </c>
      <c r="B1470" s="54" t="inlineStr">
        <is>
          <t>Kit 10 Cabide Multifuncional para Calças de Inox com 5 Divisórias Branco/Preto</t>
        </is>
      </c>
      <c r="C1470" s="54" t="inlineStr">
        <is>
          <t>Kit com 5 Cabides,Branco</t>
        </is>
      </c>
      <c r="D1470" s="54" t="inlineStr">
        <is>
          <t>CABIDE-5-BRANCO</t>
        </is>
      </c>
      <c r="E1470" s="54" t="n">
        <v>23898535596</v>
      </c>
      <c r="F1470" s="54" t="n">
        <v>169406160307</v>
      </c>
      <c r="G1470" s="54" t="inlineStr">
        <is>
          <t>NORMAL</t>
        </is>
      </c>
      <c r="H1470" s="86" t="n">
        <v>89.90000000000001</v>
      </c>
      <c r="I1470" s="86" t="n">
        <v>74.90000000000001</v>
      </c>
      <c r="J1470" s="56" t="inlineStr">
        <is>
          <t>SIM</t>
        </is>
      </c>
      <c r="K1470" s="86" t="n">
        <v>74.90000000000001</v>
      </c>
      <c r="L1470" s="87" t="n">
        <v>74.90000000000001</v>
      </c>
      <c r="M1470" s="88" t="n">
        <v>5</v>
      </c>
      <c r="N1470" s="89" t="n">
        <v>4.51</v>
      </c>
      <c r="O1470" s="89">
        <f>ROUND(M1470*N1470,2)</f>
        <v/>
      </c>
      <c r="P1470" s="90">
        <f>IF($O1470="","",L1470-O1470-(L1470*IF(L1470&lt;=79.99,20%,14%)+IF(L1470&lt;=79.99,4,IF(L1470&lt;=99.99,16,IF(L1470&lt;=199.99,20,IF(L1470&lt;=499.99,26,28)))))-L1470*1.3%-L1470*6%-(L1470-O1470)*9.25%-L1470*3%-L1470*3%-1)</f>
        <v/>
      </c>
      <c r="Q1470" s="58" t="n">
        <v>0.167</v>
      </c>
      <c r="R1470" s="54" t="inlineStr">
        <is>
          <t>478840979931317, 489574396802176</t>
        </is>
      </c>
      <c r="S1470" s="59" t="n">
        <v>46240.52083333334</v>
      </c>
      <c r="T1470" s="59" t="n">
        <v>46248.99930555555</v>
      </c>
      <c r="U1470" s="54" t="n">
        <v>101253</v>
      </c>
      <c r="V1470" t="inlineStr">
        <is>
          <t>214149</t>
        </is>
      </c>
      <c r="W1470" t="inlineStr">
        <is>
          <t>SKU do de-para · custo do KIT 214157 (5× 214149)</t>
        </is>
      </c>
      <c r="X1470" t="n">
        <v>24</v>
      </c>
      <c r="Y1470" t="inlineStr">
        <is>
          <t>ok</t>
        </is>
      </c>
    </row>
    <row r="1471" ht="18" customHeight="1">
      <c r="A1471" s="60" t="inlineStr">
        <is>
          <t>Oliverhome</t>
        </is>
      </c>
      <c r="B1471" s="60" t="inlineStr">
        <is>
          <t>Kit 10 Cabide Multifuncional para Calças de Inox com 5 Divisórias Branco/Preto</t>
        </is>
      </c>
      <c r="C1471" s="60" t="inlineStr">
        <is>
          <t>Kit com 5 Cabides,Preto</t>
        </is>
      </c>
      <c r="D1471" s="60" t="inlineStr">
        <is>
          <t>CABIDE-5-PRETO</t>
        </is>
      </c>
      <c r="E1471" s="60" t="n">
        <v>23898535596</v>
      </c>
      <c r="F1471" s="60" t="n">
        <v>169406160308</v>
      </c>
      <c r="G1471" s="60" t="inlineStr">
        <is>
          <t>NORMAL</t>
        </is>
      </c>
      <c r="H1471" s="91" t="n">
        <v>89.90000000000001</v>
      </c>
      <c r="I1471" s="91" t="n">
        <v>89.90000000000001</v>
      </c>
      <c r="J1471" s="62" t="inlineStr">
        <is>
          <t>NÃO</t>
        </is>
      </c>
      <c r="K1471" s="60" t="inlineStr">
        <is>
          <t> </t>
        </is>
      </c>
      <c r="L1471" s="87" t="n">
        <v>89.90000000000001</v>
      </c>
      <c r="M1471" s="88" t="n">
        <v>5</v>
      </c>
      <c r="N1471" s="89" t="n">
        <v>4.51</v>
      </c>
      <c r="O1471" s="89">
        <f>ROUND(M1471*N1471,2)</f>
        <v/>
      </c>
      <c r="P1471" s="92">
        <f>IF($O1471="","",L1471-O1471-(L1471*IF(L1471&lt;=79.99,20%,14%)+IF(L1471&lt;=79.99,4,IF(L1471&lt;=99.99,16,IF(L1471&lt;=199.99,20,IF(L1471&lt;=499.99,26,28)))))-L1471*1.3%-L1471*6%-(L1471-O1471)*9.25%-L1471*3%-L1471*3%-1)</f>
        <v/>
      </c>
      <c r="Q1471" s="60" t="inlineStr">
        <is>
          <t> </t>
        </is>
      </c>
      <c r="R1471" s="60" t="inlineStr">
        <is>
          <t> </t>
        </is>
      </c>
      <c r="S1471" s="60" t="inlineStr">
        <is>
          <t> </t>
        </is>
      </c>
      <c r="T1471" s="60" t="inlineStr">
        <is>
          <t> </t>
        </is>
      </c>
      <c r="U1471" s="60" t="n">
        <v>101253</v>
      </c>
      <c r="V1471" t="inlineStr">
        <is>
          <t>214150</t>
        </is>
      </c>
      <c r="W1471" t="inlineStr">
        <is>
          <t>venda casada (1 pedido) · custo do KIT 214158 (5× 214150)</t>
        </is>
      </c>
      <c r="X1471" t="n">
        <v>1</v>
      </c>
      <c r="Y1471" t="inlineStr">
        <is>
          <t>⚠ evidência fraca (1 pedido)</t>
        </is>
      </c>
    </row>
    <row r="1472" ht="18" customHeight="1">
      <c r="A1472" s="54" t="inlineStr">
        <is>
          <t>Oliverhome</t>
        </is>
      </c>
      <c r="B1472" s="54" t="inlineStr">
        <is>
          <t>Kit 10 ou kit 5 Potes de Vidro 640ml Hermético Marmita Fit com Tampa 4 Travas Oliver Home</t>
        </is>
      </c>
      <c r="C1472" s="54" t="inlineStr">
        <is>
          <t>10 Potes,Azul</t>
        </is>
      </c>
      <c r="D1472" s="54" t="inlineStr">
        <is>
          <t>Kit pote 10 un 640 ml azul</t>
        </is>
      </c>
      <c r="E1472" s="54" t="n">
        <v>22394057673</v>
      </c>
      <c r="F1472" s="54" t="n">
        <v>219175433418</v>
      </c>
      <c r="G1472" s="54" t="inlineStr">
        <is>
          <t>NORMAL</t>
        </is>
      </c>
      <c r="H1472" s="86" t="n">
        <v>189.9</v>
      </c>
      <c r="I1472" s="86" t="n">
        <v>117.9</v>
      </c>
      <c r="J1472" s="56" t="inlineStr">
        <is>
          <t>SIM</t>
        </is>
      </c>
      <c r="K1472" s="86" t="n">
        <v>117.9</v>
      </c>
      <c r="L1472" s="87" t="n">
        <v>117.9</v>
      </c>
      <c r="M1472" s="88" t="n">
        <v>10</v>
      </c>
      <c r="N1472" s="89" t="n">
        <v>6.55</v>
      </c>
      <c r="O1472" s="89">
        <f>ROUND(M1472*N1472,2)</f>
        <v/>
      </c>
      <c r="P1472" s="90">
        <f>IF($O1472="","",L1472-O1472-(L1472*IF(L1472&lt;=79.99,20%,14%)+IF(L1472&lt;=79.99,4,IF(L1472&lt;=99.99,16,IF(L1472&lt;=199.99,20,IF(L1472&lt;=499.99,26,28)))))-L1472*1.3%-L1472*6%-(L1472-O1472)*9.25%-L1472*3%-L1472*3%-1)</f>
        <v/>
      </c>
      <c r="Q1472" s="58" t="n">
        <v>0.379</v>
      </c>
      <c r="R1472" s="54" t="n">
        <v>489574396802176</v>
      </c>
      <c r="S1472" s="59" t="n">
        <v>46240.52083333334</v>
      </c>
      <c r="T1472" s="59" t="n">
        <v>46353.5625</v>
      </c>
      <c r="U1472" s="54" t="n">
        <v>101220</v>
      </c>
      <c r="V1472" t="inlineStr">
        <is>
          <t>213878</t>
        </is>
      </c>
      <c r="W1472" t="inlineStr">
        <is>
          <t>venda casada (828 pedidos) · custo do KIT 215977 (10× 213878)</t>
        </is>
      </c>
      <c r="X1472" t="n">
        <v>828</v>
      </c>
      <c r="Y1472" t="inlineStr">
        <is>
          <t>ok</t>
        </is>
      </c>
    </row>
    <row r="1473" ht="18" customHeight="1">
      <c r="A1473" s="60" t="inlineStr">
        <is>
          <t>Oliverhome</t>
        </is>
      </c>
      <c r="B1473" s="60" t="inlineStr">
        <is>
          <t>Kit 10 ou kit 5 Potes de Vidro 640ml Hermético Marmita Fit com Tampa 4 Travas Oliver Home</t>
        </is>
      </c>
      <c r="C1473" s="60" t="inlineStr">
        <is>
          <t>10 Potes,Branco</t>
        </is>
      </c>
      <c r="D1473" s="60" t="inlineStr">
        <is>
          <t>Kit pote 10 un 640 ml branco</t>
        </is>
      </c>
      <c r="E1473" s="60" t="n">
        <v>22394057673</v>
      </c>
      <c r="F1473" s="60" t="n">
        <v>219175433414</v>
      </c>
      <c r="G1473" s="60" t="inlineStr">
        <is>
          <t>NORMAL</t>
        </is>
      </c>
      <c r="H1473" s="91" t="n">
        <v>189.9</v>
      </c>
      <c r="I1473" s="91" t="n">
        <v>117.9</v>
      </c>
      <c r="J1473" s="65" t="inlineStr">
        <is>
          <t>SIM</t>
        </is>
      </c>
      <c r="K1473" s="91" t="n">
        <v>117.9</v>
      </c>
      <c r="L1473" s="87" t="n">
        <v>117.9</v>
      </c>
      <c r="M1473" s="88" t="n">
        <v>10</v>
      </c>
      <c r="N1473" s="89" t="n">
        <v>6.55</v>
      </c>
      <c r="O1473" s="89">
        <f>ROUND(M1473*N1473,2)</f>
        <v/>
      </c>
      <c r="P1473" s="92">
        <f>IF($O1473="","",L1473-O1473-(L1473*IF(L1473&lt;=79.99,20%,14%)+IF(L1473&lt;=79.99,4,IF(L1473&lt;=99.99,16,IF(L1473&lt;=199.99,20,IF(L1473&lt;=499.99,26,28)))))-L1473*1.3%-L1473*6%-(L1473-O1473)*9.25%-L1473*3%-L1473*3%-1)</f>
        <v/>
      </c>
      <c r="Q1473" s="67" t="n">
        <v>0.379</v>
      </c>
      <c r="R1473" s="60" t="n">
        <v>489574396802176</v>
      </c>
      <c r="S1473" s="68" t="n">
        <v>46240.52083333334</v>
      </c>
      <c r="T1473" s="68" t="n">
        <v>46353.5625</v>
      </c>
      <c r="U1473" s="60" t="n">
        <v>101220</v>
      </c>
      <c r="V1473" t="inlineStr">
        <is>
          <t>213877</t>
        </is>
      </c>
      <c r="W1473" t="inlineStr">
        <is>
          <t>venda casada (494 pedidos) · custo do KIT 215993 (10× 213877)</t>
        </is>
      </c>
      <c r="X1473" t="n">
        <v>494</v>
      </c>
      <c r="Y1473" t="inlineStr">
        <is>
          <t>ok</t>
        </is>
      </c>
    </row>
    <row r="1474" ht="18" customHeight="1">
      <c r="A1474" s="54" t="inlineStr">
        <is>
          <t>Oliverhome</t>
        </is>
      </c>
      <c r="B1474" s="54" t="inlineStr">
        <is>
          <t>Kit 10 ou kit 5 Potes de Vidro 640ml Hermético Marmita Fit com Tampa 4 Travas Oliver Home</t>
        </is>
      </c>
      <c r="C1474" s="54" t="inlineStr">
        <is>
          <t>10 Potes,Sortido</t>
        </is>
      </c>
      <c r="D1474" s="54" t="inlineStr">
        <is>
          <t>Kit pote 10 un 640 ml sortido</t>
        </is>
      </c>
      <c r="E1474" s="54" t="n">
        <v>22394057673</v>
      </c>
      <c r="F1474" s="54" t="n">
        <v>219175433413</v>
      </c>
      <c r="G1474" s="54" t="inlineStr">
        <is>
          <t>NORMAL</t>
        </is>
      </c>
      <c r="H1474" s="86" t="n">
        <v>189.9</v>
      </c>
      <c r="I1474" s="86" t="n">
        <v>116.01</v>
      </c>
      <c r="J1474" s="56" t="inlineStr">
        <is>
          <t>SIM</t>
        </is>
      </c>
      <c r="K1474" s="86" t="n">
        <v>116.01</v>
      </c>
      <c r="L1474" s="87" t="n">
        <v>117.9</v>
      </c>
      <c r="M1474" s="88" t="n">
        <v>10</v>
      </c>
      <c r="N1474" s="89" t="n">
        <v>6.55</v>
      </c>
      <c r="O1474" s="89">
        <f>ROUND(M1474*N1474,2)</f>
        <v/>
      </c>
      <c r="P1474" s="90">
        <f>IF($O1474="","",L1474-O1474-(L1474*IF(L1474&lt;=79.99,20%,14%)+IF(L1474&lt;=79.99,4,IF(L1474&lt;=99.99,16,IF(L1474&lt;=199.99,20,IF(L1474&lt;=499.99,26,28)))))-L1474*1.3%-L1474*6%-(L1474-O1474)*9.25%-L1474*3%-L1474*3%-1)</f>
        <v/>
      </c>
      <c r="Q1474" s="58" t="n">
        <v>0.379</v>
      </c>
      <c r="R1474" s="54" t="n">
        <v>489574396802176</v>
      </c>
      <c r="S1474" s="59" t="n">
        <v>46240.52083333334</v>
      </c>
      <c r="T1474" s="59" t="n">
        <v>46353.5625</v>
      </c>
      <c r="U1474" s="54" t="n">
        <v>101220</v>
      </c>
      <c r="V1474" t="inlineStr">
        <is>
          <t>213877</t>
        </is>
      </c>
      <c r="W1474" t="inlineStr">
        <is>
          <t>venda casada (533 pedidos) · custo do KIT 215993 (10× 213877)</t>
        </is>
      </c>
      <c r="X1474" t="n">
        <v>533</v>
      </c>
      <c r="Y1474" t="inlineStr">
        <is>
          <t>ok</t>
        </is>
      </c>
    </row>
    <row r="1475" ht="18" customHeight="1">
      <c r="A1475" s="60" t="inlineStr">
        <is>
          <t>Oliverhome</t>
        </is>
      </c>
      <c r="B1475" s="60" t="inlineStr">
        <is>
          <t>Kit 10 ou kit 5 Potes de Vidro 640ml Hermético Marmita Fit com Tampa 4 Travas Oliver Home</t>
        </is>
      </c>
      <c r="C1475" s="60" t="inlineStr">
        <is>
          <t>5 Potes,Azul</t>
        </is>
      </c>
      <c r="D1475" s="60" t="inlineStr">
        <is>
          <t>Kit pote 5 un 640 ml azul</t>
        </is>
      </c>
      <c r="E1475" s="60" t="n">
        <v>22394057673</v>
      </c>
      <c r="F1475" s="60" t="n">
        <v>219175433415</v>
      </c>
      <c r="G1475" s="60" t="inlineStr">
        <is>
          <t>NORMAL</t>
        </is>
      </c>
      <c r="H1475" s="91" t="n">
        <v>109.9</v>
      </c>
      <c r="I1475" s="91" t="n">
        <v>77.89</v>
      </c>
      <c r="J1475" s="65" t="inlineStr">
        <is>
          <t>SIM</t>
        </is>
      </c>
      <c r="K1475" s="91" t="n">
        <v>77.89</v>
      </c>
      <c r="L1475" s="87" t="n">
        <v>77.89</v>
      </c>
      <c r="M1475" s="88" t="n">
        <v>5</v>
      </c>
      <c r="N1475" s="89" t="n">
        <v>6.55</v>
      </c>
      <c r="O1475" s="89">
        <f>ROUND(M1475*N1475,2)</f>
        <v/>
      </c>
      <c r="P1475" s="92">
        <f>IF($O1475="","",L1475-O1475-(L1475*IF(L1475&lt;=79.99,20%,14%)+IF(L1475&lt;=79.99,4,IF(L1475&lt;=99.99,16,IF(L1475&lt;=199.99,20,IF(L1475&lt;=499.99,26,28)))))-L1475*1.3%-L1475*6%-(L1475-O1475)*9.25%-L1475*3%-L1475*3%-1)</f>
        <v/>
      </c>
      <c r="Q1475" s="67" t="n">
        <v>0.291</v>
      </c>
      <c r="R1475" s="60" t="n">
        <v>489574396802176</v>
      </c>
      <c r="S1475" s="68" t="n">
        <v>46240.52083333334</v>
      </c>
      <c r="T1475" s="68" t="n">
        <v>46353.5625</v>
      </c>
      <c r="U1475" s="60" t="n">
        <v>101220</v>
      </c>
      <c r="V1475" t="inlineStr">
        <is>
          <t>213878</t>
        </is>
      </c>
      <c r="W1475" t="inlineStr">
        <is>
          <t>venda casada (341 pedidos) · custo do KIT 215974 (5× 213878)</t>
        </is>
      </c>
      <c r="X1475" t="n">
        <v>341</v>
      </c>
      <c r="Y1475" t="inlineStr">
        <is>
          <t>ok</t>
        </is>
      </c>
    </row>
    <row r="1476" ht="18" customHeight="1">
      <c r="A1476" s="54" t="inlineStr">
        <is>
          <t>Oliverhome</t>
        </is>
      </c>
      <c r="B1476" s="54" t="inlineStr">
        <is>
          <t>Kit 10 ou kit 5 Potes de Vidro 640ml Hermético Marmita Fit com Tampa 4 Travas Oliver Home</t>
        </is>
      </c>
      <c r="C1476" s="54" t="inlineStr">
        <is>
          <t>5 Potes,Branco</t>
        </is>
      </c>
      <c r="D1476" s="54" t="inlineStr">
        <is>
          <t>Kit pote 5 un 640 ml branco</t>
        </is>
      </c>
      <c r="E1476" s="54" t="n">
        <v>22394057673</v>
      </c>
      <c r="F1476" s="54" t="n">
        <v>219175433417</v>
      </c>
      <c r="G1476" s="54" t="inlineStr">
        <is>
          <t>NORMAL</t>
        </is>
      </c>
      <c r="H1476" s="86" t="n">
        <v>109.9</v>
      </c>
      <c r="I1476" s="86" t="n">
        <v>77.89</v>
      </c>
      <c r="J1476" s="56" t="inlineStr">
        <is>
          <t>SIM</t>
        </is>
      </c>
      <c r="K1476" s="86" t="n">
        <v>77.89</v>
      </c>
      <c r="L1476" s="87" t="n">
        <v>77.89</v>
      </c>
      <c r="M1476" s="88" t="n">
        <v>5</v>
      </c>
      <c r="N1476" s="89" t="n">
        <v>6.55</v>
      </c>
      <c r="O1476" s="89">
        <f>ROUND(M1476*N1476,2)</f>
        <v/>
      </c>
      <c r="P1476" s="90">
        <f>IF($O1476="","",L1476-O1476-(L1476*IF(L1476&lt;=79.99,20%,14%)+IF(L1476&lt;=79.99,4,IF(L1476&lt;=99.99,16,IF(L1476&lt;=199.99,20,IF(L1476&lt;=499.99,26,28)))))-L1476*1.3%-L1476*6%-(L1476-O1476)*9.25%-L1476*3%-L1476*3%-1)</f>
        <v/>
      </c>
      <c r="Q1476" s="58" t="n">
        <v>0.291</v>
      </c>
      <c r="R1476" s="54" t="n">
        <v>489574396802176</v>
      </c>
      <c r="S1476" s="59" t="n">
        <v>46240.52083333334</v>
      </c>
      <c r="T1476" s="59" t="n">
        <v>46353.5625</v>
      </c>
      <c r="U1476" s="54" t="n">
        <v>101220</v>
      </c>
      <c r="V1476" t="inlineStr">
        <is>
          <t>213877</t>
        </is>
      </c>
      <c r="W1476" t="inlineStr">
        <is>
          <t>venda casada (312 pedidos) · custo do KIT 215990 (5× 213877)</t>
        </is>
      </c>
      <c r="X1476" t="n">
        <v>312</v>
      </c>
      <c r="Y1476" t="inlineStr">
        <is>
          <t>ok</t>
        </is>
      </c>
    </row>
    <row r="1477" ht="18" customHeight="1">
      <c r="A1477" s="60" t="inlineStr">
        <is>
          <t>Oliverhome</t>
        </is>
      </c>
      <c r="B1477" s="60" t="inlineStr">
        <is>
          <t>Kit 10 ou kit 5 Potes de Vidro 640ml Hermético Marmita Fit com Tampa 4 Travas Oliver Home</t>
        </is>
      </c>
      <c r="C1477" s="60" t="inlineStr">
        <is>
          <t>5 Potes,Sortido</t>
        </is>
      </c>
      <c r="D1477" s="60" t="inlineStr">
        <is>
          <t>Kit pote 5 un 640 ml sortido</t>
        </is>
      </c>
      <c r="E1477" s="60" t="n">
        <v>22394057673</v>
      </c>
      <c r="F1477" s="60" t="n">
        <v>219175433416</v>
      </c>
      <c r="G1477" s="60" t="inlineStr">
        <is>
          <t>NORMAL</t>
        </is>
      </c>
      <c r="H1477" s="91" t="n">
        <v>109.9</v>
      </c>
      <c r="I1477" s="91" t="n">
        <v>77.89</v>
      </c>
      <c r="J1477" s="65" t="inlineStr">
        <is>
          <t>SIM</t>
        </is>
      </c>
      <c r="K1477" s="91" t="n">
        <v>77.89</v>
      </c>
      <c r="L1477" s="87" t="n">
        <v>77.89</v>
      </c>
      <c r="M1477" s="88" t="n">
        <v>5</v>
      </c>
      <c r="N1477" s="89" t="n">
        <v>6.55</v>
      </c>
      <c r="O1477" s="89">
        <f>ROUND(M1477*N1477,2)</f>
        <v/>
      </c>
      <c r="P1477" s="92">
        <f>IF($O1477="","",L1477-O1477-(L1477*IF(L1477&lt;=79.99,20%,14%)+IF(L1477&lt;=79.99,4,IF(L1477&lt;=99.99,16,IF(L1477&lt;=199.99,20,IF(L1477&lt;=499.99,26,28)))))-L1477*1.3%-L1477*6%-(L1477-O1477)*9.25%-L1477*3%-L1477*3%-1)</f>
        <v/>
      </c>
      <c r="Q1477" s="67" t="n">
        <v>0.291</v>
      </c>
      <c r="R1477" s="60" t="n">
        <v>489574396802176</v>
      </c>
      <c r="S1477" s="68" t="n">
        <v>46240.52083333334</v>
      </c>
      <c r="T1477" s="68" t="n">
        <v>46353.5625</v>
      </c>
      <c r="U1477" s="60" t="n">
        <v>101220</v>
      </c>
      <c r="V1477" t="inlineStr">
        <is>
          <t>213877</t>
        </is>
      </c>
      <c r="W1477" t="inlineStr">
        <is>
          <t>venda casada (286 pedidos) · custo do KIT 215990 (5× 213877)</t>
        </is>
      </c>
      <c r="X1477" t="n">
        <v>286</v>
      </c>
      <c r="Y1477" t="inlineStr">
        <is>
          <t>ok</t>
        </is>
      </c>
    </row>
    <row r="1478" ht="18" customHeight="1">
      <c r="A1478" s="54" t="inlineStr">
        <is>
          <t>Oliverhome</t>
        </is>
      </c>
      <c r="B1478" s="54" t="inlineStr">
        <is>
          <t>Kit 100 Cabides de Madeira Marfim Adulto Antideslizante Oliver Home</t>
        </is>
      </c>
      <c r="C1478" s="54" t="inlineStr">
        <is>
          <t>Sem variação</t>
        </is>
      </c>
      <c r="D1478" s="54" t="inlineStr">
        <is>
          <t>CABIDE-MARFIM-100 UN</t>
        </is>
      </c>
      <c r="E1478" s="54" t="n">
        <v>19098189745</v>
      </c>
      <c r="F1478" s="54" t="n">
        <v>0</v>
      </c>
      <c r="G1478" s="54" t="inlineStr">
        <is>
          <t>NORMAL</t>
        </is>
      </c>
      <c r="H1478" s="86" t="n">
        <v>569.9</v>
      </c>
      <c r="I1478" s="86" t="n">
        <v>389.9</v>
      </c>
      <c r="J1478" s="56" t="inlineStr">
        <is>
          <t>SIM</t>
        </is>
      </c>
      <c r="K1478" s="86" t="n">
        <v>389.9</v>
      </c>
      <c r="L1478" s="87" t="n">
        <v>389.9</v>
      </c>
      <c r="P1478" s="90">
        <f>IF($O1478="","",L1478-O1478-(L1478*IF(L1478&lt;=79.99,20%,14%)+IF(L1478&lt;=79.99,4,IF(L1478&lt;=99.99,16,IF(L1478&lt;=199.99,20,IF(L1478&lt;=499.99,26,28)))))-L1478*1.3%-L1478*6%-(L1478-O1478)*9.25%-L1478*3%-L1478*3%-1)</f>
        <v/>
      </c>
      <c r="Q1478" s="58" t="n">
        <v>0.316</v>
      </c>
      <c r="R1478" s="54" t="inlineStr">
        <is>
          <t>478840979931317, 488524742865093</t>
        </is>
      </c>
      <c r="S1478" s="59" t="n">
        <v>46248</v>
      </c>
      <c r="T1478" s="59" t="n">
        <v>46248.99930555555</v>
      </c>
      <c r="U1478" s="54" t="n">
        <v>101253</v>
      </c>
      <c r="W1478" t="inlineStr">
        <is>
          <t>ambíguo: CABIDE-MARFIM-100 UN (71%) vs 213176</t>
        </is>
      </c>
      <c r="X1478" t="n">
        <v>28</v>
      </c>
      <c r="Y1478" t="inlineStr"/>
    </row>
    <row r="1479" ht="18" customHeight="1">
      <c r="A1479" s="60" t="inlineStr">
        <is>
          <t>Oliverhome</t>
        </is>
      </c>
      <c r="B1479" s="60" t="inlineStr">
        <is>
          <t>Kit 100 Cabides De Veludo Slim Ultra Finos Antideslizante</t>
        </is>
      </c>
      <c r="C1479" s="60" t="inlineStr">
        <is>
          <t>Preto</t>
        </is>
      </c>
      <c r="D1479" s="60" t="inlineStr">
        <is>
          <t>CABIDE VELUDO-100UN-PRETO</t>
        </is>
      </c>
      <c r="E1479" s="60" t="n">
        <v>22394053525</v>
      </c>
      <c r="F1479" s="60" t="n">
        <v>199607852811</v>
      </c>
      <c r="G1479" s="60" t="inlineStr">
        <is>
          <t>NORMAL</t>
        </is>
      </c>
      <c r="H1479" s="91" t="n">
        <v>249.9</v>
      </c>
      <c r="I1479" s="91" t="n">
        <v>134.89</v>
      </c>
      <c r="J1479" s="65" t="inlineStr">
        <is>
          <t>SIM</t>
        </is>
      </c>
      <c r="K1479" s="91" t="n">
        <v>134.89</v>
      </c>
      <c r="L1479" s="87" t="n">
        <v>134.89</v>
      </c>
      <c r="M1479" s="88" t="n">
        <v>100</v>
      </c>
      <c r="N1479" s="89" t="n">
        <v>0.59</v>
      </c>
      <c r="O1479" s="89">
        <f>ROUND(M1479*N1479,2)</f>
        <v/>
      </c>
      <c r="P1479" s="92">
        <f>IF($O1479="","",L1479-O1479-(L1479*IF(L1479&lt;=79.99,20%,14%)+IF(L1479&lt;=79.99,4,IF(L1479&lt;=99.99,16,IF(L1479&lt;=199.99,20,IF(L1479&lt;=499.99,26,28)))))-L1479*1.3%-L1479*6%-(L1479-O1479)*9.25%-L1479*3%-L1479*3%-1)</f>
        <v/>
      </c>
      <c r="Q1479" s="67" t="n">
        <v>0.46</v>
      </c>
      <c r="R1479" s="60" t="inlineStr">
        <is>
          <t>478840979931317, 488524742865093, 489574396802176</t>
        </is>
      </c>
      <c r="S1479" s="68" t="n">
        <v>46240.52083333334</v>
      </c>
      <c r="T1479" s="68" t="n">
        <v>46248.99930555555</v>
      </c>
      <c r="U1479" s="60" t="n">
        <v>101253</v>
      </c>
      <c r="V1479" t="inlineStr">
        <is>
          <t>213997</t>
        </is>
      </c>
      <c r="W1479" t="inlineStr">
        <is>
          <t>venda casada (443 pedidos) · custo do KIT 214017 (100× 213997)</t>
        </is>
      </c>
      <c r="X1479" t="n">
        <v>443</v>
      </c>
      <c r="Y1479" t="inlineStr">
        <is>
          <t>ok</t>
        </is>
      </c>
    </row>
    <row r="1480" ht="18" customHeight="1">
      <c r="A1480" s="54" t="inlineStr">
        <is>
          <t>Oliverhome</t>
        </is>
      </c>
      <c r="B1480" s="54" t="inlineStr">
        <is>
          <t>Kit 12 Potes de Vidro 640ml Hermético Marmita Fit com Tampa 4 Travas Oliver Home</t>
        </is>
      </c>
      <c r="C1480" s="54" t="inlineStr">
        <is>
          <t>Azul</t>
        </is>
      </c>
      <c r="D1480" s="54" t="inlineStr">
        <is>
          <t>Kit pote 12 un 640ml azul</t>
        </is>
      </c>
      <c r="E1480" s="54" t="n">
        <v>21798186203</v>
      </c>
      <c r="F1480" s="54" t="n">
        <v>119868895283</v>
      </c>
      <c r="G1480" s="54" t="inlineStr">
        <is>
          <t>NORMAL</t>
        </is>
      </c>
      <c r="H1480" s="86" t="n">
        <v>209.9</v>
      </c>
      <c r="I1480" s="86" t="n">
        <v>179.89</v>
      </c>
      <c r="J1480" s="56" t="inlineStr">
        <is>
          <t>SIM</t>
        </is>
      </c>
      <c r="K1480" s="86" t="n">
        <v>179.89</v>
      </c>
      <c r="L1480" s="87" t="n">
        <v>179.89</v>
      </c>
      <c r="P1480" s="90">
        <f>IF($O1480="","",L1480-O1480-(L1480*IF(L1480&lt;=79.99,20%,14%)+IF(L1480&lt;=79.99,4,IF(L1480&lt;=99.99,16,IF(L1480&lt;=199.99,20,IF(L1480&lt;=499.99,26,28)))))-L1480*1.3%-L1480*6%-(L1480-O1480)*9.25%-L1480*3%-L1480*3%-1)</f>
        <v/>
      </c>
      <c r="Q1480" s="58" t="n">
        <v>0.143</v>
      </c>
      <c r="R1480" s="54" t="inlineStr">
        <is>
          <t>478840979931317, 490987084534129</t>
        </is>
      </c>
      <c r="S1480" s="59" t="n">
        <v>46248</v>
      </c>
      <c r="T1480" s="59" t="n">
        <v>46248.99930555555</v>
      </c>
      <c r="U1480" s="54" t="n">
        <v>101220</v>
      </c>
      <c r="V1480" t="inlineStr">
        <is>
          <t>Kit pote 12 un 640ml azul</t>
        </is>
      </c>
      <c r="W1480" t="inlineStr">
        <is>
          <t>SKU idêntico na Olist · CUSTO ZERADO na Olist (conferido hoje)</t>
        </is>
      </c>
      <c r="Y1480" t="inlineStr">
        <is>
          <t>ok</t>
        </is>
      </c>
    </row>
    <row r="1481" ht="18" customHeight="1">
      <c r="A1481" s="60" t="inlineStr">
        <is>
          <t>Oliverhome</t>
        </is>
      </c>
      <c r="B1481" s="60" t="inlineStr">
        <is>
          <t>Kit 12 Potes de Vidro 640ml Hermético Marmita Fit com Tampa 4 Travas Oliver Home</t>
        </is>
      </c>
      <c r="C1481" s="60" t="inlineStr">
        <is>
          <t>Branco</t>
        </is>
      </c>
      <c r="D1481" s="60" t="inlineStr">
        <is>
          <t>Kit pote 12 un 640ml branco</t>
        </is>
      </c>
      <c r="E1481" s="60" t="n">
        <v>21798186203</v>
      </c>
      <c r="F1481" s="60" t="n">
        <v>119868895282</v>
      </c>
      <c r="G1481" s="60" t="inlineStr">
        <is>
          <t>NORMAL</t>
        </is>
      </c>
      <c r="H1481" s="91" t="n">
        <v>209.9</v>
      </c>
      <c r="I1481" s="91" t="n">
        <v>179.89</v>
      </c>
      <c r="J1481" s="65" t="inlineStr">
        <is>
          <t>SIM</t>
        </is>
      </c>
      <c r="K1481" s="91" t="n">
        <v>179.89</v>
      </c>
      <c r="L1481" s="87" t="n">
        <v>179.89</v>
      </c>
      <c r="M1481" s="88" t="n">
        <v>12</v>
      </c>
      <c r="N1481" s="89" t="n">
        <v>6.55</v>
      </c>
      <c r="O1481" s="89">
        <f>ROUND(M1481*N1481,2)</f>
        <v/>
      </c>
      <c r="P1481" s="92">
        <f>IF($O1481="","",L1481-O1481-(L1481*IF(L1481&lt;=79.99,20%,14%)+IF(L1481&lt;=79.99,4,IF(L1481&lt;=99.99,16,IF(L1481&lt;=199.99,20,IF(L1481&lt;=499.99,26,28)))))-L1481*1.3%-L1481*6%-(L1481-O1481)*9.25%-L1481*3%-L1481*3%-1)</f>
        <v/>
      </c>
      <c r="Q1481" s="67" t="n">
        <v>0.143</v>
      </c>
      <c r="R1481" s="60" t="inlineStr">
        <is>
          <t>478840979931317, 490987084534129</t>
        </is>
      </c>
      <c r="S1481" s="68" t="n">
        <v>46248</v>
      </c>
      <c r="T1481" s="68" t="n">
        <v>46248.99930555555</v>
      </c>
      <c r="U1481" s="60" t="n">
        <v>101220</v>
      </c>
      <c r="V1481" t="inlineStr">
        <is>
          <t>213877</t>
        </is>
      </c>
      <c r="W1481" t="inlineStr">
        <is>
          <t>venda casada (1 pedido) · custo do KIT 215994 (12× 213877)</t>
        </is>
      </c>
      <c r="X1481" t="n">
        <v>1</v>
      </c>
      <c r="Y1481" t="inlineStr">
        <is>
          <t>⚠ evidência fraca (1 pedido)</t>
        </is>
      </c>
    </row>
    <row r="1482" ht="18" customHeight="1">
      <c r="A1482" s="54" t="inlineStr">
        <is>
          <t>Oliverhome</t>
        </is>
      </c>
      <c r="B1482" s="54" t="inlineStr">
        <is>
          <t>Kit 12 Potes de Vidro 640ml Hermético Marmita Fit com Tampa 4 Travas Oliver Home</t>
        </is>
      </c>
      <c r="C1482" s="54" t="inlineStr">
        <is>
          <t>Sortido</t>
        </is>
      </c>
      <c r="D1482" s="54" t="inlineStr">
        <is>
          <t>Kit pote 12 un 640ml sortido</t>
        </is>
      </c>
      <c r="E1482" s="54" t="n">
        <v>21798186203</v>
      </c>
      <c r="F1482" s="54" t="n">
        <v>119868895281</v>
      </c>
      <c r="G1482" s="54" t="inlineStr">
        <is>
          <t>NORMAL</t>
        </is>
      </c>
      <c r="H1482" s="86" t="n">
        <v>209.9</v>
      </c>
      <c r="I1482" s="86" t="n">
        <v>179.89</v>
      </c>
      <c r="J1482" s="56" t="inlineStr">
        <is>
          <t>SIM</t>
        </is>
      </c>
      <c r="K1482" s="86" t="n">
        <v>179.89</v>
      </c>
      <c r="L1482" s="87" t="n">
        <v>179.89</v>
      </c>
      <c r="M1482" s="88" t="n">
        <v>12</v>
      </c>
      <c r="N1482" s="89" t="n">
        <v>6.55</v>
      </c>
      <c r="O1482" s="89">
        <f>ROUND(M1482*N1482,2)</f>
        <v/>
      </c>
      <c r="P1482" s="90">
        <f>IF($O1482="","",L1482-O1482-(L1482*IF(L1482&lt;=79.99,20%,14%)+IF(L1482&lt;=79.99,4,IF(L1482&lt;=99.99,16,IF(L1482&lt;=199.99,20,IF(L1482&lt;=499.99,26,28)))))-L1482*1.3%-L1482*6%-(L1482-O1482)*9.25%-L1482*3%-L1482*3%-1)</f>
        <v/>
      </c>
      <c r="Q1482" s="58" t="n">
        <v>0.143</v>
      </c>
      <c r="R1482" s="54" t="inlineStr">
        <is>
          <t>478840979931317, 490987084534129</t>
        </is>
      </c>
      <c r="S1482" s="59" t="n">
        <v>46248</v>
      </c>
      <c r="T1482" s="59" t="n">
        <v>46248.99930555555</v>
      </c>
      <c r="U1482" s="54" t="n">
        <v>101220</v>
      </c>
      <c r="V1482" t="inlineStr">
        <is>
          <t>213877</t>
        </is>
      </c>
      <c r="W1482" t="inlineStr">
        <is>
          <t>SKU do de-para · custo do KIT 215994 (12× 213877)</t>
        </is>
      </c>
      <c r="X1482" t="n">
        <v>2</v>
      </c>
      <c r="Y1482" t="inlineStr">
        <is>
          <t>ok</t>
        </is>
      </c>
    </row>
    <row r="1483" ht="18" customHeight="1">
      <c r="A1483" s="60" t="inlineStr">
        <is>
          <t>Oliverhome</t>
        </is>
      </c>
      <c r="B1483" s="60" t="inlineStr">
        <is>
          <t>Kit 3 / 5 ou 10 Potes Vidro Hermético mantimentos marmita 370ml - Pote Hermético - Oliver Home</t>
        </is>
      </c>
      <c r="C1483" s="60" t="inlineStr">
        <is>
          <t>10 Potes,Azul</t>
        </is>
      </c>
      <c r="D1483" s="60" t="inlineStr">
        <is>
          <t>Kit pote 10 un 370ml azul</t>
        </is>
      </c>
      <c r="E1483" s="60" t="n">
        <v>22098569180</v>
      </c>
      <c r="F1483" s="60" t="n">
        <v>219607881854</v>
      </c>
      <c r="G1483" s="60" t="inlineStr">
        <is>
          <t>NORMAL</t>
        </is>
      </c>
      <c r="H1483" s="91" t="n">
        <v>159.9</v>
      </c>
      <c r="I1483" s="91" t="n">
        <v>77.89</v>
      </c>
      <c r="J1483" s="65" t="inlineStr">
        <is>
          <t>SIM</t>
        </is>
      </c>
      <c r="K1483" s="91" t="n">
        <v>77.89</v>
      </c>
      <c r="L1483" s="87" t="n">
        <v>77.90000000000001</v>
      </c>
      <c r="P1483" s="92">
        <f>IF($O1483="","",L1483-O1483-(L1483*IF(L1483&lt;=79.99,20%,14%)+IF(L1483&lt;=79.99,4,IF(L1483&lt;=99.99,16,IF(L1483&lt;=199.99,20,IF(L1483&lt;=499.99,26,28)))))-L1483*1.3%-L1483*6%-(L1483-O1483)*9.25%-L1483*3%-L1483*3%-1)</f>
        <v/>
      </c>
      <c r="Q1483" s="67" t="n">
        <v>0.513</v>
      </c>
      <c r="R1483" s="60" t="n">
        <v>489574396802176</v>
      </c>
      <c r="S1483" s="68" t="n">
        <v>46240.52083333334</v>
      </c>
      <c r="T1483" s="68" t="n">
        <v>46353.5625</v>
      </c>
      <c r="U1483" s="60" t="n">
        <v>101220</v>
      </c>
      <c r="W1483" t="inlineStr">
        <is>
          <t>ambíguo: 213876 (53%) vs Kit pote 10 un 370ml azul</t>
        </is>
      </c>
      <c r="X1483" t="n">
        <v>610</v>
      </c>
      <c r="Y1483" t="inlineStr"/>
    </row>
    <row r="1484" ht="18" customHeight="1">
      <c r="A1484" s="54" t="inlineStr">
        <is>
          <t>Oliverhome</t>
        </is>
      </c>
      <c r="B1484" s="54" t="inlineStr">
        <is>
          <t>Kit 3 / 5 ou 10 Potes Vidro Hermético mantimentos marmita 370ml - Pote Hermético - Oliver Home</t>
        </is>
      </c>
      <c r="C1484" s="54" t="inlineStr">
        <is>
          <t>10 Potes,Azul</t>
        </is>
      </c>
      <c r="D1484" s="54" t="inlineStr">
        <is>
          <t>10 potes 370 azul</t>
        </is>
      </c>
      <c r="E1484" s="54" t="n">
        <v>58210948812</v>
      </c>
      <c r="F1484" s="54" t="n">
        <v>228805694062</v>
      </c>
      <c r="G1484" s="54" t="inlineStr">
        <is>
          <t>NORMAL</t>
        </is>
      </c>
      <c r="H1484" s="86" t="n">
        <v>159.9</v>
      </c>
      <c r="I1484" s="86" t="n">
        <v>77.89</v>
      </c>
      <c r="J1484" s="56" t="inlineStr">
        <is>
          <t>SIM</t>
        </is>
      </c>
      <c r="K1484" s="86" t="n">
        <v>77.89</v>
      </c>
      <c r="L1484" s="87" t="n">
        <v>77.90000000000001</v>
      </c>
      <c r="M1484" s="88" t="n">
        <v>10</v>
      </c>
      <c r="N1484" s="89" t="n">
        <v>3.93</v>
      </c>
      <c r="O1484" s="89">
        <f>ROUND(M1484*N1484,2)</f>
        <v/>
      </c>
      <c r="P1484" s="90">
        <f>IF($O1484="","",L1484-O1484-(L1484*IF(L1484&lt;=79.99,20%,14%)+IF(L1484&lt;=79.99,4,IF(L1484&lt;=99.99,16,IF(L1484&lt;=199.99,20,IF(L1484&lt;=499.99,26,28)))))-L1484*1.3%-L1484*6%-(L1484-O1484)*9.25%-L1484*3%-L1484*3%-1)</f>
        <v/>
      </c>
      <c r="Q1484" s="58" t="n">
        <v>0.513</v>
      </c>
      <c r="R1484" s="54" t="n">
        <v>489574396802176</v>
      </c>
      <c r="S1484" s="59" t="n">
        <v>46240.52083333334</v>
      </c>
      <c r="T1484" s="59" t="n">
        <v>46353.5625</v>
      </c>
      <c r="U1484" s="54" t="n">
        <v>101220</v>
      </c>
      <c r="V1484" t="inlineStr">
        <is>
          <t>213876</t>
        </is>
      </c>
      <c r="W1484" t="inlineStr">
        <is>
          <t>venda casada (222 pedidos) · custo do KIT 215945 (10× 213876)</t>
        </is>
      </c>
      <c r="X1484" t="n">
        <v>222</v>
      </c>
      <c r="Y1484" t="inlineStr">
        <is>
          <t>ok</t>
        </is>
      </c>
    </row>
    <row r="1485" ht="18" customHeight="1">
      <c r="A1485" s="60" t="inlineStr">
        <is>
          <t>Oliverhome</t>
        </is>
      </c>
      <c r="B1485" s="60" t="inlineStr">
        <is>
          <t>Kit 3 / 5 ou 10 Potes Vidro Hermético mantimentos marmita 370ml - Pote Hermético - Oliver Home</t>
        </is>
      </c>
      <c r="C1485" s="60" t="inlineStr">
        <is>
          <t>10 Potes,Branco</t>
        </is>
      </c>
      <c r="D1485" s="60" t="inlineStr">
        <is>
          <t>Kit pote 10 un 370ml branco</t>
        </is>
      </c>
      <c r="E1485" s="60" t="n">
        <v>22098569180</v>
      </c>
      <c r="F1485" s="60" t="n">
        <v>219607881856</v>
      </c>
      <c r="G1485" s="60" t="inlineStr">
        <is>
          <t>NORMAL</t>
        </is>
      </c>
      <c r="H1485" s="91" t="n">
        <v>159.9</v>
      </c>
      <c r="I1485" s="91" t="n">
        <v>77.89</v>
      </c>
      <c r="J1485" s="65" t="inlineStr">
        <is>
          <t>SIM</t>
        </is>
      </c>
      <c r="K1485" s="91" t="n">
        <v>77.89</v>
      </c>
      <c r="L1485" s="87" t="n">
        <v>77.90000000000001</v>
      </c>
      <c r="P1485" s="92">
        <f>IF($O1485="","",L1485-O1485-(L1485*IF(L1485&lt;=79.99,20%,14%)+IF(L1485&lt;=79.99,4,IF(L1485&lt;=99.99,16,IF(L1485&lt;=199.99,20,IF(L1485&lt;=499.99,26,28)))))-L1485*1.3%-L1485*6%-(L1485-O1485)*9.25%-L1485*3%-L1485*3%-1)</f>
        <v/>
      </c>
      <c r="Q1485" s="67" t="n">
        <v>0.513</v>
      </c>
      <c r="R1485" s="60" t="n">
        <v>489574396802176</v>
      </c>
      <c r="S1485" s="68" t="n">
        <v>46240.52083333334</v>
      </c>
      <c r="T1485" s="68" t="n">
        <v>46353.5625</v>
      </c>
      <c r="U1485" s="60" t="n">
        <v>101220</v>
      </c>
      <c r="W1485" t="inlineStr">
        <is>
          <t>ambíguo: 213875 (55%) vs Kit pote 10 un 370ml branco</t>
        </is>
      </c>
      <c r="X1485" t="n">
        <v>900</v>
      </c>
      <c r="Y1485" t="inlineStr"/>
    </row>
    <row r="1486" ht="18" customHeight="1">
      <c r="A1486" s="54" t="inlineStr">
        <is>
          <t>Oliverhome</t>
        </is>
      </c>
      <c r="B1486" s="54" t="inlineStr">
        <is>
          <t>Kit 3 / 5 ou 10 Potes Vidro Hermético mantimentos marmita 370ml - Pote Hermético - Oliver Home</t>
        </is>
      </c>
      <c r="C1486" s="54" t="inlineStr">
        <is>
          <t>10 Potes,Branco</t>
        </is>
      </c>
      <c r="D1486" s="54" t="inlineStr">
        <is>
          <t>10 potes 370 branco</t>
        </is>
      </c>
      <c r="E1486" s="54" t="n">
        <v>58210948812</v>
      </c>
      <c r="F1486" s="54" t="n">
        <v>228805694063</v>
      </c>
      <c r="G1486" s="54" t="inlineStr">
        <is>
          <t>NORMAL</t>
        </is>
      </c>
      <c r="H1486" s="86" t="n">
        <v>159.9</v>
      </c>
      <c r="I1486" s="86" t="n">
        <v>77.89</v>
      </c>
      <c r="J1486" s="56" t="inlineStr">
        <is>
          <t>SIM</t>
        </is>
      </c>
      <c r="K1486" s="86" t="n">
        <v>77.89</v>
      </c>
      <c r="L1486" s="87" t="n">
        <v>77.90000000000001</v>
      </c>
      <c r="M1486" s="88" t="n">
        <v>10</v>
      </c>
      <c r="N1486" s="89" t="n">
        <v>3.93</v>
      </c>
      <c r="O1486" s="89">
        <f>ROUND(M1486*N1486,2)</f>
        <v/>
      </c>
      <c r="P1486" s="90">
        <f>IF($O1486="","",L1486-O1486-(L1486*IF(L1486&lt;=79.99,20%,14%)+IF(L1486&lt;=79.99,4,IF(L1486&lt;=99.99,16,IF(L1486&lt;=199.99,20,IF(L1486&lt;=499.99,26,28)))))-L1486*1.3%-L1486*6%-(L1486-O1486)*9.25%-L1486*3%-L1486*3%-1)</f>
        <v/>
      </c>
      <c r="Q1486" s="58" t="n">
        <v>0.513</v>
      </c>
      <c r="R1486" s="54" t="n">
        <v>489574396802176</v>
      </c>
      <c r="S1486" s="59" t="n">
        <v>46240.52083333334</v>
      </c>
      <c r="T1486" s="59" t="n">
        <v>46353.5625</v>
      </c>
      <c r="U1486" s="54" t="n">
        <v>101220</v>
      </c>
      <c r="V1486" t="inlineStr">
        <is>
          <t>213875</t>
        </is>
      </c>
      <c r="W1486" t="inlineStr">
        <is>
          <t>venda casada (303 pedidos) · custo do KIT 215961 (10× 213875)</t>
        </is>
      </c>
      <c r="X1486" t="n">
        <v>303</v>
      </c>
      <c r="Y1486" t="inlineStr">
        <is>
          <t>ok</t>
        </is>
      </c>
    </row>
    <row r="1487" ht="18" customHeight="1">
      <c r="A1487" s="60" t="inlineStr">
        <is>
          <t>Oliverhome</t>
        </is>
      </c>
      <c r="B1487" s="60" t="inlineStr">
        <is>
          <t>Kit 3 / 5 ou 10 Potes Vidro Hermético mantimentos marmita 370ml - Pote Hermético - Oliver Home</t>
        </is>
      </c>
      <c r="C1487" s="60" t="inlineStr">
        <is>
          <t>10 Potes,Sortido</t>
        </is>
      </c>
      <c r="D1487" s="60" t="inlineStr">
        <is>
          <t>Kit pote 10 un 370ml sortido</t>
        </is>
      </c>
      <c r="E1487" s="60" t="n">
        <v>22098569180</v>
      </c>
      <c r="F1487" s="60" t="n">
        <v>219607881857</v>
      </c>
      <c r="G1487" s="60" t="inlineStr">
        <is>
          <t>NORMAL</t>
        </is>
      </c>
      <c r="H1487" s="91" t="n">
        <v>159.9</v>
      </c>
      <c r="I1487" s="91" t="n">
        <v>77.89</v>
      </c>
      <c r="J1487" s="65" t="inlineStr">
        <is>
          <t>SIM</t>
        </is>
      </c>
      <c r="K1487" s="91" t="n">
        <v>77.89</v>
      </c>
      <c r="L1487" s="87" t="n">
        <v>77.90000000000001</v>
      </c>
      <c r="M1487" s="88" t="n">
        <v>10</v>
      </c>
      <c r="N1487" s="89" t="n">
        <v>3.93</v>
      </c>
      <c r="O1487" s="89">
        <f>ROUND(M1487*N1487,2)</f>
        <v/>
      </c>
      <c r="P1487" s="92">
        <f>IF($O1487="","",L1487-O1487-(L1487*IF(L1487&lt;=79.99,20%,14%)+IF(L1487&lt;=79.99,4,IF(L1487&lt;=99.99,16,IF(L1487&lt;=199.99,20,IF(L1487&lt;=499.99,26,28)))))-L1487*1.3%-L1487*6%-(L1487-O1487)*9.25%-L1487*3%-L1487*3%-1)</f>
        <v/>
      </c>
      <c r="Q1487" s="67" t="n">
        <v>0.513</v>
      </c>
      <c r="R1487" s="60" t="n">
        <v>489574396802176</v>
      </c>
      <c r="S1487" s="68" t="n">
        <v>46240.52083333334</v>
      </c>
      <c r="T1487" s="68" t="n">
        <v>46353.5625</v>
      </c>
      <c r="U1487" s="60" t="n">
        <v>101220</v>
      </c>
      <c r="V1487" t="inlineStr">
        <is>
          <t>213875</t>
        </is>
      </c>
      <c r="W1487" t="inlineStr">
        <is>
          <t>venda casada (241 pedidos) · custo do KIT 215961 (10× 213875)</t>
        </is>
      </c>
      <c r="X1487" t="n">
        <v>241</v>
      </c>
      <c r="Y1487" t="inlineStr">
        <is>
          <t>ok</t>
        </is>
      </c>
    </row>
    <row r="1488" ht="18" customHeight="1">
      <c r="A1488" s="54" t="inlineStr">
        <is>
          <t>Oliverhome</t>
        </is>
      </c>
      <c r="B1488" s="54" t="inlineStr">
        <is>
          <t>Kit 3 / 5 ou 10 Potes Vidro Hermético mantimentos marmita 370ml - Pote Hermético - Oliver Home</t>
        </is>
      </c>
      <c r="C1488" s="54" t="inlineStr">
        <is>
          <t>10 Potes,Sortido</t>
        </is>
      </c>
      <c r="D1488" s="54" t="inlineStr">
        <is>
          <t>10 potes 370 sortido</t>
        </is>
      </c>
      <c r="E1488" s="54" t="n">
        <v>58210948812</v>
      </c>
      <c r="F1488" s="54" t="n">
        <v>228805694064</v>
      </c>
      <c r="G1488" s="54" t="inlineStr">
        <is>
          <t>NORMAL</t>
        </is>
      </c>
      <c r="H1488" s="86" t="n">
        <v>159.9</v>
      </c>
      <c r="I1488" s="86" t="n">
        <v>77.90000000000001</v>
      </c>
      <c r="J1488" s="56" t="inlineStr">
        <is>
          <t>SIM</t>
        </is>
      </c>
      <c r="K1488" s="86" t="n">
        <v>77.90000000000001</v>
      </c>
      <c r="L1488" s="87" t="n">
        <v>77.90000000000001</v>
      </c>
      <c r="M1488" s="88" t="n">
        <v>10</v>
      </c>
      <c r="N1488" s="89" t="n">
        <v>3.93</v>
      </c>
      <c r="O1488" s="89">
        <f>ROUND(M1488*N1488,2)</f>
        <v/>
      </c>
      <c r="P1488" s="90">
        <f>IF($O1488="","",L1488-O1488-(L1488*IF(L1488&lt;=79.99,20%,14%)+IF(L1488&lt;=79.99,4,IF(L1488&lt;=99.99,16,IF(L1488&lt;=199.99,20,IF(L1488&lt;=499.99,26,28)))))-L1488*1.3%-L1488*6%-(L1488-O1488)*9.25%-L1488*3%-L1488*3%-1)</f>
        <v/>
      </c>
      <c r="Q1488" s="58" t="n">
        <v>0.513</v>
      </c>
      <c r="R1488" s="54" t="n">
        <v>489574396802176</v>
      </c>
      <c r="S1488" s="59" t="n">
        <v>46240.52083333334</v>
      </c>
      <c r="T1488" s="59" t="n">
        <v>46353.5625</v>
      </c>
      <c r="U1488" s="54" t="n">
        <v>101220</v>
      </c>
      <c r="V1488" t="inlineStr">
        <is>
          <t>213875</t>
        </is>
      </c>
      <c r="W1488" t="inlineStr">
        <is>
          <t>venda casada (304 pedidos) · custo do KIT 215961 (10× 213875)</t>
        </is>
      </c>
      <c r="X1488" t="n">
        <v>304</v>
      </c>
      <c r="Y1488" t="inlineStr">
        <is>
          <t>ok</t>
        </is>
      </c>
    </row>
    <row r="1489" ht="18" customHeight="1">
      <c r="A1489" s="60" t="inlineStr">
        <is>
          <t>Oliverhome</t>
        </is>
      </c>
      <c r="B1489" s="60" t="inlineStr">
        <is>
          <t>Kit 3 / 5 ou 10 Potes Vidro Hermético mantimentos marmita 370ml - Pote Hermético - Oliver Home</t>
        </is>
      </c>
      <c r="C1489" s="60" t="inlineStr">
        <is>
          <t>3 Potes,Azul</t>
        </is>
      </c>
      <c r="D1489" s="60" t="inlineStr">
        <is>
          <t>Kit pote 3 un 370ml azul</t>
        </is>
      </c>
      <c r="E1489" s="60" t="n">
        <v>22098569180</v>
      </c>
      <c r="F1489" s="60" t="n">
        <v>219607881858</v>
      </c>
      <c r="G1489" s="60" t="inlineStr">
        <is>
          <t>NORMAL</t>
        </is>
      </c>
      <c r="H1489" s="91" t="n">
        <v>79.90000000000001</v>
      </c>
      <c r="I1489" s="91" t="n">
        <v>29.88</v>
      </c>
      <c r="J1489" s="65" t="inlineStr">
        <is>
          <t>SIM</t>
        </is>
      </c>
      <c r="K1489" s="91" t="n">
        <v>29.88</v>
      </c>
      <c r="L1489" s="87" t="n">
        <v>29.89</v>
      </c>
      <c r="M1489" s="88" t="n">
        <v>3</v>
      </c>
      <c r="N1489" s="89" t="n">
        <v>3.93</v>
      </c>
      <c r="O1489" s="89">
        <f>ROUND(M1489*N1489,2)</f>
        <v/>
      </c>
      <c r="P1489" s="92">
        <f>IF($O1489="","",L1489-O1489-(L1489*IF(L1489&lt;=79.99,20%,14%)+IF(L1489&lt;=79.99,4,IF(L1489&lt;=99.99,16,IF(L1489&lt;=199.99,20,IF(L1489&lt;=499.99,26,28)))))-L1489*1.3%-L1489*6%-(L1489-O1489)*9.25%-L1489*3%-L1489*3%-1)</f>
        <v/>
      </c>
      <c r="Q1489" s="67" t="n">
        <v>0.626</v>
      </c>
      <c r="R1489" s="60" t="n">
        <v>489574396802176</v>
      </c>
      <c r="S1489" s="68" t="n">
        <v>46240.52083333334</v>
      </c>
      <c r="T1489" s="68" t="n">
        <v>46353.5625</v>
      </c>
      <c r="U1489" s="60" t="n">
        <v>101220</v>
      </c>
      <c r="V1489" t="inlineStr">
        <is>
          <t>213876</t>
        </is>
      </c>
      <c r="W1489" t="inlineStr">
        <is>
          <t>venda casada (684 pedidos) · custo do KIT 215941 (3× 213876)</t>
        </is>
      </c>
      <c r="X1489" t="n">
        <v>684</v>
      </c>
      <c r="Y1489" t="inlineStr">
        <is>
          <t>ok</t>
        </is>
      </c>
    </row>
    <row r="1490" ht="18" customHeight="1">
      <c r="A1490" s="54" t="inlineStr">
        <is>
          <t>Oliverhome</t>
        </is>
      </c>
      <c r="B1490" s="54" t="inlineStr">
        <is>
          <t>Kit 3 / 5 ou 10 Potes Vidro Hermético mantimentos marmita 370ml - Pote Hermético - Oliver Home</t>
        </is>
      </c>
      <c r="C1490" s="54" t="inlineStr">
        <is>
          <t>3 Potes,Branco</t>
        </is>
      </c>
      <c r="D1490" s="54" t="inlineStr">
        <is>
          <t>Kit pote 3 un 370ml branco</t>
        </is>
      </c>
      <c r="E1490" s="54" t="n">
        <v>22098569180</v>
      </c>
      <c r="F1490" s="54" t="n">
        <v>219607881859</v>
      </c>
      <c r="G1490" s="54" t="inlineStr">
        <is>
          <t>NORMAL</t>
        </is>
      </c>
      <c r="H1490" s="86" t="n">
        <v>79.90000000000001</v>
      </c>
      <c r="I1490" s="86" t="n">
        <v>29.88</v>
      </c>
      <c r="J1490" s="56" t="inlineStr">
        <is>
          <t>SIM</t>
        </is>
      </c>
      <c r="K1490" s="86" t="n">
        <v>29.88</v>
      </c>
      <c r="L1490" s="87" t="n">
        <v>29.89</v>
      </c>
      <c r="M1490" s="88" t="n">
        <v>3</v>
      </c>
      <c r="N1490" s="89" t="n">
        <v>3.93</v>
      </c>
      <c r="O1490" s="89">
        <f>ROUND(M1490*N1490,2)</f>
        <v/>
      </c>
      <c r="P1490" s="90">
        <f>IF($O1490="","",L1490-O1490-(L1490*IF(L1490&lt;=79.99,20%,14%)+IF(L1490&lt;=79.99,4,IF(L1490&lt;=99.99,16,IF(L1490&lt;=199.99,20,IF(L1490&lt;=499.99,26,28)))))-L1490*1.3%-L1490*6%-(L1490-O1490)*9.25%-L1490*3%-L1490*3%-1)</f>
        <v/>
      </c>
      <c r="Q1490" s="58" t="n">
        <v>0.626</v>
      </c>
      <c r="R1490" s="54" t="n">
        <v>489574396802176</v>
      </c>
      <c r="S1490" s="59" t="n">
        <v>46240.52083333334</v>
      </c>
      <c r="T1490" s="59" t="n">
        <v>46353.5625</v>
      </c>
      <c r="U1490" s="54" t="n">
        <v>101220</v>
      </c>
      <c r="V1490" t="inlineStr">
        <is>
          <t>213875</t>
        </is>
      </c>
      <c r="W1490" t="inlineStr">
        <is>
          <t>venda casada (339 pedidos) · custo do KIT 215957 (3× 213875)</t>
        </is>
      </c>
      <c r="X1490" t="n">
        <v>339</v>
      </c>
      <c r="Y1490" t="inlineStr">
        <is>
          <t>ok</t>
        </is>
      </c>
    </row>
    <row r="1491" ht="18" customHeight="1">
      <c r="A1491" s="60" t="inlineStr">
        <is>
          <t>Oliverhome</t>
        </is>
      </c>
      <c r="B1491" s="60" t="inlineStr">
        <is>
          <t>Kit 3 / 5 ou 10 Potes Vidro Hermético mantimentos marmita 370ml - Pote Hermético - Oliver Home</t>
        </is>
      </c>
      <c r="C1491" s="60" t="inlineStr">
        <is>
          <t>3 Potes,Sortido</t>
        </is>
      </c>
      <c r="D1491" s="60" t="inlineStr">
        <is>
          <t>Kit pote 3 un 370ml sortido</t>
        </is>
      </c>
      <c r="E1491" s="60" t="n">
        <v>22098569180</v>
      </c>
      <c r="F1491" s="60" t="n">
        <v>219607881860</v>
      </c>
      <c r="G1491" s="60" t="inlineStr">
        <is>
          <t>NORMAL</t>
        </is>
      </c>
      <c r="H1491" s="91" t="n">
        <v>79.90000000000001</v>
      </c>
      <c r="I1491" s="91" t="n">
        <v>29.88</v>
      </c>
      <c r="J1491" s="65" t="inlineStr">
        <is>
          <t>SIM</t>
        </is>
      </c>
      <c r="K1491" s="91" t="n">
        <v>29.88</v>
      </c>
      <c r="L1491" s="87" t="n">
        <v>29.89</v>
      </c>
      <c r="M1491" s="88" t="n">
        <v>3</v>
      </c>
      <c r="N1491" s="89" t="n">
        <v>3.93</v>
      </c>
      <c r="O1491" s="89">
        <f>ROUND(M1491*N1491,2)</f>
        <v/>
      </c>
      <c r="P1491" s="92">
        <f>IF($O1491="","",L1491-O1491-(L1491*IF(L1491&lt;=79.99,20%,14%)+IF(L1491&lt;=79.99,4,IF(L1491&lt;=99.99,16,IF(L1491&lt;=199.99,20,IF(L1491&lt;=499.99,26,28)))))-L1491*1.3%-L1491*6%-(L1491-O1491)*9.25%-L1491*3%-L1491*3%-1)</f>
        <v/>
      </c>
      <c r="Q1491" s="67" t="n">
        <v>0.626</v>
      </c>
      <c r="R1491" s="60" t="n">
        <v>489574396802176</v>
      </c>
      <c r="S1491" s="68" t="n">
        <v>46240.52083333334</v>
      </c>
      <c r="T1491" s="68" t="n">
        <v>46353.5625</v>
      </c>
      <c r="U1491" s="60" t="n">
        <v>101220</v>
      </c>
      <c r="V1491" t="inlineStr">
        <is>
          <t>213875</t>
        </is>
      </c>
      <c r="W1491" t="inlineStr">
        <is>
          <t>venda casada (132 pedidos) · custo do KIT 215957 (3× 213875)</t>
        </is>
      </c>
      <c r="X1491" t="n">
        <v>132</v>
      </c>
      <c r="Y1491" t="inlineStr">
        <is>
          <t>ok</t>
        </is>
      </c>
    </row>
    <row r="1492" ht="18" customHeight="1">
      <c r="A1492" s="54" t="inlineStr">
        <is>
          <t>Oliverhome</t>
        </is>
      </c>
      <c r="B1492" s="54" t="inlineStr">
        <is>
          <t>Kit 3 / 5 ou 10 Potes Vidro Hermético mantimentos marmita 370ml - Pote Hermético - Oliver Home</t>
        </is>
      </c>
      <c r="C1492" s="54" t="inlineStr">
        <is>
          <t>5 Potes,Azul</t>
        </is>
      </c>
      <c r="D1492" s="54" t="inlineStr">
        <is>
          <t>Kit pote 5 un 370ml azul</t>
        </is>
      </c>
      <c r="E1492" s="54" t="n">
        <v>22098569180</v>
      </c>
      <c r="F1492" s="54" t="n">
        <v>219607881855</v>
      </c>
      <c r="G1492" s="54" t="inlineStr">
        <is>
          <t>NORMAL</t>
        </is>
      </c>
      <c r="H1492" s="86" t="n">
        <v>99.90000000000001</v>
      </c>
      <c r="I1492" s="86" t="n">
        <v>44.88</v>
      </c>
      <c r="J1492" s="56" t="inlineStr">
        <is>
          <t>SIM</t>
        </is>
      </c>
      <c r="K1492" s="86" t="n">
        <v>44.88</v>
      </c>
      <c r="L1492" s="87" t="n">
        <v>44.89</v>
      </c>
      <c r="M1492" s="88" t="n">
        <v>5</v>
      </c>
      <c r="N1492" s="89" t="n">
        <v>3.93</v>
      </c>
      <c r="O1492" s="89">
        <f>ROUND(M1492*N1492,2)</f>
        <v/>
      </c>
      <c r="P1492" s="90">
        <f>IF($O1492="","",L1492-O1492-(L1492*IF(L1492&lt;=79.99,20%,14%)+IF(L1492&lt;=79.99,4,IF(L1492&lt;=99.99,16,IF(L1492&lt;=199.99,20,IF(L1492&lt;=499.99,26,28)))))-L1492*1.3%-L1492*6%-(L1492-O1492)*9.25%-L1492*3%-L1492*3%-1)</f>
        <v/>
      </c>
      <c r="Q1492" s="58" t="n">
        <v>0.551</v>
      </c>
      <c r="R1492" s="54" t="n">
        <v>489574396802176</v>
      </c>
      <c r="S1492" s="59" t="n">
        <v>46240.52083333334</v>
      </c>
      <c r="T1492" s="59" t="n">
        <v>46353.5625</v>
      </c>
      <c r="U1492" s="54" t="n">
        <v>101220</v>
      </c>
      <c r="V1492" t="inlineStr">
        <is>
          <t>213876</t>
        </is>
      </c>
      <c r="W1492" t="inlineStr">
        <is>
          <t>venda casada (558 pedidos) · custo do KIT 215942 (5× 213876)</t>
        </is>
      </c>
      <c r="X1492" t="n">
        <v>558</v>
      </c>
      <c r="Y1492" t="inlineStr">
        <is>
          <t>ok</t>
        </is>
      </c>
    </row>
    <row r="1493" ht="18" customHeight="1">
      <c r="A1493" s="60" t="inlineStr">
        <is>
          <t>Oliverhome</t>
        </is>
      </c>
      <c r="B1493" s="60" t="inlineStr">
        <is>
          <t>Kit 3 / 5 ou 10 Potes Vidro Hermético mantimentos marmita 370ml - Pote Hermético - Oliver Home</t>
        </is>
      </c>
      <c r="C1493" s="60" t="inlineStr">
        <is>
          <t>5 Potes,Branco</t>
        </is>
      </c>
      <c r="D1493" s="60" t="inlineStr">
        <is>
          <t>Kit pote 5 un 370ml branco</t>
        </is>
      </c>
      <c r="E1493" s="60" t="n">
        <v>22098569180</v>
      </c>
      <c r="F1493" s="60" t="n">
        <v>219607881852</v>
      </c>
      <c r="G1493" s="60" t="inlineStr">
        <is>
          <t>NORMAL</t>
        </is>
      </c>
      <c r="H1493" s="91" t="n">
        <v>99.90000000000001</v>
      </c>
      <c r="I1493" s="91" t="n">
        <v>44.88</v>
      </c>
      <c r="J1493" s="65" t="inlineStr">
        <is>
          <t>SIM</t>
        </is>
      </c>
      <c r="K1493" s="91" t="n">
        <v>44.88</v>
      </c>
      <c r="L1493" s="87" t="n">
        <v>44.89</v>
      </c>
      <c r="M1493" s="88" t="n">
        <v>5</v>
      </c>
      <c r="N1493" s="89" t="n">
        <v>3.93</v>
      </c>
      <c r="O1493" s="89">
        <f>ROUND(M1493*N1493,2)</f>
        <v/>
      </c>
      <c r="P1493" s="92">
        <f>IF($O1493="","",L1493-O1493-(L1493*IF(L1493&lt;=79.99,20%,14%)+IF(L1493&lt;=79.99,4,IF(L1493&lt;=99.99,16,IF(L1493&lt;=199.99,20,IF(L1493&lt;=499.99,26,28)))))-L1493*1.3%-L1493*6%-(L1493-O1493)*9.25%-L1493*3%-L1493*3%-1)</f>
        <v/>
      </c>
      <c r="Q1493" s="67" t="n">
        <v>0.551</v>
      </c>
      <c r="R1493" s="60" t="n">
        <v>489574396802176</v>
      </c>
      <c r="S1493" s="68" t="n">
        <v>46240.52083333334</v>
      </c>
      <c r="T1493" s="68" t="n">
        <v>46353.5625</v>
      </c>
      <c r="U1493" s="60" t="n">
        <v>101220</v>
      </c>
      <c r="V1493" t="inlineStr">
        <is>
          <t>213875</t>
        </is>
      </c>
      <c r="W1493" t="inlineStr">
        <is>
          <t>venda casada (390 pedidos) · custo do KIT 215958 (5× 213875)</t>
        </is>
      </c>
      <c r="X1493" t="n">
        <v>390</v>
      </c>
      <c r="Y1493" t="inlineStr">
        <is>
          <t>ok</t>
        </is>
      </c>
    </row>
    <row r="1494" ht="18" customHeight="1">
      <c r="A1494" s="54" t="inlineStr">
        <is>
          <t>Oliverhome</t>
        </is>
      </c>
      <c r="B1494" s="54" t="inlineStr">
        <is>
          <t>Kit 3 / 5 ou 10 Potes Vidro Hermético mantimentos marmita 370ml - Pote Hermético - Oliver Home</t>
        </is>
      </c>
      <c r="C1494" s="54" t="inlineStr">
        <is>
          <t>5 Potes,Sortido</t>
        </is>
      </c>
      <c r="D1494" s="54" t="inlineStr">
        <is>
          <t>Kit pote 5 un 370ml sortido</t>
        </is>
      </c>
      <c r="E1494" s="54" t="n">
        <v>22098569180</v>
      </c>
      <c r="F1494" s="54" t="n">
        <v>219607881853</v>
      </c>
      <c r="G1494" s="54" t="inlineStr">
        <is>
          <t>NORMAL</t>
        </is>
      </c>
      <c r="H1494" s="86" t="n">
        <v>99.90000000000001</v>
      </c>
      <c r="I1494" s="86" t="n">
        <v>44.88</v>
      </c>
      <c r="J1494" s="56" t="inlineStr">
        <is>
          <t>SIM</t>
        </is>
      </c>
      <c r="K1494" s="86" t="n">
        <v>44.88</v>
      </c>
      <c r="L1494" s="87" t="n">
        <v>44.89</v>
      </c>
      <c r="M1494" s="88" t="n">
        <v>5</v>
      </c>
      <c r="N1494" s="89" t="n">
        <v>3.93</v>
      </c>
      <c r="O1494" s="89">
        <f>ROUND(M1494*N1494,2)</f>
        <v/>
      </c>
      <c r="P1494" s="90">
        <f>IF($O1494="","",L1494-O1494-(L1494*IF(L1494&lt;=79.99,20%,14%)+IF(L1494&lt;=79.99,4,IF(L1494&lt;=99.99,16,IF(L1494&lt;=199.99,20,IF(L1494&lt;=499.99,26,28)))))-L1494*1.3%-L1494*6%-(L1494-O1494)*9.25%-L1494*3%-L1494*3%-1)</f>
        <v/>
      </c>
      <c r="Q1494" s="58" t="n">
        <v>0.551</v>
      </c>
      <c r="R1494" s="54" t="n">
        <v>489574396802176</v>
      </c>
      <c r="S1494" s="59" t="n">
        <v>46240.52083333334</v>
      </c>
      <c r="T1494" s="59" t="n">
        <v>46353.5625</v>
      </c>
      <c r="U1494" s="54" t="n">
        <v>101220</v>
      </c>
      <c r="V1494" t="inlineStr">
        <is>
          <t>213875</t>
        </is>
      </c>
      <c r="W1494" t="inlineStr">
        <is>
          <t>venda casada (158 pedidos) · custo do KIT 215958 (5× 213875)</t>
        </is>
      </c>
      <c r="X1494" t="n">
        <v>158</v>
      </c>
      <c r="Y1494" t="inlineStr">
        <is>
          <t>ok</t>
        </is>
      </c>
    </row>
    <row r="1495" ht="18" customHeight="1">
      <c r="A1495" s="60" t="inlineStr">
        <is>
          <t>Oliverhome</t>
        </is>
      </c>
      <c r="B1495" s="60" t="inlineStr">
        <is>
          <t>Kit 3 Cabide Multifuncional para Calças de Inox com 5 Divisórias Branco/Preto</t>
        </is>
      </c>
      <c r="C1495" s="60" t="inlineStr">
        <is>
          <t>Kit com 2 Cabides,Branco</t>
        </is>
      </c>
      <c r="D1495" s="60" t="inlineStr">
        <is>
          <t>CABIDE-2-BRANCO</t>
        </is>
      </c>
      <c r="E1495" s="60" t="n">
        <v>23094048972</v>
      </c>
      <c r="F1495" s="60" t="n">
        <v>179406154795</v>
      </c>
      <c r="G1495" s="60" t="inlineStr">
        <is>
          <t>NORMAL</t>
        </is>
      </c>
      <c r="H1495" s="91" t="n">
        <v>49.9</v>
      </c>
      <c r="I1495" s="91" t="n">
        <v>29.9</v>
      </c>
      <c r="J1495" s="65" t="inlineStr">
        <is>
          <t>SIM</t>
        </is>
      </c>
      <c r="K1495" s="91" t="n">
        <v>29.9</v>
      </c>
      <c r="L1495" s="87" t="n">
        <v>29.9</v>
      </c>
      <c r="M1495" s="88" t="n">
        <v>2</v>
      </c>
      <c r="N1495" s="89" t="n">
        <v>4.51</v>
      </c>
      <c r="O1495" s="89">
        <f>ROUND(M1495*N1495,2)</f>
        <v/>
      </c>
      <c r="P1495" s="92">
        <f>IF($O1495="","",L1495-O1495-(L1495*IF(L1495&lt;=79.99,20%,14%)+IF(L1495&lt;=79.99,4,IF(L1495&lt;=99.99,16,IF(L1495&lt;=199.99,20,IF(L1495&lt;=499.99,26,28)))))-L1495*1.3%-L1495*6%-(L1495-O1495)*9.25%-L1495*3%-L1495*3%-1)</f>
        <v/>
      </c>
      <c r="Q1495" s="67" t="n">
        <v>0.401</v>
      </c>
      <c r="R1495" s="60" t="inlineStr">
        <is>
          <t>478840979931317, 489574396802176</t>
        </is>
      </c>
      <c r="S1495" s="68" t="n">
        <v>46240.52083333334</v>
      </c>
      <c r="T1495" s="68" t="n">
        <v>46248.99930555555</v>
      </c>
      <c r="U1495" s="60" t="n">
        <v>101253</v>
      </c>
      <c r="V1495" t="inlineStr">
        <is>
          <t>214149</t>
        </is>
      </c>
      <c r="W1495" t="inlineStr">
        <is>
          <t>venda casada (300 pedidos) · custo do KIT 214153 (2× 214149)</t>
        </is>
      </c>
      <c r="X1495" t="n">
        <v>300</v>
      </c>
      <c r="Y1495" t="inlineStr">
        <is>
          <t>ok</t>
        </is>
      </c>
    </row>
    <row r="1496" ht="18" customHeight="1">
      <c r="A1496" s="54" t="inlineStr">
        <is>
          <t>Oliverhome</t>
        </is>
      </c>
      <c r="B1496" s="54" t="inlineStr">
        <is>
          <t>Kit 3 Cabide Multifuncional para Calças de Inox com 5 Divisórias Branco/Preto</t>
        </is>
      </c>
      <c r="C1496" s="54" t="inlineStr">
        <is>
          <t>Kit com 2 Cabides,Preto</t>
        </is>
      </c>
      <c r="D1496" s="54" t="inlineStr">
        <is>
          <t>CABIDE-2-PRETO</t>
        </is>
      </c>
      <c r="E1496" s="54" t="n">
        <v>23094048972</v>
      </c>
      <c r="F1496" s="54" t="n">
        <v>179406154796</v>
      </c>
      <c r="G1496" s="54" t="inlineStr">
        <is>
          <t>NORMAL</t>
        </is>
      </c>
      <c r="H1496" s="86" t="n">
        <v>49.9</v>
      </c>
      <c r="I1496" s="86" t="n">
        <v>49.9</v>
      </c>
      <c r="J1496" s="69" t="inlineStr">
        <is>
          <t>NÃO</t>
        </is>
      </c>
      <c r="K1496" s="54" t="n"/>
      <c r="L1496" s="87" t="n">
        <v>49.9</v>
      </c>
      <c r="M1496" s="88" t="n">
        <v>2</v>
      </c>
      <c r="N1496" s="89" t="n">
        <v>4.51</v>
      </c>
      <c r="O1496" s="89">
        <f>ROUND(M1496*N1496,2)</f>
        <v/>
      </c>
      <c r="P1496" s="90">
        <f>IF($O1496="","",L1496-O1496-(L1496*IF(L1496&lt;=79.99,20%,14%)+IF(L1496&lt;=79.99,4,IF(L1496&lt;=99.99,16,IF(L1496&lt;=199.99,20,IF(L1496&lt;=499.99,26,28)))))-L1496*1.3%-L1496*6%-(L1496-O1496)*9.25%-L1496*3%-L1496*3%-1)</f>
        <v/>
      </c>
      <c r="Q1496" s="54">
        <f>IF(AND(K1496&lt;&gt;"",H1496&gt;0),(H1496-K1496)/H1496,"")</f>
        <v/>
      </c>
      <c r="R1496" s="54" t="n"/>
      <c r="S1496" s="54" t="n"/>
      <c r="T1496" s="54" t="n"/>
      <c r="U1496" s="54" t="n">
        <v>101253</v>
      </c>
      <c r="V1496" t="inlineStr">
        <is>
          <t>214150</t>
        </is>
      </c>
      <c r="W1496" t="inlineStr">
        <is>
          <t>venda casada (83 pedidos) · custo do KIT 214154 (2× 214150)</t>
        </is>
      </c>
      <c r="X1496" t="n">
        <v>83</v>
      </c>
      <c r="Y1496" t="inlineStr">
        <is>
          <t>ok</t>
        </is>
      </c>
    </row>
    <row r="1497" ht="18" customHeight="1">
      <c r="A1497" s="60" t="inlineStr">
        <is>
          <t>Oliverhome</t>
        </is>
      </c>
      <c r="B1497" s="60" t="inlineStr">
        <is>
          <t>Kit 3 Cabide Multifuncional para Calças de Inox com 5 Divisórias Branco/Preto</t>
        </is>
      </c>
      <c r="C1497" s="60" t="inlineStr">
        <is>
          <t>Kit com 3 Cabides,Branco</t>
        </is>
      </c>
      <c r="D1497" s="60" t="inlineStr">
        <is>
          <t>CABIDE-3-BRANCO</t>
        </is>
      </c>
      <c r="E1497" s="60" t="n">
        <v>23094048972</v>
      </c>
      <c r="F1497" s="60" t="n">
        <v>179406154797</v>
      </c>
      <c r="G1497" s="60" t="inlineStr">
        <is>
          <t>NORMAL</t>
        </is>
      </c>
      <c r="H1497" s="91" t="n">
        <v>59.9</v>
      </c>
      <c r="I1497" s="91" t="n">
        <v>44.9</v>
      </c>
      <c r="J1497" s="65" t="inlineStr">
        <is>
          <t>SIM</t>
        </is>
      </c>
      <c r="K1497" s="91" t="n">
        <v>44.9</v>
      </c>
      <c r="L1497" s="87" t="n">
        <v>44.9</v>
      </c>
      <c r="M1497" s="88" t="n">
        <v>3</v>
      </c>
      <c r="N1497" s="89" t="n">
        <v>4.51</v>
      </c>
      <c r="O1497" s="89">
        <f>ROUND(M1497*N1497,2)</f>
        <v/>
      </c>
      <c r="P1497" s="92">
        <f>IF($O1497="","",L1497-O1497-(L1497*IF(L1497&lt;=79.99,20%,14%)+IF(L1497&lt;=79.99,4,IF(L1497&lt;=99.99,16,IF(L1497&lt;=199.99,20,IF(L1497&lt;=499.99,26,28)))))-L1497*1.3%-L1497*6%-(L1497-O1497)*9.25%-L1497*3%-L1497*3%-1)</f>
        <v/>
      </c>
      <c r="Q1497" s="67" t="n">
        <v>0.25</v>
      </c>
      <c r="R1497" s="60" t="inlineStr">
        <is>
          <t>478840979931317, 489574396802176</t>
        </is>
      </c>
      <c r="S1497" s="68" t="n">
        <v>46240.52083333334</v>
      </c>
      <c r="T1497" s="68" t="n">
        <v>46248.99930555555</v>
      </c>
      <c r="U1497" s="60" t="n">
        <v>101253</v>
      </c>
      <c r="V1497" t="inlineStr">
        <is>
          <t>214149</t>
        </is>
      </c>
      <c r="W1497" t="inlineStr">
        <is>
          <t>venda casada (222 pedidos) · custo do KIT 214155 (3× 214149)</t>
        </is>
      </c>
      <c r="X1497" t="n">
        <v>222</v>
      </c>
      <c r="Y1497" t="inlineStr">
        <is>
          <t>ok</t>
        </is>
      </c>
    </row>
    <row r="1498" ht="18" customHeight="1">
      <c r="A1498" s="54" t="inlineStr">
        <is>
          <t>Oliverhome</t>
        </is>
      </c>
      <c r="B1498" s="54" t="inlineStr">
        <is>
          <t>Kit 3 Cabide Multifuncional para Calças de Inox com 5 Divisórias Branco/Preto</t>
        </is>
      </c>
      <c r="C1498" s="54" t="inlineStr">
        <is>
          <t>Kit com 3 Cabides,Preto</t>
        </is>
      </c>
      <c r="D1498" s="54" t="inlineStr">
        <is>
          <t>CABIDE-3-PRETO</t>
        </is>
      </c>
      <c r="E1498" s="54" t="n">
        <v>23094048972</v>
      </c>
      <c r="F1498" s="54" t="n">
        <v>179406154798</v>
      </c>
      <c r="G1498" s="54" t="inlineStr">
        <is>
          <t>NORMAL</t>
        </is>
      </c>
      <c r="H1498" s="86" t="n">
        <v>59.9</v>
      </c>
      <c r="I1498" s="86" t="n">
        <v>59.9</v>
      </c>
      <c r="J1498" s="69" t="inlineStr">
        <is>
          <t>NÃO</t>
        </is>
      </c>
      <c r="K1498" s="54" t="n"/>
      <c r="L1498" s="87" t="n">
        <v>59.9</v>
      </c>
      <c r="M1498" s="88" t="n">
        <v>3</v>
      </c>
      <c r="N1498" s="89" t="n">
        <v>4.51</v>
      </c>
      <c r="O1498" s="89">
        <f>ROUND(M1498*N1498,2)</f>
        <v/>
      </c>
      <c r="P1498" s="90">
        <f>IF($O1498="","",L1498-O1498-(L1498*IF(L1498&lt;=79.99,20%,14%)+IF(L1498&lt;=79.99,4,IF(L1498&lt;=99.99,16,IF(L1498&lt;=199.99,20,IF(L1498&lt;=499.99,26,28)))))-L1498*1.3%-L1498*6%-(L1498-O1498)*9.25%-L1498*3%-L1498*3%-1)</f>
        <v/>
      </c>
      <c r="Q1498" s="54">
        <f>IF(AND(K1498&lt;&gt;"",H1498&gt;0),(H1498-K1498)/H1498,"")</f>
        <v/>
      </c>
      <c r="R1498" s="54" t="n"/>
      <c r="S1498" s="54" t="n"/>
      <c r="T1498" s="54" t="n"/>
      <c r="U1498" s="54" t="n">
        <v>101253</v>
      </c>
      <c r="V1498" t="inlineStr">
        <is>
          <t>214150</t>
        </is>
      </c>
      <c r="W1498" t="inlineStr">
        <is>
          <t>venda casada (75 pedidos) · custo do KIT 214156 (3× 214150)</t>
        </is>
      </c>
      <c r="X1498" t="n">
        <v>75</v>
      </c>
      <c r="Y1498" t="inlineStr">
        <is>
          <t>ok</t>
        </is>
      </c>
    </row>
    <row r="1499" ht="18" customHeight="1">
      <c r="A1499" s="60" t="inlineStr">
        <is>
          <t>Oliverhome</t>
        </is>
      </c>
      <c r="B1499" s="60" t="inlineStr">
        <is>
          <t>Kit 3 Cabide Para Calças Roupas Multiuso Reforçado Adulto Saias Camisetas Oliver Home</t>
        </is>
      </c>
      <c r="C1499" s="60" t="inlineStr">
        <is>
          <t>Sem variação</t>
        </is>
      </c>
      <c r="D1499" s="60" t="inlineStr">
        <is>
          <t>CABIDE 3</t>
        </is>
      </c>
      <c r="E1499" s="60" t="n">
        <v>20499773220</v>
      </c>
      <c r="F1499" s="60" t="n">
        <v>0</v>
      </c>
      <c r="G1499" s="60" t="inlineStr">
        <is>
          <t>NORMAL</t>
        </is>
      </c>
      <c r="H1499" s="91" t="n">
        <v>59.9</v>
      </c>
      <c r="I1499" s="91" t="n">
        <v>29.9</v>
      </c>
      <c r="J1499" s="65" t="inlineStr">
        <is>
          <t>SIM</t>
        </is>
      </c>
      <c r="K1499" s="91" t="n">
        <v>29.9</v>
      </c>
      <c r="L1499" s="87" t="n">
        <v>29.9</v>
      </c>
      <c r="M1499" s="88" t="n">
        <v>3</v>
      </c>
      <c r="N1499" s="89" t="n">
        <v>4.51</v>
      </c>
      <c r="O1499" s="89">
        <f>ROUND(M1499*N1499,2)</f>
        <v/>
      </c>
      <c r="P1499" s="92">
        <f>IF($O1499="","",L1499-O1499-(L1499*IF(L1499&lt;=79.99,20%,14%)+IF(L1499&lt;=79.99,4,IF(L1499&lt;=99.99,16,IF(L1499&lt;=199.99,20,IF(L1499&lt;=499.99,26,28)))))-L1499*1.3%-L1499*6%-(L1499-O1499)*9.25%-L1499*3%-L1499*3%-1)</f>
        <v/>
      </c>
      <c r="Q1499" s="67" t="n">
        <v>0.501</v>
      </c>
      <c r="R1499" s="60" t="inlineStr">
        <is>
          <t>478840979931317, 489574396802176</t>
        </is>
      </c>
      <c r="S1499" s="68" t="n">
        <v>46240.52083333334</v>
      </c>
      <c r="T1499" s="68" t="n">
        <v>46248.99930555555</v>
      </c>
      <c r="U1499" s="60" t="n">
        <v>101253</v>
      </c>
      <c r="V1499" t="inlineStr">
        <is>
          <t>214150</t>
        </is>
      </c>
      <c r="W1499" t="inlineStr">
        <is>
          <t>venda casada (229 pedidos) · custo do KIT 214156 (3× 214150)</t>
        </is>
      </c>
      <c r="X1499" t="n">
        <v>229</v>
      </c>
      <c r="Y1499" t="inlineStr">
        <is>
          <t>ok</t>
        </is>
      </c>
    </row>
    <row r="1500" ht="18" customHeight="1">
      <c r="A1500" s="54" t="inlineStr">
        <is>
          <t>Oliverhome</t>
        </is>
      </c>
      <c r="B1500" s="54" t="inlineStr">
        <is>
          <t>Kit 30 Cabide Madeira Marfim Barato Premium Organização Roupas Calças Loja Atacado Oliver Home</t>
        </is>
      </c>
      <c r="C1500" s="54" t="inlineStr">
        <is>
          <t>Sem variação</t>
        </is>
      </c>
      <c r="D1500" s="54" t="inlineStr">
        <is>
          <t>CABIDE-MARFIM-30 UN</t>
        </is>
      </c>
      <c r="E1500" s="54" t="n">
        <v>22094093936</v>
      </c>
      <c r="F1500" s="54" t="n">
        <v>0</v>
      </c>
      <c r="G1500" s="54" t="inlineStr">
        <is>
          <t>NORMAL</t>
        </is>
      </c>
      <c r="H1500" s="86" t="n">
        <v>179.9</v>
      </c>
      <c r="I1500" s="86" t="n">
        <v>139.9</v>
      </c>
      <c r="J1500" s="56" t="inlineStr">
        <is>
          <t>SIM</t>
        </is>
      </c>
      <c r="K1500" s="86" t="n">
        <v>139.9</v>
      </c>
      <c r="L1500" s="87" t="n">
        <v>139.9</v>
      </c>
      <c r="M1500" s="88" t="n">
        <v>30</v>
      </c>
      <c r="N1500" s="89" t="n">
        <v>2.01</v>
      </c>
      <c r="O1500" s="89">
        <f>ROUND(M1500*N1500,2)</f>
        <v/>
      </c>
      <c r="P1500" s="90">
        <f>IF($O1500="","",L1500-O1500-(L1500*IF(L1500&lt;=79.99,20%,14%)+IF(L1500&lt;=79.99,4,IF(L1500&lt;=99.99,16,IF(L1500&lt;=199.99,20,IF(L1500&lt;=499.99,26,28)))))-L1500*1.3%-L1500*6%-(L1500-O1500)*9.25%-L1500*3%-L1500*3%-1)</f>
        <v/>
      </c>
      <c r="Q1500" s="58" t="n">
        <v>0.222</v>
      </c>
      <c r="R1500" s="54" t="n">
        <v>489574396802176</v>
      </c>
      <c r="S1500" s="59" t="n">
        <v>46240.52083333334</v>
      </c>
      <c r="T1500" s="59" t="n">
        <v>46353.5625</v>
      </c>
      <c r="U1500" s="54" t="n">
        <v>101253</v>
      </c>
      <c r="V1500" t="inlineStr">
        <is>
          <t>213176</t>
        </is>
      </c>
      <c r="W1500" t="inlineStr">
        <is>
          <t>venda casada (2 pedidos) · custo do KIT 214055 (30× 213176)</t>
        </is>
      </c>
      <c r="X1500" t="n">
        <v>2</v>
      </c>
      <c r="Y1500" t="inlineStr">
        <is>
          <t>ok</t>
        </is>
      </c>
    </row>
    <row r="1501" ht="18" customHeight="1">
      <c r="A1501" s="60" t="inlineStr">
        <is>
          <t>Oliverhome</t>
        </is>
      </c>
      <c r="B1501" s="60" t="inlineStr">
        <is>
          <t>Kit 5 Potes de Vidro 640 ml Hermético Marmita Fit com Tampa 4 Travas Oliver Home</t>
        </is>
      </c>
      <c r="C1501" s="60" t="inlineStr">
        <is>
          <t>Azul</t>
        </is>
      </c>
      <c r="D1501" s="60" t="inlineStr">
        <is>
          <t>Kit pote 5 un 640ml azul</t>
        </is>
      </c>
      <c r="E1501" s="60" t="n">
        <v>22198569256</v>
      </c>
      <c r="F1501" s="60" t="n">
        <v>219175433263</v>
      </c>
      <c r="G1501" s="60" t="inlineStr">
        <is>
          <t>NORMAL</t>
        </is>
      </c>
      <c r="H1501" s="91" t="n">
        <v>99.90000000000001</v>
      </c>
      <c r="I1501" s="91" t="n">
        <v>77.89</v>
      </c>
      <c r="J1501" s="65" t="inlineStr">
        <is>
          <t>SIM</t>
        </is>
      </c>
      <c r="K1501" s="91" t="n">
        <v>77.89</v>
      </c>
      <c r="L1501" s="87" t="n">
        <v>77.89</v>
      </c>
      <c r="P1501" s="92">
        <f>IF($O1501="","",L1501-O1501-(L1501*IF(L1501&lt;=79.99,20%,14%)+IF(L1501&lt;=79.99,4,IF(L1501&lt;=99.99,16,IF(L1501&lt;=199.99,20,IF(L1501&lt;=499.99,26,28)))))-L1501*1.3%-L1501*6%-(L1501-O1501)*9.25%-L1501*3%-L1501*3%-1)</f>
        <v/>
      </c>
      <c r="Q1501" s="67" t="n">
        <v>0.22</v>
      </c>
      <c r="R1501" s="60" t="inlineStr">
        <is>
          <t>478840979931317, 490987084534129</t>
        </is>
      </c>
      <c r="S1501" s="68" t="n">
        <v>46248</v>
      </c>
      <c r="T1501" s="68" t="n">
        <v>46248.99930555555</v>
      </c>
      <c r="U1501" s="60" t="n">
        <v>101220</v>
      </c>
      <c r="V1501" t="inlineStr">
        <is>
          <t>Kit pote 5 un 640ml azul</t>
        </is>
      </c>
      <c r="W1501" t="inlineStr">
        <is>
          <t>venda casada (19 pedidos) · CUSTO ZERADO na Olist (conferido hoje)</t>
        </is>
      </c>
      <c r="X1501" t="n">
        <v>19</v>
      </c>
      <c r="Y1501" t="inlineStr">
        <is>
          <t>ok</t>
        </is>
      </c>
    </row>
    <row r="1502" ht="18" customHeight="1">
      <c r="A1502" s="54" t="inlineStr">
        <is>
          <t>Oliverhome</t>
        </is>
      </c>
      <c r="B1502" s="54" t="inlineStr">
        <is>
          <t>Kit 5 Potes de Vidro 640 ml Hermético Marmita Fit com Tampa 4 Travas Oliver Home</t>
        </is>
      </c>
      <c r="C1502" s="54" t="inlineStr">
        <is>
          <t>Branco</t>
        </is>
      </c>
      <c r="D1502" s="54" t="inlineStr">
        <is>
          <t>Kit pote 5 un 640ml branco</t>
        </is>
      </c>
      <c r="E1502" s="54" t="n">
        <v>22198569256</v>
      </c>
      <c r="F1502" s="54" t="n">
        <v>219175433265</v>
      </c>
      <c r="G1502" s="54" t="inlineStr">
        <is>
          <t>NORMAL</t>
        </is>
      </c>
      <c r="H1502" s="86" t="n">
        <v>99.90000000000001</v>
      </c>
      <c r="I1502" s="86" t="n">
        <v>77.89</v>
      </c>
      <c r="J1502" s="56" t="inlineStr">
        <is>
          <t>SIM</t>
        </is>
      </c>
      <c r="K1502" s="86" t="n">
        <v>77.89</v>
      </c>
      <c r="L1502" s="87" t="n">
        <v>77.89</v>
      </c>
      <c r="P1502" s="90">
        <f>IF($O1502="","",L1502-O1502-(L1502*IF(L1502&lt;=79.99,20%,14%)+IF(L1502&lt;=79.99,4,IF(L1502&lt;=99.99,16,IF(L1502&lt;=199.99,20,IF(L1502&lt;=499.99,26,28)))))-L1502*1.3%-L1502*6%-(L1502-O1502)*9.25%-L1502*3%-L1502*3%-1)</f>
        <v/>
      </c>
      <c r="Q1502" s="58" t="n">
        <v>0.22</v>
      </c>
      <c r="R1502" s="54" t="inlineStr">
        <is>
          <t>478840979931317, 490987084534129</t>
        </is>
      </c>
      <c r="S1502" s="59" t="n">
        <v>46248</v>
      </c>
      <c r="T1502" s="59" t="n">
        <v>46248.99930555555</v>
      </c>
      <c r="U1502" s="54" t="n">
        <v>101220</v>
      </c>
      <c r="W1502" t="inlineStr">
        <is>
          <t>ambíguo: 213877 (71%) vs Kit pote 5 un 640ml branco</t>
        </is>
      </c>
      <c r="X1502" t="n">
        <v>14</v>
      </c>
      <c r="Y1502" t="inlineStr"/>
    </row>
    <row r="1503" ht="18" customHeight="1">
      <c r="A1503" s="60" t="inlineStr">
        <is>
          <t>Oliverhome</t>
        </is>
      </c>
      <c r="B1503" s="60" t="inlineStr">
        <is>
          <t>Kit 5 Potes de Vidro 640 ml Hermético Marmita Fit com Tampa 4 Travas Oliver Home</t>
        </is>
      </c>
      <c r="C1503" s="60" t="inlineStr">
        <is>
          <t>Sortido</t>
        </is>
      </c>
      <c r="D1503" s="60" t="inlineStr">
        <is>
          <t>Kit pote 5 un 640ml sortido</t>
        </is>
      </c>
      <c r="E1503" s="60" t="n">
        <v>22198569256</v>
      </c>
      <c r="F1503" s="60" t="n">
        <v>219175433264</v>
      </c>
      <c r="G1503" s="60" t="inlineStr">
        <is>
          <t>NORMAL</t>
        </is>
      </c>
      <c r="H1503" s="91" t="n">
        <v>99.90000000000001</v>
      </c>
      <c r="I1503" s="91" t="n">
        <v>75.89</v>
      </c>
      <c r="J1503" s="65" t="inlineStr">
        <is>
          <t>SIM</t>
        </is>
      </c>
      <c r="K1503" s="91" t="n">
        <v>75.89</v>
      </c>
      <c r="L1503" s="87" t="n">
        <v>75.89</v>
      </c>
      <c r="P1503" s="92">
        <f>IF($O1503="","",L1503-O1503-(L1503*IF(L1503&lt;=79.99,20%,14%)+IF(L1503&lt;=79.99,4,IF(L1503&lt;=99.99,16,IF(L1503&lt;=199.99,20,IF(L1503&lt;=499.99,26,28)))))-L1503*1.3%-L1503*6%-(L1503-O1503)*9.25%-L1503*3%-L1503*3%-1)</f>
        <v/>
      </c>
      <c r="Q1503" s="67" t="n">
        <v>0.24</v>
      </c>
      <c r="R1503" s="60" t="inlineStr">
        <is>
          <t>478840979931317, 490987084534129</t>
        </is>
      </c>
      <c r="S1503" s="68" t="n">
        <v>46248</v>
      </c>
      <c r="T1503" s="68" t="n">
        <v>46248.99930555555</v>
      </c>
      <c r="U1503" s="60" t="n">
        <v>101220</v>
      </c>
      <c r="V1503" t="inlineStr">
        <is>
          <t>Kit pote 5 un 640ml sortido</t>
        </is>
      </c>
      <c r="W1503" t="inlineStr">
        <is>
          <t>venda casada (11 pedidos) · CUSTO ZERADO na Olist (conferido hoje)</t>
        </is>
      </c>
      <c r="X1503" t="n">
        <v>11</v>
      </c>
      <c r="Y1503" t="inlineStr">
        <is>
          <t>ok</t>
        </is>
      </c>
    </row>
    <row r="1504" ht="18" customHeight="1">
      <c r="A1504" s="54" t="inlineStr">
        <is>
          <t>Oliverhome</t>
        </is>
      </c>
      <c r="B1504" s="54" t="inlineStr">
        <is>
          <t>Kit 5/ kit 10 Potes de Vidro 640ml Hermético Marmita Fit com Tampa 4 Travas Oliver Home</t>
        </is>
      </c>
      <c r="C1504" s="54" t="inlineStr">
        <is>
          <t>10 UNIDADES,1040ML</t>
        </is>
      </c>
      <c r="D1504" s="54" t="inlineStr">
        <is>
          <t>KIT-10POTES-1040ML</t>
        </is>
      </c>
      <c r="E1504" s="54" t="n">
        <v>22294064656</v>
      </c>
      <c r="F1504" s="54" t="n">
        <v>179408340380</v>
      </c>
      <c r="G1504" s="54" t="inlineStr">
        <is>
          <t>NORMAL</t>
        </is>
      </c>
      <c r="H1504" s="86" t="n">
        <v>220</v>
      </c>
      <c r="I1504" s="86" t="n">
        <v>158.9</v>
      </c>
      <c r="J1504" s="56" t="inlineStr">
        <is>
          <t>SIM</t>
        </is>
      </c>
      <c r="K1504" s="86" t="n">
        <v>158.9</v>
      </c>
      <c r="L1504" s="87" t="n">
        <v>158.9</v>
      </c>
      <c r="M1504" s="88" t="n">
        <v>10</v>
      </c>
      <c r="N1504" s="89" t="n">
        <v>9.48</v>
      </c>
      <c r="O1504" s="89">
        <f>ROUND(M1504*N1504,2)</f>
        <v/>
      </c>
      <c r="P1504" s="90">
        <f>IF($O1504="","",L1504-O1504-(L1504*IF(L1504&lt;=79.99,20%,14%)+IF(L1504&lt;=79.99,4,IF(L1504&lt;=99.99,16,IF(L1504&lt;=199.99,20,IF(L1504&lt;=499.99,26,28)))))-L1504*1.3%-L1504*6%-(L1504-O1504)*9.25%-L1504*3%-L1504*3%-1)</f>
        <v/>
      </c>
      <c r="Q1504" s="58" t="n">
        <v>0.278</v>
      </c>
      <c r="R1504" s="54" t="n">
        <v>489574396802176</v>
      </c>
      <c r="S1504" s="59" t="n">
        <v>46240.52083333334</v>
      </c>
      <c r="T1504" s="59" t="n">
        <v>46353.5625</v>
      </c>
      <c r="U1504" s="54" t="n">
        <v>101220</v>
      </c>
      <c r="V1504" t="inlineStr">
        <is>
          <t>213880</t>
        </is>
      </c>
      <c r="W1504" t="inlineStr">
        <is>
          <t>venda casada (239 pedidos) · custo do KIT 216009 (10× 213880)</t>
        </is>
      </c>
      <c r="X1504" t="n">
        <v>239</v>
      </c>
      <c r="Y1504" t="inlineStr">
        <is>
          <t>ok</t>
        </is>
      </c>
    </row>
    <row r="1505" ht="18" customHeight="1">
      <c r="A1505" s="60" t="inlineStr">
        <is>
          <t>Oliverhome</t>
        </is>
      </c>
      <c r="B1505" s="60" t="inlineStr">
        <is>
          <t>Kit 5/ kit 10 Potes de Vidro 640ml Hermético Marmita Fit com Tampa 4 Travas Oliver Home</t>
        </is>
      </c>
      <c r="C1505" s="60" t="inlineStr">
        <is>
          <t>10 UNIDADES,370ML</t>
        </is>
      </c>
      <c r="D1505" s="60" t="inlineStr">
        <is>
          <t>KIT-10POTES-370ML</t>
        </is>
      </c>
      <c r="E1505" s="60" t="n">
        <v>22294064656</v>
      </c>
      <c r="F1505" s="60" t="n">
        <v>209609207289</v>
      </c>
      <c r="G1505" s="60" t="inlineStr">
        <is>
          <t>NORMAL</t>
        </is>
      </c>
      <c r="H1505" s="91" t="n">
        <v>159.9</v>
      </c>
      <c r="I1505" s="91" t="n">
        <v>77.89</v>
      </c>
      <c r="J1505" s="65" t="inlineStr">
        <is>
          <t>SIM</t>
        </is>
      </c>
      <c r="K1505" s="91" t="n">
        <v>77.89</v>
      </c>
      <c r="L1505" s="87" t="n">
        <v>77.90000000000001</v>
      </c>
      <c r="M1505" s="88" t="n">
        <v>10</v>
      </c>
      <c r="N1505" s="89" t="n">
        <v>3.93</v>
      </c>
      <c r="O1505" s="89">
        <f>ROUND(M1505*N1505,2)</f>
        <v/>
      </c>
      <c r="P1505" s="92">
        <f>IF($O1505="","",L1505-O1505-(L1505*IF(L1505&lt;=79.99,20%,14%)+IF(L1505&lt;=79.99,4,IF(L1505&lt;=99.99,16,IF(L1505&lt;=199.99,20,IF(L1505&lt;=499.99,26,28)))))-L1505*1.3%-L1505*6%-(L1505-O1505)*9.25%-L1505*3%-L1505*3%-1)</f>
        <v/>
      </c>
      <c r="Q1505" s="67" t="n">
        <v>0.513</v>
      </c>
      <c r="R1505" s="60" t="n">
        <v>489574396802176</v>
      </c>
      <c r="S1505" s="68" t="n">
        <v>46240.52083333334</v>
      </c>
      <c r="T1505" s="68" t="n">
        <v>46353.5625</v>
      </c>
      <c r="U1505" s="60" t="n">
        <v>101220</v>
      </c>
      <c r="V1505" t="inlineStr">
        <is>
          <t>213876</t>
        </is>
      </c>
      <c r="W1505" t="inlineStr">
        <is>
          <t>venda casada (659 pedidos) · custo do KIT 215945 (10× 213876)</t>
        </is>
      </c>
      <c r="X1505" t="n">
        <v>659</v>
      </c>
      <c r="Y1505" t="inlineStr">
        <is>
          <t>ok</t>
        </is>
      </c>
    </row>
    <row r="1506" ht="18" customHeight="1">
      <c r="A1506" s="54" t="inlineStr">
        <is>
          <t>Oliverhome</t>
        </is>
      </c>
      <c r="B1506" s="54" t="inlineStr">
        <is>
          <t>Kit 5/ kit 10 Potes de Vidro 640ml Hermético Marmita Fit com Tampa 4 Travas Oliver Home</t>
        </is>
      </c>
      <c r="C1506" s="54" t="inlineStr">
        <is>
          <t>10 UNIDADES,640ML</t>
        </is>
      </c>
      <c r="D1506" s="54" t="inlineStr">
        <is>
          <t>KIT-10POTES-640ML</t>
        </is>
      </c>
      <c r="E1506" s="54" t="n">
        <v>22294064656</v>
      </c>
      <c r="F1506" s="54" t="n">
        <v>179414017244</v>
      </c>
      <c r="G1506" s="54" t="inlineStr">
        <is>
          <t>NORMAL</t>
        </is>
      </c>
      <c r="H1506" s="86" t="n">
        <v>189.9</v>
      </c>
      <c r="I1506" s="86" t="n">
        <v>117.89</v>
      </c>
      <c r="J1506" s="56" t="inlineStr">
        <is>
          <t>SIM</t>
        </is>
      </c>
      <c r="K1506" s="86" t="n">
        <v>117.89</v>
      </c>
      <c r="L1506" s="87" t="n">
        <v>117.9</v>
      </c>
      <c r="M1506" s="88" t="n">
        <v>10</v>
      </c>
      <c r="N1506" s="89" t="n">
        <v>6.55</v>
      </c>
      <c r="O1506" s="89">
        <f>ROUND(M1506*N1506,2)</f>
        <v/>
      </c>
      <c r="P1506" s="90">
        <f>IF($O1506="","",L1506-O1506-(L1506*IF(L1506&lt;=79.99,20%,14%)+IF(L1506&lt;=79.99,4,IF(L1506&lt;=99.99,16,IF(L1506&lt;=199.99,20,IF(L1506&lt;=499.99,26,28)))))-L1506*1.3%-L1506*6%-(L1506-O1506)*9.25%-L1506*3%-L1506*3%-1)</f>
        <v/>
      </c>
      <c r="Q1506" s="58" t="n">
        <v>0.379</v>
      </c>
      <c r="R1506" s="54" t="n">
        <v>489574396802176</v>
      </c>
      <c r="S1506" s="59" t="n">
        <v>46240.52083333334</v>
      </c>
      <c r="T1506" s="59" t="n">
        <v>46353.5625</v>
      </c>
      <c r="U1506" s="54" t="n">
        <v>101220</v>
      </c>
      <c r="V1506" t="inlineStr">
        <is>
          <t>213878</t>
        </is>
      </c>
      <c r="W1506" t="inlineStr">
        <is>
          <t>venda casada (1161 pedidos) · custo do KIT 215977 (10× 213878)</t>
        </is>
      </c>
      <c r="X1506" t="n">
        <v>1161</v>
      </c>
      <c r="Y1506" t="inlineStr">
        <is>
          <t>ok</t>
        </is>
      </c>
    </row>
    <row r="1507" ht="18" customHeight="1">
      <c r="A1507" s="60" t="inlineStr">
        <is>
          <t>Oliverhome</t>
        </is>
      </c>
      <c r="B1507" s="60" t="inlineStr">
        <is>
          <t>Kit 5/ kit 10 Potes de Vidro 640ml Hermético Marmita Fit com Tampa 4 Travas Oliver Home</t>
        </is>
      </c>
      <c r="C1507" s="60" t="inlineStr">
        <is>
          <t>5 UNIDADES,1040ML</t>
        </is>
      </c>
      <c r="D1507" s="60" t="inlineStr">
        <is>
          <t>KIT-5POTES-1040ML</t>
        </is>
      </c>
      <c r="E1507" s="60" t="n">
        <v>22294064656</v>
      </c>
      <c r="F1507" s="60" t="n">
        <v>179408340379</v>
      </c>
      <c r="G1507" s="60" t="inlineStr">
        <is>
          <t>NORMAL</t>
        </is>
      </c>
      <c r="H1507" s="91" t="n">
        <v>140</v>
      </c>
      <c r="I1507" s="91" t="n">
        <v>79.90000000000001</v>
      </c>
      <c r="J1507" s="65" t="inlineStr">
        <is>
          <t>SIM</t>
        </is>
      </c>
      <c r="K1507" s="91" t="n">
        <v>79.90000000000001</v>
      </c>
      <c r="L1507" s="87" t="n">
        <v>79.90000000000001</v>
      </c>
      <c r="M1507" s="88" t="n">
        <v>5</v>
      </c>
      <c r="N1507" s="89" t="n">
        <v>9.48</v>
      </c>
      <c r="O1507" s="89">
        <f>ROUND(M1507*N1507,2)</f>
        <v/>
      </c>
      <c r="P1507" s="92">
        <f>IF($O1507="","",L1507-O1507-(L1507*IF(L1507&lt;=79.99,20%,14%)+IF(L1507&lt;=79.99,4,IF(L1507&lt;=99.99,16,IF(L1507&lt;=199.99,20,IF(L1507&lt;=499.99,26,28)))))-L1507*1.3%-L1507*6%-(L1507-O1507)*9.25%-L1507*3%-L1507*3%-1)</f>
        <v/>
      </c>
      <c r="Q1507" s="67" t="n">
        <v>0.429</v>
      </c>
      <c r="R1507" s="60" t="n">
        <v>489574396802176</v>
      </c>
      <c r="S1507" s="68" t="n">
        <v>46240.52083333334</v>
      </c>
      <c r="T1507" s="68" t="n">
        <v>46353.5625</v>
      </c>
      <c r="U1507" s="60" t="n">
        <v>101220</v>
      </c>
      <c r="V1507" t="inlineStr">
        <is>
          <t>213880</t>
        </is>
      </c>
      <c r="W1507" t="inlineStr">
        <is>
          <t>venda casada (420 pedidos) · custo do KIT 216006 (5× 213880)</t>
        </is>
      </c>
      <c r="X1507" t="n">
        <v>420</v>
      </c>
      <c r="Y1507" t="inlineStr">
        <is>
          <t>ok</t>
        </is>
      </c>
    </row>
    <row r="1508" ht="18" customHeight="1">
      <c r="A1508" s="54" t="inlineStr">
        <is>
          <t>Oliverhome</t>
        </is>
      </c>
      <c r="B1508" s="54" t="inlineStr">
        <is>
          <t>Kit 5/ kit 10 Potes de Vidro 640ml Hermético Marmita Fit com Tampa 4 Travas Oliver Home</t>
        </is>
      </c>
      <c r="C1508" s="54" t="inlineStr">
        <is>
          <t>5 UNIDADES,370ML</t>
        </is>
      </c>
      <c r="D1508" s="54" t="inlineStr">
        <is>
          <t>KIT-5POTES-370ML</t>
        </is>
      </c>
      <c r="E1508" s="54" t="n">
        <v>22294064656</v>
      </c>
      <c r="F1508" s="54" t="n">
        <v>209609207291</v>
      </c>
      <c r="G1508" s="54" t="inlineStr">
        <is>
          <t>NORMAL</t>
        </is>
      </c>
      <c r="H1508" s="86" t="n">
        <v>99.90000000000001</v>
      </c>
      <c r="I1508" s="86" t="n">
        <v>44.89</v>
      </c>
      <c r="J1508" s="56" t="inlineStr">
        <is>
          <t>SIM</t>
        </is>
      </c>
      <c r="K1508" s="86" t="n">
        <v>44.89</v>
      </c>
      <c r="L1508" s="87" t="n">
        <v>44.89</v>
      </c>
      <c r="M1508" s="88" t="n">
        <v>5</v>
      </c>
      <c r="N1508" s="89" t="n">
        <v>3.93</v>
      </c>
      <c r="O1508" s="89">
        <f>ROUND(M1508*N1508,2)</f>
        <v/>
      </c>
      <c r="P1508" s="90">
        <f>IF($O1508="","",L1508-O1508-(L1508*IF(L1508&lt;=79.99,20%,14%)+IF(L1508&lt;=79.99,4,IF(L1508&lt;=99.99,16,IF(L1508&lt;=199.99,20,IF(L1508&lt;=499.99,26,28)))))-L1508*1.3%-L1508*6%-(L1508-O1508)*9.25%-L1508*3%-L1508*3%-1)</f>
        <v/>
      </c>
      <c r="Q1508" s="58" t="n">
        <v>0.551</v>
      </c>
      <c r="R1508" s="54" t="n">
        <v>489574396802176</v>
      </c>
      <c r="S1508" s="59" t="n">
        <v>46240.52083333334</v>
      </c>
      <c r="T1508" s="59" t="n">
        <v>46353.5625</v>
      </c>
      <c r="U1508" s="54" t="n">
        <v>101220</v>
      </c>
      <c r="V1508" t="inlineStr">
        <is>
          <t>213876</t>
        </is>
      </c>
      <c r="W1508" t="inlineStr">
        <is>
          <t>venda casada (927 pedidos) · custo do KIT 215942 (5× 213876)</t>
        </is>
      </c>
      <c r="X1508" t="n">
        <v>927</v>
      </c>
      <c r="Y1508" t="inlineStr">
        <is>
          <t>ok</t>
        </is>
      </c>
    </row>
    <row r="1509" ht="18" customHeight="1">
      <c r="A1509" s="60" t="inlineStr">
        <is>
          <t>Oliverhome</t>
        </is>
      </c>
      <c r="B1509" s="60" t="inlineStr">
        <is>
          <t>Kit 5/ kit 10 Potes de Vidro 640ml Hermético Marmita Fit com Tampa 4 Travas Oliver Home</t>
        </is>
      </c>
      <c r="C1509" s="60" t="inlineStr">
        <is>
          <t>5 UNIDADES,640ML</t>
        </is>
      </c>
      <c r="D1509" s="60" t="inlineStr">
        <is>
          <t>KIT-5POTES-640ML</t>
        </is>
      </c>
      <c r="E1509" s="60" t="n">
        <v>22294064656</v>
      </c>
      <c r="F1509" s="60" t="n">
        <v>179414017243</v>
      </c>
      <c r="G1509" s="60" t="inlineStr">
        <is>
          <t>NORMAL</t>
        </is>
      </c>
      <c r="H1509" s="91" t="n">
        <v>109.9</v>
      </c>
      <c r="I1509" s="91" t="n">
        <v>77.89</v>
      </c>
      <c r="J1509" s="65" t="inlineStr">
        <is>
          <t>SIM</t>
        </is>
      </c>
      <c r="K1509" s="91" t="n">
        <v>77.89</v>
      </c>
      <c r="L1509" s="87" t="n">
        <v>77.89</v>
      </c>
      <c r="M1509" s="88" t="n">
        <v>5</v>
      </c>
      <c r="N1509" s="89" t="n">
        <v>6.55</v>
      </c>
      <c r="O1509" s="89">
        <f>ROUND(M1509*N1509,2)</f>
        <v/>
      </c>
      <c r="P1509" s="92">
        <f>IF($O1509="","",L1509-O1509-(L1509*IF(L1509&lt;=79.99,20%,14%)+IF(L1509&lt;=79.99,4,IF(L1509&lt;=99.99,16,IF(L1509&lt;=199.99,20,IF(L1509&lt;=499.99,26,28)))))-L1509*1.3%-L1509*6%-(L1509-O1509)*9.25%-L1509*3%-L1509*3%-1)</f>
        <v/>
      </c>
      <c r="Q1509" s="67" t="n">
        <v>0.291</v>
      </c>
      <c r="R1509" s="60" t="n">
        <v>489574396802176</v>
      </c>
      <c r="S1509" s="68" t="n">
        <v>46240.52083333334</v>
      </c>
      <c r="T1509" s="68" t="n">
        <v>46353.5625</v>
      </c>
      <c r="U1509" s="60" t="n">
        <v>101220</v>
      </c>
      <c r="V1509" t="inlineStr">
        <is>
          <t>213878</t>
        </is>
      </c>
      <c r="W1509" t="inlineStr">
        <is>
          <t>venda casada (1519 pedidos) · custo do KIT 215974 (5× 213878)</t>
        </is>
      </c>
      <c r="X1509" t="n">
        <v>1519</v>
      </c>
      <c r="Y1509" t="inlineStr">
        <is>
          <t>ok</t>
        </is>
      </c>
    </row>
    <row r="1510" ht="18" customHeight="1">
      <c r="A1510" s="54" t="inlineStr">
        <is>
          <t>Oliverhome</t>
        </is>
      </c>
      <c r="B1510" s="54" t="inlineStr">
        <is>
          <t>Kit Cabide Multifuncional para Calças de Inox com 5 Divisórias Branco/Preto</t>
        </is>
      </c>
      <c r="C1510" s="54" t="inlineStr">
        <is>
          <t>Kit com 2 Cabides,Branco</t>
        </is>
      </c>
      <c r="D1510" s="54" t="inlineStr">
        <is>
          <t>CABIDE-2-BRANCO</t>
        </is>
      </c>
      <c r="E1510" s="54" t="n">
        <v>22898545658</v>
      </c>
      <c r="F1510" s="54" t="n">
        <v>219607848346</v>
      </c>
      <c r="G1510" s="54" t="inlineStr">
        <is>
          <t>NORMAL</t>
        </is>
      </c>
      <c r="H1510" s="86" t="n">
        <v>49.9</v>
      </c>
      <c r="I1510" s="86" t="n">
        <v>29.89</v>
      </c>
      <c r="J1510" s="56" t="inlineStr">
        <is>
          <t>SIM</t>
        </is>
      </c>
      <c r="K1510" s="86" t="n">
        <v>29.89</v>
      </c>
      <c r="L1510" s="87" t="n">
        <v>29.89</v>
      </c>
      <c r="M1510" s="88" t="n">
        <v>2</v>
      </c>
      <c r="N1510" s="89" t="n">
        <v>4.51</v>
      </c>
      <c r="O1510" s="89">
        <f>ROUND(M1510*N1510,2)</f>
        <v/>
      </c>
      <c r="P1510" s="90">
        <f>IF($O1510="","",L1510-O1510-(L1510*IF(L1510&lt;=79.99,20%,14%)+IF(L1510&lt;=79.99,4,IF(L1510&lt;=99.99,16,IF(L1510&lt;=199.99,20,IF(L1510&lt;=499.99,26,28)))))-L1510*1.3%-L1510*6%-(L1510-O1510)*9.25%-L1510*3%-L1510*3%-1)</f>
        <v/>
      </c>
      <c r="Q1510" s="58" t="n">
        <v>0.401</v>
      </c>
      <c r="R1510" s="54" t="n">
        <v>478840979931317</v>
      </c>
      <c r="S1510" s="59" t="n">
        <v>46248</v>
      </c>
      <c r="T1510" s="59" t="n">
        <v>46248.99930555555</v>
      </c>
      <c r="U1510" s="54" t="n">
        <v>101253</v>
      </c>
      <c r="V1510" t="inlineStr">
        <is>
          <t>214149</t>
        </is>
      </c>
      <c r="W1510" t="inlineStr">
        <is>
          <t>SKU do de-para · custo do KIT 214153 (2× 214149)</t>
        </is>
      </c>
      <c r="X1510" t="n">
        <v>301</v>
      </c>
      <c r="Y1510" t="inlineStr">
        <is>
          <t>ok</t>
        </is>
      </c>
    </row>
    <row r="1511" ht="18" customHeight="1">
      <c r="A1511" s="60" t="inlineStr">
        <is>
          <t>Oliverhome</t>
        </is>
      </c>
      <c r="B1511" s="60" t="inlineStr">
        <is>
          <t>Kit Cabide Multifuncional para Calças de Inox com 5 Divisórias Branco/Preto</t>
        </is>
      </c>
      <c r="C1511" s="60" t="inlineStr">
        <is>
          <t>Kit com 2 Cabides,Preto</t>
        </is>
      </c>
      <c r="D1511" s="60" t="inlineStr">
        <is>
          <t>CABIDE-2-PRETO</t>
        </is>
      </c>
      <c r="E1511" s="60" t="n">
        <v>22898545658</v>
      </c>
      <c r="F1511" s="60" t="n">
        <v>219607848345</v>
      </c>
      <c r="G1511" s="60" t="inlineStr">
        <is>
          <t>NORMAL</t>
        </is>
      </c>
      <c r="H1511" s="91" t="n">
        <v>49.9</v>
      </c>
      <c r="I1511" s="91" t="n">
        <v>49.9</v>
      </c>
      <c r="J1511" s="62" t="inlineStr">
        <is>
          <t>NÃO</t>
        </is>
      </c>
      <c r="K1511" s="60" t="inlineStr">
        <is>
          <t> </t>
        </is>
      </c>
      <c r="L1511" s="87" t="n">
        <v>49.9</v>
      </c>
      <c r="M1511" s="88" t="n">
        <v>2</v>
      </c>
      <c r="N1511" s="89" t="n">
        <v>4.51</v>
      </c>
      <c r="O1511" s="89">
        <f>ROUND(M1511*N1511,2)</f>
        <v/>
      </c>
      <c r="P1511" s="92">
        <f>IF($O1511="","",L1511-O1511-(L1511*IF(L1511&lt;=79.99,20%,14%)+IF(L1511&lt;=79.99,4,IF(L1511&lt;=99.99,16,IF(L1511&lt;=199.99,20,IF(L1511&lt;=499.99,26,28)))))-L1511*1.3%-L1511*6%-(L1511-O1511)*9.25%-L1511*3%-L1511*3%-1)</f>
        <v/>
      </c>
      <c r="Q1511" s="60" t="inlineStr">
        <is>
          <t> </t>
        </is>
      </c>
      <c r="R1511" s="60" t="inlineStr">
        <is>
          <t> </t>
        </is>
      </c>
      <c r="S1511" s="60" t="inlineStr">
        <is>
          <t> </t>
        </is>
      </c>
      <c r="T1511" s="60" t="inlineStr">
        <is>
          <t> </t>
        </is>
      </c>
      <c r="U1511" s="60" t="n">
        <v>101253</v>
      </c>
      <c r="V1511" t="inlineStr">
        <is>
          <t>214150</t>
        </is>
      </c>
      <c r="W1511" t="inlineStr">
        <is>
          <t>venda casada (1 pedido) · custo do KIT 214154 (2× 214150)</t>
        </is>
      </c>
      <c r="X1511" t="n">
        <v>1</v>
      </c>
      <c r="Y1511" t="inlineStr">
        <is>
          <t>⚠ evidência fraca (1 pedido)</t>
        </is>
      </c>
    </row>
    <row r="1512" ht="18" customHeight="1">
      <c r="A1512" s="54" t="inlineStr">
        <is>
          <t>Oliverhome</t>
        </is>
      </c>
      <c r="B1512" s="54" t="inlineStr">
        <is>
          <t>Kit Cabide Multifuncional para Calças de Inox com 5 Divisórias Branco/Preto</t>
        </is>
      </c>
      <c r="C1512" s="54" t="inlineStr">
        <is>
          <t>Kit com 3 Cabides,Branco</t>
        </is>
      </c>
      <c r="D1512" s="54" t="inlineStr">
        <is>
          <t>CABIDE-3-BRANCO</t>
        </is>
      </c>
      <c r="E1512" s="54" t="n">
        <v>22898545658</v>
      </c>
      <c r="F1512" s="54" t="n">
        <v>219607848348</v>
      </c>
      <c r="G1512" s="54" t="inlineStr">
        <is>
          <t>NORMAL</t>
        </is>
      </c>
      <c r="H1512" s="86" t="n">
        <v>59.9</v>
      </c>
      <c r="I1512" s="86" t="n">
        <v>44.89</v>
      </c>
      <c r="J1512" s="56" t="inlineStr">
        <is>
          <t>SIM</t>
        </is>
      </c>
      <c r="K1512" s="86" t="n">
        <v>44.89</v>
      </c>
      <c r="L1512" s="87" t="n">
        <v>44.89</v>
      </c>
      <c r="M1512" s="88" t="n">
        <v>3</v>
      </c>
      <c r="N1512" s="89" t="n">
        <v>4.51</v>
      </c>
      <c r="O1512" s="89">
        <f>ROUND(M1512*N1512,2)</f>
        <v/>
      </c>
      <c r="P1512" s="90">
        <f>IF($O1512="","",L1512-O1512-(L1512*IF(L1512&lt;=79.99,20%,14%)+IF(L1512&lt;=79.99,4,IF(L1512&lt;=99.99,16,IF(L1512&lt;=199.99,20,IF(L1512&lt;=499.99,26,28)))))-L1512*1.3%-L1512*6%-(L1512-O1512)*9.25%-L1512*3%-L1512*3%-1)</f>
        <v/>
      </c>
      <c r="Q1512" s="58" t="n">
        <v>0.251</v>
      </c>
      <c r="R1512" s="54" t="n">
        <v>478840979931317</v>
      </c>
      <c r="S1512" s="59" t="n">
        <v>46248</v>
      </c>
      <c r="T1512" s="59" t="n">
        <v>46248.99930555555</v>
      </c>
      <c r="U1512" s="54" t="n">
        <v>101253</v>
      </c>
      <c r="V1512" t="inlineStr">
        <is>
          <t>214149</t>
        </is>
      </c>
      <c r="W1512" t="inlineStr">
        <is>
          <t>SKU do de-para · custo do KIT 214155 (3× 214149)</t>
        </is>
      </c>
      <c r="X1512" t="n">
        <v>222</v>
      </c>
      <c r="Y1512" t="inlineStr">
        <is>
          <t>ok</t>
        </is>
      </c>
    </row>
    <row r="1513" ht="18" customHeight="1">
      <c r="A1513" s="60" t="inlineStr">
        <is>
          <t>Oliverhome</t>
        </is>
      </c>
      <c r="B1513" s="60" t="inlineStr">
        <is>
          <t>Kit Cabide Multifuncional para Calças de Inox com 5 Divisórias Branco/Preto</t>
        </is>
      </c>
      <c r="C1513" s="60" t="inlineStr">
        <is>
          <t>Kit com 3 Cabides,Preto</t>
        </is>
      </c>
      <c r="D1513" s="60" t="inlineStr">
        <is>
          <t>CABIDE-3-PRETO</t>
        </is>
      </c>
      <c r="E1513" s="60" t="n">
        <v>22898545658</v>
      </c>
      <c r="F1513" s="60" t="n">
        <v>219607848347</v>
      </c>
      <c r="G1513" s="60" t="inlineStr">
        <is>
          <t>NORMAL</t>
        </is>
      </c>
      <c r="H1513" s="91" t="n">
        <v>59.9</v>
      </c>
      <c r="I1513" s="91" t="n">
        <v>59.9</v>
      </c>
      <c r="J1513" s="62" t="inlineStr">
        <is>
          <t>NÃO</t>
        </is>
      </c>
      <c r="K1513" s="60" t="inlineStr">
        <is>
          <t> </t>
        </is>
      </c>
      <c r="L1513" s="87" t="n">
        <v>59.9</v>
      </c>
      <c r="M1513" s="88" t="n">
        <v>3</v>
      </c>
      <c r="N1513" s="89" t="n">
        <v>4.51</v>
      </c>
      <c r="O1513" s="89">
        <f>ROUND(M1513*N1513,2)</f>
        <v/>
      </c>
      <c r="P1513" s="92">
        <f>IF($O1513="","",L1513-O1513-(L1513*IF(L1513&lt;=79.99,20%,14%)+IF(L1513&lt;=79.99,4,IF(L1513&lt;=99.99,16,IF(L1513&lt;=199.99,20,IF(L1513&lt;=499.99,26,28)))))-L1513*1.3%-L1513*6%-(L1513-O1513)*9.25%-L1513*3%-L1513*3%-1)</f>
        <v/>
      </c>
      <c r="Q1513" s="60" t="inlineStr">
        <is>
          <t> </t>
        </is>
      </c>
      <c r="R1513" s="60" t="inlineStr">
        <is>
          <t> </t>
        </is>
      </c>
      <c r="S1513" s="60" t="inlineStr">
        <is>
          <t> </t>
        </is>
      </c>
      <c r="T1513" s="60" t="inlineStr">
        <is>
          <t> </t>
        </is>
      </c>
      <c r="U1513" s="60" t="n">
        <v>101253</v>
      </c>
      <c r="V1513" t="inlineStr">
        <is>
          <t>214150</t>
        </is>
      </c>
      <c r="W1513" t="inlineStr">
        <is>
          <t>venda casada (3 pedidos) · custo do KIT 214156 (3× 214150)</t>
        </is>
      </c>
      <c r="X1513" t="n">
        <v>3</v>
      </c>
      <c r="Y1513" t="inlineStr">
        <is>
          <t>ok</t>
        </is>
      </c>
    </row>
    <row r="1514" ht="18" customHeight="1">
      <c r="A1514" s="54" t="inlineStr">
        <is>
          <t>Oliverhome</t>
        </is>
      </c>
      <c r="B1514" s="54" t="inlineStr">
        <is>
          <t>Kit Cabide Multifuncional para Calças de Inox com 5 Divisórias Branco/Preto</t>
        </is>
      </c>
      <c r="C1514" s="54" t="inlineStr">
        <is>
          <t>Kit com 4 Cabides,Branco</t>
        </is>
      </c>
      <c r="D1514" s="54" t="inlineStr">
        <is>
          <t>CABIDE-4-BRANCO</t>
        </is>
      </c>
      <c r="E1514" s="54" t="n">
        <v>22898545658</v>
      </c>
      <c r="F1514" s="54" t="n">
        <v>219607848350</v>
      </c>
      <c r="G1514" s="54" t="inlineStr">
        <is>
          <t>NORMAL</t>
        </is>
      </c>
      <c r="H1514" s="86" t="n">
        <v>74.90000000000001</v>
      </c>
      <c r="I1514" s="86" t="n">
        <v>58.89</v>
      </c>
      <c r="J1514" s="56" t="inlineStr">
        <is>
          <t>SIM</t>
        </is>
      </c>
      <c r="K1514" s="86" t="n">
        <v>58.89</v>
      </c>
      <c r="L1514" s="87" t="n">
        <v>58.89</v>
      </c>
      <c r="P1514" s="90">
        <f>IF($O1514="","",L1514-O1514-(L1514*IF(L1514&lt;=79.99,20%,14%)+IF(L1514&lt;=79.99,4,IF(L1514&lt;=99.99,16,IF(L1514&lt;=199.99,20,IF(L1514&lt;=499.99,26,28)))))-L1514*1.3%-L1514*6%-(L1514-O1514)*9.25%-L1514*3%-L1514*3%-1)</f>
        <v/>
      </c>
      <c r="Q1514" s="58" t="n">
        <v>0.214</v>
      </c>
      <c r="R1514" s="54" t="n">
        <v>478840979931317</v>
      </c>
      <c r="S1514" s="59" t="n">
        <v>46248</v>
      </c>
      <c r="T1514" s="59" t="n">
        <v>46248.99930555555</v>
      </c>
      <c r="U1514" s="54" t="n">
        <v>101253</v>
      </c>
      <c r="W1514" t="inlineStr">
        <is>
          <t>sem correspondência</t>
        </is>
      </c>
      <c r="Y1514" t="inlineStr"/>
    </row>
    <row r="1515" ht="18" customHeight="1">
      <c r="A1515" s="60" t="inlineStr">
        <is>
          <t>Oliverhome</t>
        </is>
      </c>
      <c r="B1515" s="60" t="inlineStr">
        <is>
          <t>Kit Cabide Multifuncional para Calças de Inox com 5 Divisórias Branco/Preto</t>
        </is>
      </c>
      <c r="C1515" s="60" t="inlineStr">
        <is>
          <t>Kit com 4 Cabides,Preto</t>
        </is>
      </c>
      <c r="D1515" s="60" t="inlineStr">
        <is>
          <t>CABIDE-4-PRETO</t>
        </is>
      </c>
      <c r="E1515" s="60" t="n">
        <v>22898545658</v>
      </c>
      <c r="F1515" s="60" t="n">
        <v>219607848349</v>
      </c>
      <c r="G1515" s="60" t="inlineStr">
        <is>
          <t>NORMAL</t>
        </is>
      </c>
      <c r="H1515" s="91" t="n">
        <v>74.90000000000001</v>
      </c>
      <c r="I1515" s="91" t="n">
        <v>74.90000000000001</v>
      </c>
      <c r="J1515" s="62" t="inlineStr">
        <is>
          <t>NÃO</t>
        </is>
      </c>
      <c r="K1515" s="60" t="inlineStr">
        <is>
          <t> </t>
        </is>
      </c>
      <c r="L1515" s="87" t="n">
        <v>74.90000000000001</v>
      </c>
      <c r="M1515" s="88" t="n">
        <v>4</v>
      </c>
      <c r="N1515" s="89" t="n">
        <v>4.51</v>
      </c>
      <c r="O1515" s="89">
        <f>ROUND(M1515*N1515,2)</f>
        <v/>
      </c>
      <c r="P1515" s="92">
        <f>IF($O1515="","",L1515-O1515-(L1515*IF(L1515&lt;=79.99,20%,14%)+IF(L1515&lt;=79.99,4,IF(L1515&lt;=99.99,16,IF(L1515&lt;=199.99,20,IF(L1515&lt;=499.99,26,28)))))-L1515*1.3%-L1515*6%-(L1515-O1515)*9.25%-L1515*3%-L1515*3%-1)</f>
        <v/>
      </c>
      <c r="Q1515" s="60" t="inlineStr">
        <is>
          <t> </t>
        </is>
      </c>
      <c r="R1515" s="60" t="inlineStr">
        <is>
          <t> </t>
        </is>
      </c>
      <c r="S1515" s="60" t="inlineStr">
        <is>
          <t> </t>
        </is>
      </c>
      <c r="T1515" s="60" t="inlineStr">
        <is>
          <t> </t>
        </is>
      </c>
      <c r="U1515" s="60" t="n">
        <v>101253</v>
      </c>
      <c r="V1515" t="inlineStr">
        <is>
          <t>214150</t>
        </is>
      </c>
      <c r="W1515" t="inlineStr">
        <is>
          <t>venda casada (1 pedido) · custo do KIT 214192 (4× 214150)</t>
        </is>
      </c>
      <c r="X1515" t="n">
        <v>1</v>
      </c>
      <c r="Y1515" t="inlineStr">
        <is>
          <t>⚠ evidência fraca (1 pedido)</t>
        </is>
      </c>
    </row>
    <row r="1516" ht="18" customHeight="1">
      <c r="A1516" s="54" t="inlineStr">
        <is>
          <t>Oliverhome</t>
        </is>
      </c>
      <c r="B1516" s="54" t="inlineStr">
        <is>
          <t>Kit Cabide Multifuncional para Calças de Inox com 5 Divisórias Branco/Preto</t>
        </is>
      </c>
      <c r="C1516" s="54" t="inlineStr">
        <is>
          <t>Kit com 5 Cabides,Branco</t>
        </is>
      </c>
      <c r="D1516" s="54" t="inlineStr">
        <is>
          <t>CABIDE-5-BRANCO</t>
        </is>
      </c>
      <c r="E1516" s="54" t="n">
        <v>22898545658</v>
      </c>
      <c r="F1516" s="54" t="n">
        <v>219607848344</v>
      </c>
      <c r="G1516" s="54" t="inlineStr">
        <is>
          <t>NORMAL</t>
        </is>
      </c>
      <c r="H1516" s="86" t="n">
        <v>89.90000000000001</v>
      </c>
      <c r="I1516" s="86" t="n">
        <v>74.89</v>
      </c>
      <c r="J1516" s="56" t="inlineStr">
        <is>
          <t>SIM</t>
        </is>
      </c>
      <c r="K1516" s="86" t="n">
        <v>74.89</v>
      </c>
      <c r="L1516" s="87" t="n">
        <v>74.89</v>
      </c>
      <c r="M1516" s="88" t="n">
        <v>5</v>
      </c>
      <c r="N1516" s="89" t="n">
        <v>4.51</v>
      </c>
      <c r="O1516" s="89">
        <f>ROUND(M1516*N1516,2)</f>
        <v/>
      </c>
      <c r="P1516" s="90">
        <f>IF($O1516="","",L1516-O1516-(L1516*IF(L1516&lt;=79.99,20%,14%)+IF(L1516&lt;=79.99,4,IF(L1516&lt;=99.99,16,IF(L1516&lt;=199.99,20,IF(L1516&lt;=499.99,26,28)))))-L1516*1.3%-L1516*6%-(L1516-O1516)*9.25%-L1516*3%-L1516*3%-1)</f>
        <v/>
      </c>
      <c r="Q1516" s="58" t="n">
        <v>0.167</v>
      </c>
      <c r="R1516" s="54" t="n">
        <v>478840979931317</v>
      </c>
      <c r="S1516" s="59" t="n">
        <v>46248</v>
      </c>
      <c r="T1516" s="59" t="n">
        <v>46248.99930555555</v>
      </c>
      <c r="U1516" s="54" t="n">
        <v>101253</v>
      </c>
      <c r="V1516" t="inlineStr">
        <is>
          <t>214149</t>
        </is>
      </c>
      <c r="W1516" t="inlineStr">
        <is>
          <t>SKU do de-para · custo do KIT 214157 (5× 214149)</t>
        </is>
      </c>
      <c r="X1516" t="n">
        <v>24</v>
      </c>
      <c r="Y1516" t="inlineStr">
        <is>
          <t>ok</t>
        </is>
      </c>
    </row>
    <row r="1517" ht="18" customHeight="1">
      <c r="A1517" s="60" t="inlineStr">
        <is>
          <t>Oliverhome</t>
        </is>
      </c>
      <c r="B1517" s="60" t="inlineStr">
        <is>
          <t>Kit Cabide Multifuncional para Calças de Inox com 5 Divisórias Branco/Preto</t>
        </is>
      </c>
      <c r="C1517" s="60" t="inlineStr">
        <is>
          <t>Kit com 5 Cabides,Preto</t>
        </is>
      </c>
      <c r="D1517" s="60" t="inlineStr">
        <is>
          <t>CABIDE-5-PRETO</t>
        </is>
      </c>
      <c r="E1517" s="60" t="n">
        <v>22898545658</v>
      </c>
      <c r="F1517" s="60" t="n">
        <v>219607848351</v>
      </c>
      <c r="G1517" s="60" t="inlineStr">
        <is>
          <t>NORMAL</t>
        </is>
      </c>
      <c r="H1517" s="91" t="n">
        <v>89.90000000000001</v>
      </c>
      <c r="I1517" s="91" t="n">
        <v>89.90000000000001</v>
      </c>
      <c r="J1517" s="62" t="inlineStr">
        <is>
          <t>NÃO</t>
        </is>
      </c>
      <c r="K1517" s="60" t="inlineStr">
        <is>
          <t> </t>
        </is>
      </c>
      <c r="L1517" s="87" t="n">
        <v>89.90000000000001</v>
      </c>
      <c r="M1517" s="88" t="n">
        <v>5</v>
      </c>
      <c r="N1517" s="89" t="n">
        <v>4.51</v>
      </c>
      <c r="O1517" s="89">
        <f>ROUND(M1517*N1517,2)</f>
        <v/>
      </c>
      <c r="P1517" s="92">
        <f>IF($O1517="","",L1517-O1517-(L1517*IF(L1517&lt;=79.99,20%,14%)+IF(L1517&lt;=79.99,4,IF(L1517&lt;=99.99,16,IF(L1517&lt;=199.99,20,IF(L1517&lt;=499.99,26,28)))))-L1517*1.3%-L1517*6%-(L1517-O1517)*9.25%-L1517*3%-L1517*3%-1)</f>
        <v/>
      </c>
      <c r="Q1517" s="60" t="inlineStr">
        <is>
          <t> </t>
        </is>
      </c>
      <c r="R1517" s="60" t="inlineStr">
        <is>
          <t> </t>
        </is>
      </c>
      <c r="S1517" s="60" t="inlineStr">
        <is>
          <t> </t>
        </is>
      </c>
      <c r="T1517" s="60" t="inlineStr">
        <is>
          <t> </t>
        </is>
      </c>
      <c r="U1517" s="60" t="n">
        <v>101253</v>
      </c>
      <c r="V1517" t="inlineStr">
        <is>
          <t>214150</t>
        </is>
      </c>
      <c r="W1517" t="inlineStr">
        <is>
          <t>venda casada (1 pedido) · custo do KIT 214158 (5× 214150)</t>
        </is>
      </c>
      <c r="X1517" t="n">
        <v>1</v>
      </c>
      <c r="Y1517" t="inlineStr">
        <is>
          <t>⚠ evidência fraca (1 pedido)</t>
        </is>
      </c>
    </row>
    <row r="1518" ht="18" customHeight="1">
      <c r="A1518" s="54" t="inlineStr">
        <is>
          <t>Oliverhome</t>
        </is>
      </c>
      <c r="B1518" s="54" t="inlineStr">
        <is>
          <t>Kit Cabides De Madeira Premium Marfim Para Roupas Calça Gancho Cromado Oliver Home</t>
        </is>
      </c>
      <c r="C1518" s="54" t="inlineStr">
        <is>
          <t>12 Cabides</t>
        </is>
      </c>
      <c r="D1518" s="54" t="inlineStr">
        <is>
          <t>CABIDE-MARFIM-12 UN</t>
        </is>
      </c>
      <c r="E1518" s="54" t="n">
        <v>22198590459</v>
      </c>
      <c r="F1518" s="54" t="n">
        <v>228785750692</v>
      </c>
      <c r="G1518" s="54" t="inlineStr">
        <is>
          <t>NORMAL</t>
        </is>
      </c>
      <c r="H1518" s="86" t="n">
        <v>149.9</v>
      </c>
      <c r="I1518" s="86" t="n">
        <v>69.90000000000001</v>
      </c>
      <c r="J1518" s="56" t="inlineStr">
        <is>
          <t>SIM</t>
        </is>
      </c>
      <c r="K1518" s="86" t="n">
        <v>69.90000000000001</v>
      </c>
      <c r="L1518" s="87" t="n">
        <v>69.90000000000001</v>
      </c>
      <c r="M1518" s="88" t="n">
        <v>12</v>
      </c>
      <c r="N1518" s="89" t="n">
        <v>2.01</v>
      </c>
      <c r="O1518" s="89">
        <f>ROUND(M1518*N1518,2)</f>
        <v/>
      </c>
      <c r="P1518" s="90">
        <f>IF($O1518="","",L1518-O1518-(L1518*IF(L1518&lt;=79.99,20%,14%)+IF(L1518&lt;=79.99,4,IF(L1518&lt;=99.99,16,IF(L1518&lt;=199.99,20,IF(L1518&lt;=499.99,26,28)))))-L1518*1.3%-L1518*6%-(L1518-O1518)*9.25%-L1518*3%-L1518*3%-1)</f>
        <v/>
      </c>
      <c r="Q1518" s="58" t="n">
        <v>0.534</v>
      </c>
      <c r="R1518" s="54" t="n">
        <v>489574396802176</v>
      </c>
      <c r="S1518" s="59" t="n">
        <v>46240.52083333334</v>
      </c>
      <c r="T1518" s="59" t="n">
        <v>46353.5625</v>
      </c>
      <c r="U1518" s="54" t="n">
        <v>101253</v>
      </c>
      <c r="V1518" t="inlineStr">
        <is>
          <t>213176</t>
        </is>
      </c>
      <c r="W1518" t="inlineStr">
        <is>
          <t>venda casada (3 pedidos) · custo do KIT 214053 (12× 213176)</t>
        </is>
      </c>
      <c r="X1518" t="n">
        <v>3</v>
      </c>
      <c r="Y1518" t="inlineStr">
        <is>
          <t>ok</t>
        </is>
      </c>
    </row>
    <row r="1519" ht="18" customHeight="1">
      <c r="A1519" s="60" t="inlineStr">
        <is>
          <t>Oliverhome</t>
        </is>
      </c>
      <c r="B1519" s="60" t="inlineStr">
        <is>
          <t>Kit Cabides De Madeira Premium Marfim Para Roupas Calça Gancho Cromado Oliver Home</t>
        </is>
      </c>
      <c r="C1519" s="60" t="inlineStr">
        <is>
          <t>21 Cabides</t>
        </is>
      </c>
      <c r="D1519" s="60" t="inlineStr">
        <is>
          <t>CABIDE-MARFIM-21 UN</t>
        </is>
      </c>
      <c r="E1519" s="60" t="n">
        <v>22198590459</v>
      </c>
      <c r="F1519" s="60" t="n">
        <v>228785750693</v>
      </c>
      <c r="G1519" s="60" t="inlineStr">
        <is>
          <t>NORMAL</t>
        </is>
      </c>
      <c r="H1519" s="91" t="n">
        <v>189.9</v>
      </c>
      <c r="I1519" s="91" t="n">
        <v>94.90000000000001</v>
      </c>
      <c r="J1519" s="65" t="inlineStr">
        <is>
          <t>SIM</t>
        </is>
      </c>
      <c r="K1519" s="91" t="n">
        <v>94.90000000000001</v>
      </c>
      <c r="L1519" s="87" t="n">
        <v>94.90000000000001</v>
      </c>
      <c r="M1519" s="88" t="n">
        <v>21</v>
      </c>
      <c r="N1519" s="89" t="n">
        <v>2.01</v>
      </c>
      <c r="O1519" s="89">
        <f>ROUND(M1519*N1519,2)</f>
        <v/>
      </c>
      <c r="P1519" s="92">
        <f>IF($O1519="","",L1519-O1519-(L1519*IF(L1519&lt;=79.99,20%,14%)+IF(L1519&lt;=79.99,4,IF(L1519&lt;=99.99,16,IF(L1519&lt;=199.99,20,IF(L1519&lt;=499.99,26,28)))))-L1519*1.3%-L1519*6%-(L1519-O1519)*9.25%-L1519*3%-L1519*3%-1)</f>
        <v/>
      </c>
      <c r="Q1519" s="67" t="n">
        <v>0.5</v>
      </c>
      <c r="R1519" s="60" t="n">
        <v>489574396802176</v>
      </c>
      <c r="S1519" s="68" t="n">
        <v>46240.52083333334</v>
      </c>
      <c r="T1519" s="68" t="n">
        <v>46353.5625</v>
      </c>
      <c r="U1519" s="60" t="n">
        <v>101253</v>
      </c>
      <c r="V1519" t="inlineStr">
        <is>
          <t>213176</t>
        </is>
      </c>
      <c r="W1519" t="inlineStr">
        <is>
          <t>venda casada (5 pedidos) · custo do KIT 214054 (21× 213176)</t>
        </is>
      </c>
      <c r="X1519" t="n">
        <v>5</v>
      </c>
      <c r="Y1519" t="inlineStr">
        <is>
          <t>ok</t>
        </is>
      </c>
    </row>
    <row r="1520" ht="18" customHeight="1">
      <c r="A1520" s="54" t="inlineStr">
        <is>
          <t>Oliverhome</t>
        </is>
      </c>
      <c r="B1520" s="54" t="inlineStr">
        <is>
          <t>Kit Cabides De Madeira Premium Marfim Para Roupas Calça Gancho Cromado Oliver Home</t>
        </is>
      </c>
      <c r="C1520" s="54" t="inlineStr">
        <is>
          <t>30 Cabides</t>
        </is>
      </c>
      <c r="D1520" s="54" t="inlineStr">
        <is>
          <t>CABIDE-MARFIM-30 UN</t>
        </is>
      </c>
      <c r="E1520" s="54" t="n">
        <v>21898201672</v>
      </c>
      <c r="F1520" s="54" t="n">
        <v>119868998171</v>
      </c>
      <c r="G1520" s="54" t="inlineStr">
        <is>
          <t>NORMAL</t>
        </is>
      </c>
      <c r="H1520" s="86" t="n">
        <v>209.9</v>
      </c>
      <c r="I1520" s="86" t="n">
        <v>116.73</v>
      </c>
      <c r="J1520" s="56" t="inlineStr">
        <is>
          <t>SIM</t>
        </is>
      </c>
      <c r="K1520" s="86" t="n">
        <v>116.73</v>
      </c>
      <c r="L1520" s="87" t="n">
        <v>116.73</v>
      </c>
      <c r="M1520" s="88" t="n">
        <v>30</v>
      </c>
      <c r="N1520" s="89" t="n">
        <v>2.01</v>
      </c>
      <c r="O1520" s="89">
        <f>ROUND(M1520*N1520,2)</f>
        <v/>
      </c>
      <c r="P1520" s="90">
        <f>IF($O1520="","",L1520-O1520-(L1520*IF(L1520&lt;=79.99,20%,14%)+IF(L1520&lt;=79.99,4,IF(L1520&lt;=99.99,16,IF(L1520&lt;=199.99,20,IF(L1520&lt;=499.99,26,28)))))-L1520*1.3%-L1520*6%-(L1520-O1520)*9.25%-L1520*3%-L1520*3%-1)</f>
        <v/>
      </c>
      <c r="Q1520" s="58" t="n">
        <v>0.444</v>
      </c>
      <c r="R1520" s="54" t="n">
        <v>492459130044625</v>
      </c>
      <c r="S1520" s="59" t="n">
        <v>46248.47222222222</v>
      </c>
      <c r="T1520" s="59" t="n">
        <v>46254.99930555555</v>
      </c>
      <c r="U1520" s="54" t="n">
        <v>101253</v>
      </c>
      <c r="V1520" t="inlineStr">
        <is>
          <t>213176</t>
        </is>
      </c>
      <c r="W1520" t="inlineStr">
        <is>
          <t>venda casada (21 pedidos) · custo do KIT 214055 (30× 213176)</t>
        </is>
      </c>
      <c r="X1520" t="n">
        <v>21</v>
      </c>
      <c r="Y1520" t="inlineStr">
        <is>
          <t>ok</t>
        </is>
      </c>
    </row>
    <row r="1521" ht="18" customHeight="1">
      <c r="A1521" s="60" t="inlineStr">
        <is>
          <t>Oliverhome</t>
        </is>
      </c>
      <c r="B1521" s="60" t="inlineStr">
        <is>
          <t>Kit Cabides De Madeira Premium Marfim Para Roupas Calça Gancho Cromado Oliver Home</t>
        </is>
      </c>
      <c r="C1521" s="60" t="inlineStr">
        <is>
          <t>6 Cabides</t>
        </is>
      </c>
      <c r="D1521" s="60" t="inlineStr">
        <is>
          <t>CABIDE-MARFIM-6 UN</t>
        </is>
      </c>
      <c r="E1521" s="60" t="n">
        <v>22198590459</v>
      </c>
      <c r="F1521" s="60" t="n">
        <v>228785750691</v>
      </c>
      <c r="G1521" s="60" t="inlineStr">
        <is>
          <t>NORMAL</t>
        </is>
      </c>
      <c r="H1521" s="91" t="n">
        <v>99.90000000000001</v>
      </c>
      <c r="I1521" s="91" t="n">
        <v>34.9</v>
      </c>
      <c r="J1521" s="65" t="inlineStr">
        <is>
          <t>SIM</t>
        </is>
      </c>
      <c r="K1521" s="91" t="n">
        <v>34.9</v>
      </c>
      <c r="L1521" s="87" t="n">
        <v>34.9</v>
      </c>
      <c r="M1521" s="88" t="n">
        <v>6</v>
      </c>
      <c r="N1521" s="89" t="n">
        <v>2.01</v>
      </c>
      <c r="O1521" s="89">
        <f>ROUND(M1521*N1521,2)</f>
        <v/>
      </c>
      <c r="P1521" s="92">
        <f>IF($O1521="","",L1521-O1521-(L1521*IF(L1521&lt;=79.99,20%,14%)+IF(L1521&lt;=79.99,4,IF(L1521&lt;=99.99,16,IF(L1521&lt;=199.99,20,IF(L1521&lt;=499.99,26,28)))))-L1521*1.3%-L1521*6%-(L1521-O1521)*9.25%-L1521*3%-L1521*3%-1)</f>
        <v/>
      </c>
      <c r="Q1521" s="67" t="n">
        <v>0.651</v>
      </c>
      <c r="R1521" s="60" t="n">
        <v>489574396802176</v>
      </c>
      <c r="S1521" s="68" t="n">
        <v>46240.52083333334</v>
      </c>
      <c r="T1521" s="68" t="n">
        <v>46353.5625</v>
      </c>
      <c r="U1521" s="60" t="n">
        <v>101253</v>
      </c>
      <c r="V1521" t="inlineStr">
        <is>
          <t>213176</t>
        </is>
      </c>
      <c r="W1521" t="inlineStr">
        <is>
          <t>venda casada (3 pedidos) · custo do KIT 214052 (6× 213176)</t>
        </is>
      </c>
      <c r="X1521" t="n">
        <v>3</v>
      </c>
      <c r="Y1521" t="inlineStr">
        <is>
          <t>ok</t>
        </is>
      </c>
    </row>
    <row r="1522" ht="18" customHeight="1">
      <c r="A1522" s="54" t="inlineStr">
        <is>
          <t>Oliverhome</t>
        </is>
      </c>
      <c r="B1522" s="54" t="inlineStr">
        <is>
          <t>Kit Cabides De Madeira Premium Marfim Para Roupas Calça Gancho Cromado Oliver Home</t>
        </is>
      </c>
      <c r="C1522" s="54" t="inlineStr">
        <is>
          <t>60 Cabides</t>
        </is>
      </c>
      <c r="D1522" s="54" t="inlineStr">
        <is>
          <t>CABIDE-MARFIM-60 UN</t>
        </is>
      </c>
      <c r="E1522" s="54" t="n">
        <v>21898201672</v>
      </c>
      <c r="F1522" s="54" t="n">
        <v>119868998172</v>
      </c>
      <c r="G1522" s="54" t="inlineStr">
        <is>
          <t>NORMAL</t>
        </is>
      </c>
      <c r="H1522" s="86" t="n">
        <v>349.9</v>
      </c>
      <c r="I1522" s="86" t="n">
        <v>277.9</v>
      </c>
      <c r="J1522" s="56" t="inlineStr">
        <is>
          <t>SIM</t>
        </is>
      </c>
      <c r="K1522" s="86" t="n">
        <v>277.9</v>
      </c>
      <c r="L1522" s="87" t="n">
        <v>277.9</v>
      </c>
      <c r="M1522" s="88" t="n">
        <v>60</v>
      </c>
      <c r="N1522" s="89" t="n">
        <v>2.01</v>
      </c>
      <c r="O1522" s="89">
        <f>ROUND(M1522*N1522,2)</f>
        <v/>
      </c>
      <c r="P1522" s="90">
        <f>IF($O1522="","",L1522-O1522-(L1522*IF(L1522&lt;=79.99,20%,14%)+IF(L1522&lt;=79.99,4,IF(L1522&lt;=99.99,16,IF(L1522&lt;=199.99,20,IF(L1522&lt;=499.99,26,28)))))-L1522*1.3%-L1522*6%-(L1522-O1522)*9.25%-L1522*3%-L1522*3%-1)</f>
        <v/>
      </c>
      <c r="Q1522" s="58" t="n">
        <v>0.206</v>
      </c>
      <c r="R1522" s="54" t="n">
        <v>489574396802176</v>
      </c>
      <c r="S1522" s="59" t="n">
        <v>46240.52083333334</v>
      </c>
      <c r="T1522" s="59" t="n">
        <v>46353.5625</v>
      </c>
      <c r="U1522" s="54" t="n">
        <v>101253</v>
      </c>
      <c r="V1522" t="inlineStr">
        <is>
          <t>213176</t>
        </is>
      </c>
      <c r="W1522" t="inlineStr">
        <is>
          <t>venda casada (21 pedidos) · custo do KIT 214059 (60× 213176)</t>
        </is>
      </c>
      <c r="X1522" t="n">
        <v>21</v>
      </c>
      <c r="Y1522" t="inlineStr">
        <is>
          <t>ok</t>
        </is>
      </c>
    </row>
    <row r="1523" ht="18" customHeight="1">
      <c r="A1523" s="60" t="inlineStr">
        <is>
          <t>Oliverhome</t>
        </is>
      </c>
      <c r="B1523" s="60" t="inlineStr">
        <is>
          <t>Kit Cabides De Madeira Premium Marfim Para Roupas Calça Gancho Cromado Oliver Home</t>
        </is>
      </c>
      <c r="C1523" s="60" t="inlineStr">
        <is>
          <t>90 Cabides</t>
        </is>
      </c>
      <c r="D1523" s="60" t="inlineStr">
        <is>
          <t>CABIDE-MARFIM-90 UN</t>
        </is>
      </c>
      <c r="E1523" s="60" t="n">
        <v>21898201672</v>
      </c>
      <c r="F1523" s="60" t="n">
        <v>119868998173</v>
      </c>
      <c r="G1523" s="60" t="inlineStr">
        <is>
          <t>NORMAL</t>
        </is>
      </c>
      <c r="H1523" s="91" t="n">
        <v>439.9</v>
      </c>
      <c r="I1523" s="91" t="n">
        <v>379.9</v>
      </c>
      <c r="J1523" s="65" t="inlineStr">
        <is>
          <t>SIM</t>
        </is>
      </c>
      <c r="K1523" s="91" t="n">
        <v>379.9</v>
      </c>
      <c r="L1523" s="87" t="n">
        <v>379.9</v>
      </c>
      <c r="M1523" s="88" t="n">
        <v>90</v>
      </c>
      <c r="N1523" s="89" t="n">
        <v>2.01</v>
      </c>
      <c r="O1523" s="89">
        <f>ROUND(M1523*N1523,2)</f>
        <v/>
      </c>
      <c r="P1523" s="92">
        <f>IF($O1523="","",L1523-O1523-(L1523*IF(L1523&lt;=79.99,20%,14%)+IF(L1523&lt;=79.99,4,IF(L1523&lt;=99.99,16,IF(L1523&lt;=199.99,20,IF(L1523&lt;=499.99,26,28)))))-L1523*1.3%-L1523*6%-(L1523-O1523)*9.25%-L1523*3%-L1523*3%-1)</f>
        <v/>
      </c>
      <c r="Q1523" s="67" t="n">
        <v>0.136</v>
      </c>
      <c r="R1523" s="60" t="n">
        <v>489574396802176</v>
      </c>
      <c r="S1523" s="68" t="n">
        <v>46240.52083333334</v>
      </c>
      <c r="T1523" s="68" t="n">
        <v>46353.5625</v>
      </c>
      <c r="U1523" s="60" t="n">
        <v>101253</v>
      </c>
      <c r="V1523" t="inlineStr">
        <is>
          <t>213176</t>
        </is>
      </c>
      <c r="W1523" t="inlineStr">
        <is>
          <t>venda casada (13 pedidos) · custo do KIT 214060 (90× 213176)</t>
        </is>
      </c>
      <c r="X1523" t="n">
        <v>13</v>
      </c>
      <c r="Y1523" t="inlineStr">
        <is>
          <t>ok</t>
        </is>
      </c>
    </row>
    <row r="1524" ht="18" customHeight="1">
      <c r="A1524" s="54" t="inlineStr">
        <is>
          <t>Oliverhome</t>
        </is>
      </c>
      <c r="B1524" s="54" t="inlineStr">
        <is>
          <t>Kit Cabides Veludo De Roupa Cinza/Preto Antideslizante Slim Adulto</t>
        </is>
      </c>
      <c r="C1524" s="54" t="inlineStr">
        <is>
          <t>Bege,100 Unidades</t>
        </is>
      </c>
      <c r="D1524" s="54" t="inlineStr">
        <is>
          <t>CABIDE VELUDO-100UN-BEGE</t>
        </is>
      </c>
      <c r="E1524" s="54" t="n">
        <v>58261899130</v>
      </c>
      <c r="F1524" s="54" t="n">
        <v>199190249683</v>
      </c>
      <c r="G1524" s="54" t="inlineStr">
        <is>
          <t>NORMAL</t>
        </is>
      </c>
      <c r="H1524" s="86" t="n">
        <v>249.9</v>
      </c>
      <c r="I1524" s="86" t="n">
        <v>249.9</v>
      </c>
      <c r="J1524" s="69" t="inlineStr">
        <is>
          <t>NÃO</t>
        </is>
      </c>
      <c r="K1524" s="54" t="n"/>
      <c r="L1524" s="87" t="n">
        <v>249.9</v>
      </c>
      <c r="M1524" s="88" t="n">
        <v>100</v>
      </c>
      <c r="N1524" s="89" t="n">
        <v>0.59</v>
      </c>
      <c r="O1524" s="89">
        <f>ROUND(M1524*N1524,2)</f>
        <v/>
      </c>
      <c r="P1524" s="90">
        <f>IF($O1524="","",L1524-O1524-(L1524*IF(L1524&lt;=79.99,20%,14%)+IF(L1524&lt;=79.99,4,IF(L1524&lt;=99.99,16,IF(L1524&lt;=199.99,20,IF(L1524&lt;=499.99,26,28)))))-L1524*1.3%-L1524*6%-(L1524-O1524)*9.25%-L1524*3%-L1524*3%-1)</f>
        <v/>
      </c>
      <c r="Q1524" s="54">
        <f>IF(AND(K1524&lt;&gt;"",H1524&gt;0),(H1524-K1524)/H1524,"")</f>
        <v/>
      </c>
      <c r="R1524" s="54" t="n"/>
      <c r="S1524" s="54" t="n"/>
      <c r="T1524" s="54" t="n"/>
      <c r="U1524" s="54" t="n">
        <v>101253</v>
      </c>
      <c r="V1524" t="inlineStr">
        <is>
          <t>213999</t>
        </is>
      </c>
      <c r="W1524" t="inlineStr">
        <is>
          <t>venda casada (12 pedidos) · custo do KIT 214019 (100× 213999)</t>
        </is>
      </c>
      <c r="X1524" t="n">
        <v>12</v>
      </c>
      <c r="Y1524" t="inlineStr">
        <is>
          <t>ok</t>
        </is>
      </c>
    </row>
    <row r="1525" ht="18" customHeight="1">
      <c r="A1525" s="60" t="inlineStr">
        <is>
          <t>Oliverhome</t>
        </is>
      </c>
      <c r="B1525" s="60" t="inlineStr">
        <is>
          <t>Kit Cabides Veludo De Roupa Cinza/Preto Antideslizante Slim Adulto</t>
        </is>
      </c>
      <c r="C1525" s="60" t="inlineStr">
        <is>
          <t>Bege,30 Unidades</t>
        </is>
      </c>
      <c r="D1525" s="60" t="inlineStr">
        <is>
          <t>CABIDE VELUDO-30UN-BEGE</t>
        </is>
      </c>
      <c r="E1525" s="60" t="n">
        <v>58261899130</v>
      </c>
      <c r="F1525" s="60" t="n">
        <v>199190249690</v>
      </c>
      <c r="G1525" s="60" t="inlineStr">
        <is>
          <t>NORMAL</t>
        </is>
      </c>
      <c r="H1525" s="91" t="n">
        <v>109.9</v>
      </c>
      <c r="I1525" s="91" t="n">
        <v>109.9</v>
      </c>
      <c r="J1525" s="65" t="inlineStr">
        <is>
          <t>SIM</t>
        </is>
      </c>
      <c r="K1525" s="91" t="n">
        <v>109.9</v>
      </c>
      <c r="L1525" s="87" t="n">
        <v>46.9</v>
      </c>
      <c r="M1525" s="88" t="n">
        <v>30</v>
      </c>
      <c r="N1525" s="89" t="n">
        <v>0.59</v>
      </c>
      <c r="O1525" s="89">
        <f>ROUND(M1525*N1525,2)</f>
        <v/>
      </c>
      <c r="P1525" s="92">
        <f>IF($O1525="","",L1525-O1525-(L1525*IF(L1525&lt;=79.99,20%,14%)+IF(L1525&lt;=79.99,4,IF(L1525&lt;=99.99,16,IF(L1525&lt;=199.99,20,IF(L1525&lt;=499.99,26,28)))))-L1525*1.3%-L1525*6%-(L1525-O1525)*9.25%-L1525*3%-L1525*3%-1)</f>
        <v/>
      </c>
      <c r="Q1525" s="67" t="n">
        <v>0.573</v>
      </c>
      <c r="R1525" s="60" t="n">
        <v>478840979931317</v>
      </c>
      <c r="S1525" s="68" t="n">
        <v>46248</v>
      </c>
      <c r="T1525" s="68" t="n">
        <v>46248.99930555555</v>
      </c>
      <c r="U1525" s="60" t="n">
        <v>101253</v>
      </c>
      <c r="V1525" t="inlineStr">
        <is>
          <t>213999</t>
        </is>
      </c>
      <c r="W1525" t="inlineStr">
        <is>
          <t>venda casada (48 pedidos) · custo do KIT 214011 (30× 213999)</t>
        </is>
      </c>
      <c r="X1525" t="n">
        <v>48</v>
      </c>
      <c r="Y1525" t="inlineStr">
        <is>
          <t>ok</t>
        </is>
      </c>
    </row>
    <row r="1526" ht="18" customHeight="1">
      <c r="A1526" s="54" t="inlineStr">
        <is>
          <t>Oliverhome</t>
        </is>
      </c>
      <c r="B1526" s="54" t="inlineStr">
        <is>
          <t>Kit Cabides Veludo De Roupa Cinza/Preto Antideslizante Slim Adulto</t>
        </is>
      </c>
      <c r="C1526" s="54" t="inlineStr">
        <is>
          <t>Bege,50 Unidades</t>
        </is>
      </c>
      <c r="D1526" s="54" t="inlineStr">
        <is>
          <t>CABIDE VELUDO-50UN-BEGE</t>
        </is>
      </c>
      <c r="E1526" s="54" t="n">
        <v>58261899130</v>
      </c>
      <c r="F1526" s="54" t="n">
        <v>199190249689</v>
      </c>
      <c r="G1526" s="54" t="inlineStr">
        <is>
          <t>NORMAL</t>
        </is>
      </c>
      <c r="H1526" s="86" t="n">
        <v>149.9</v>
      </c>
      <c r="I1526" s="86" t="n">
        <v>149.9</v>
      </c>
      <c r="J1526" s="69" t="inlineStr">
        <is>
          <t>NÃO</t>
        </is>
      </c>
      <c r="K1526" s="54" t="n"/>
      <c r="L1526" s="87" t="n">
        <v>149.9</v>
      </c>
      <c r="M1526" s="88" t="n">
        <v>50</v>
      </c>
      <c r="N1526" s="89" t="n">
        <v>0.59</v>
      </c>
      <c r="O1526" s="89">
        <f>ROUND(M1526*N1526,2)</f>
        <v/>
      </c>
      <c r="P1526" s="90">
        <f>IF($O1526="","",L1526-O1526-(L1526*IF(L1526&lt;=79.99,20%,14%)+IF(L1526&lt;=79.99,4,IF(L1526&lt;=99.99,16,IF(L1526&lt;=199.99,20,IF(L1526&lt;=499.99,26,28)))))-L1526*1.3%-L1526*6%-(L1526-O1526)*9.25%-L1526*3%-L1526*3%-1)</f>
        <v/>
      </c>
      <c r="Q1526" s="54">
        <f>IF(AND(K1526&lt;&gt;"",H1526&gt;0),(H1526-K1526)/H1526,"")</f>
        <v/>
      </c>
      <c r="R1526" s="54" t="n"/>
      <c r="S1526" s="54" t="n"/>
      <c r="T1526" s="54" t="n"/>
      <c r="U1526" s="54" t="n">
        <v>101253</v>
      </c>
      <c r="V1526" t="inlineStr">
        <is>
          <t>213999</t>
        </is>
      </c>
      <c r="W1526" t="inlineStr">
        <is>
          <t>venda casada (25 pedidos) · custo do KIT 214015 (50× 213999)</t>
        </is>
      </c>
      <c r="X1526" t="n">
        <v>25</v>
      </c>
      <c r="Y1526" t="inlineStr">
        <is>
          <t>ok</t>
        </is>
      </c>
    </row>
    <row r="1527" ht="18" customHeight="1">
      <c r="A1527" s="60" t="inlineStr">
        <is>
          <t>Oliverhome</t>
        </is>
      </c>
      <c r="B1527" s="60" t="inlineStr">
        <is>
          <t>Kit Cabides Veludo De Roupa Cinza/Preto Antideslizante Slim Adulto</t>
        </is>
      </c>
      <c r="C1527" s="60" t="inlineStr">
        <is>
          <t>Branca,100 Unidades</t>
        </is>
      </c>
      <c r="D1527" s="60" t="inlineStr">
        <is>
          <t>CABIDE VELUDO-100UN-BRANCA</t>
        </is>
      </c>
      <c r="E1527" s="60" t="n">
        <v>58261899130</v>
      </c>
      <c r="F1527" s="60" t="n">
        <v>199190249685</v>
      </c>
      <c r="G1527" s="60" t="inlineStr">
        <is>
          <t>NORMAL</t>
        </is>
      </c>
      <c r="H1527" s="91" t="n">
        <v>249.9</v>
      </c>
      <c r="I1527" s="91" t="n">
        <v>249.9</v>
      </c>
      <c r="J1527" s="62" t="inlineStr">
        <is>
          <t>NÃO</t>
        </is>
      </c>
      <c r="K1527" s="60" t="inlineStr">
        <is>
          <t> </t>
        </is>
      </c>
      <c r="L1527" s="87" t="n">
        <v>249.9</v>
      </c>
      <c r="M1527" s="88" t="n">
        <v>100</v>
      </c>
      <c r="N1527" s="89" t="n">
        <v>0.59</v>
      </c>
      <c r="O1527" s="89">
        <f>ROUND(M1527*N1527,2)</f>
        <v/>
      </c>
      <c r="P1527" s="92">
        <f>IF($O1527="","",L1527-O1527-(L1527*IF(L1527&lt;=79.99,20%,14%)+IF(L1527&lt;=79.99,4,IF(L1527&lt;=99.99,16,IF(L1527&lt;=199.99,20,IF(L1527&lt;=499.99,26,28)))))-L1527*1.3%-L1527*6%-(L1527-O1527)*9.25%-L1527*3%-L1527*3%-1)</f>
        <v/>
      </c>
      <c r="Q1527" s="60" t="inlineStr">
        <is>
          <t> </t>
        </is>
      </c>
      <c r="R1527" s="60" t="inlineStr">
        <is>
          <t> </t>
        </is>
      </c>
      <c r="S1527" s="60" t="inlineStr">
        <is>
          <t> </t>
        </is>
      </c>
      <c r="T1527" s="60" t="inlineStr">
        <is>
          <t> </t>
        </is>
      </c>
      <c r="U1527" s="60" t="n">
        <v>101253</v>
      </c>
      <c r="V1527" t="inlineStr">
        <is>
          <t>214000</t>
        </is>
      </c>
      <c r="W1527" t="inlineStr">
        <is>
          <t>venda casada (5 pedidos) · custo do KIT 214020 (100× 214000)</t>
        </is>
      </c>
      <c r="X1527" t="n">
        <v>5</v>
      </c>
      <c r="Y1527" t="inlineStr">
        <is>
          <t>ok</t>
        </is>
      </c>
    </row>
    <row r="1528" ht="18" customHeight="1">
      <c r="A1528" s="54" t="inlineStr">
        <is>
          <t>Oliverhome</t>
        </is>
      </c>
      <c r="B1528" s="54" t="inlineStr">
        <is>
          <t>Kit Cabides Veludo De Roupa Cinza/Preto Antideslizante Slim Adulto</t>
        </is>
      </c>
      <c r="C1528" s="54" t="inlineStr">
        <is>
          <t>Branca,30 Unidades</t>
        </is>
      </c>
      <c r="D1528" s="54" t="inlineStr">
        <is>
          <t>CABIDE VELUDO-30UN-BRANCA</t>
        </is>
      </c>
      <c r="E1528" s="54" t="n">
        <v>58261899130</v>
      </c>
      <c r="F1528" s="54" t="n">
        <v>199190249687</v>
      </c>
      <c r="G1528" s="54" t="inlineStr">
        <is>
          <t>NORMAL</t>
        </is>
      </c>
      <c r="H1528" s="86" t="n">
        <v>104.9</v>
      </c>
      <c r="I1528" s="86" t="n">
        <v>104.9</v>
      </c>
      <c r="J1528" s="69" t="inlineStr">
        <is>
          <t>NÃO</t>
        </is>
      </c>
      <c r="K1528" s="54" t="n"/>
      <c r="L1528" s="87" t="n">
        <v>104.9</v>
      </c>
      <c r="M1528" s="88" t="n">
        <v>30</v>
      </c>
      <c r="N1528" s="89" t="n">
        <v>0.59</v>
      </c>
      <c r="O1528" s="89">
        <f>ROUND(M1528*N1528,2)</f>
        <v/>
      </c>
      <c r="P1528" s="90">
        <f>IF($O1528="","",L1528-O1528-(L1528*IF(L1528&lt;=79.99,20%,14%)+IF(L1528&lt;=79.99,4,IF(L1528&lt;=99.99,16,IF(L1528&lt;=199.99,20,IF(L1528&lt;=499.99,26,28)))))-L1528*1.3%-L1528*6%-(L1528-O1528)*9.25%-L1528*3%-L1528*3%-1)</f>
        <v/>
      </c>
      <c r="Q1528" s="54">
        <f>IF(AND(K1528&lt;&gt;"",H1528&gt;0),(H1528-K1528)/H1528,"")</f>
        <v/>
      </c>
      <c r="R1528" s="54" t="n"/>
      <c r="S1528" s="54" t="n"/>
      <c r="T1528" s="54" t="n"/>
      <c r="U1528" s="54" t="n">
        <v>101253</v>
      </c>
      <c r="V1528" t="inlineStr">
        <is>
          <t>214000</t>
        </is>
      </c>
      <c r="W1528" t="inlineStr">
        <is>
          <t>venda casada (3 pedidos) · custo do KIT 214012 (30× 214000)</t>
        </is>
      </c>
      <c r="X1528" t="n">
        <v>3</v>
      </c>
      <c r="Y1528" t="inlineStr">
        <is>
          <t>ok</t>
        </is>
      </c>
    </row>
    <row r="1529" ht="18" customHeight="1">
      <c r="A1529" s="60" t="inlineStr">
        <is>
          <t>Oliverhome</t>
        </is>
      </c>
      <c r="B1529" s="60" t="inlineStr">
        <is>
          <t>Kit Cabides Veludo De Roupa Cinza/Preto Antideslizante Slim Adulto</t>
        </is>
      </c>
      <c r="C1529" s="60" t="inlineStr">
        <is>
          <t>Branca,50 Unidades</t>
        </is>
      </c>
      <c r="D1529" s="60" t="inlineStr">
        <is>
          <t>CABIDE VELUDO-50UN-BRANCA</t>
        </is>
      </c>
      <c r="E1529" s="60" t="n">
        <v>58261899130</v>
      </c>
      <c r="F1529" s="60" t="n">
        <v>199190249684</v>
      </c>
      <c r="G1529" s="60" t="inlineStr">
        <is>
          <t>NORMAL</t>
        </is>
      </c>
      <c r="H1529" s="91" t="n">
        <v>149.9</v>
      </c>
      <c r="I1529" s="91" t="n">
        <v>149.9</v>
      </c>
      <c r="J1529" s="62" t="inlineStr">
        <is>
          <t>NÃO</t>
        </is>
      </c>
      <c r="K1529" s="60" t="inlineStr">
        <is>
          <t> </t>
        </is>
      </c>
      <c r="L1529" s="87" t="n">
        <v>149.9</v>
      </c>
      <c r="M1529" s="88" t="n">
        <v>50</v>
      </c>
      <c r="N1529" s="89" t="n">
        <v>0.59</v>
      </c>
      <c r="O1529" s="89">
        <f>ROUND(M1529*N1529,2)</f>
        <v/>
      </c>
      <c r="P1529" s="92">
        <f>IF($O1529="","",L1529-O1529-(L1529*IF(L1529&lt;=79.99,20%,14%)+IF(L1529&lt;=79.99,4,IF(L1529&lt;=99.99,16,IF(L1529&lt;=199.99,20,IF(L1529&lt;=499.99,26,28)))))-L1529*1.3%-L1529*6%-(L1529-O1529)*9.25%-L1529*3%-L1529*3%-1)</f>
        <v/>
      </c>
      <c r="Q1529" s="60" t="inlineStr">
        <is>
          <t> </t>
        </is>
      </c>
      <c r="R1529" s="60" t="inlineStr">
        <is>
          <t> </t>
        </is>
      </c>
      <c r="S1529" s="60" t="inlineStr">
        <is>
          <t> </t>
        </is>
      </c>
      <c r="T1529" s="60" t="inlineStr">
        <is>
          <t> </t>
        </is>
      </c>
      <c r="U1529" s="60" t="n">
        <v>101253</v>
      </c>
      <c r="V1529" t="inlineStr">
        <is>
          <t>214000</t>
        </is>
      </c>
      <c r="W1529" t="inlineStr">
        <is>
          <t>venda casada (6 pedidos) · custo do KIT 214016 (50× 214000)</t>
        </is>
      </c>
      <c r="X1529" t="n">
        <v>6</v>
      </c>
      <c r="Y1529" t="inlineStr">
        <is>
          <t>ok</t>
        </is>
      </c>
    </row>
    <row r="1530" ht="18" customHeight="1">
      <c r="A1530" s="54" t="inlineStr">
        <is>
          <t>Oliverhome</t>
        </is>
      </c>
      <c r="B1530" s="54" t="inlineStr">
        <is>
          <t>Kit Cabides Veludo De Roupa Cinza/Preto Antideslizante Slim Adulto</t>
        </is>
      </c>
      <c r="C1530" s="54" t="inlineStr">
        <is>
          <t>Cinza,100 Unidades</t>
        </is>
      </c>
      <c r="D1530" s="54" t="inlineStr">
        <is>
          <t>CABIDE VELUDO-100UN-CINZA</t>
        </is>
      </c>
      <c r="E1530" s="54" t="n">
        <v>58261899130</v>
      </c>
      <c r="F1530" s="54" t="n">
        <v>199190249686</v>
      </c>
      <c r="G1530" s="54" t="inlineStr">
        <is>
          <t>NORMAL</t>
        </is>
      </c>
      <c r="H1530" s="86" t="n">
        <v>249.9</v>
      </c>
      <c r="I1530" s="86" t="n">
        <v>134.89</v>
      </c>
      <c r="J1530" s="56" t="inlineStr">
        <is>
          <t>SIM</t>
        </is>
      </c>
      <c r="K1530" s="86" t="n">
        <v>134.89</v>
      </c>
      <c r="L1530" s="87" t="n">
        <v>134.89</v>
      </c>
      <c r="M1530" s="88" t="n">
        <v>100</v>
      </c>
      <c r="N1530" s="89" t="n">
        <v>0.59</v>
      </c>
      <c r="O1530" s="89">
        <f>ROUND(M1530*N1530,2)</f>
        <v/>
      </c>
      <c r="P1530" s="90">
        <f>IF($O1530="","",L1530-O1530-(L1530*IF(L1530&lt;=79.99,20%,14%)+IF(L1530&lt;=79.99,4,IF(L1530&lt;=99.99,16,IF(L1530&lt;=199.99,20,IF(L1530&lt;=499.99,26,28)))))-L1530*1.3%-L1530*6%-(L1530-O1530)*9.25%-L1530*3%-L1530*3%-1)</f>
        <v/>
      </c>
      <c r="Q1530" s="58" t="n">
        <v>0.46</v>
      </c>
      <c r="R1530" s="54" t="n">
        <v>489574396802176</v>
      </c>
      <c r="S1530" s="59" t="n">
        <v>46240.52083333334</v>
      </c>
      <c r="T1530" s="59" t="n">
        <v>46353.5625</v>
      </c>
      <c r="U1530" s="54" t="n">
        <v>101253</v>
      </c>
      <c r="V1530" t="inlineStr">
        <is>
          <t>213998</t>
        </is>
      </c>
      <c r="W1530" t="inlineStr">
        <is>
          <t>venda casada (14 pedidos) · custo do KIT 214018 (100× 213998)</t>
        </is>
      </c>
      <c r="X1530" t="n">
        <v>14</v>
      </c>
      <c r="Y1530" t="inlineStr">
        <is>
          <t>ok</t>
        </is>
      </c>
    </row>
    <row r="1531" ht="18" customHeight="1">
      <c r="A1531" s="60" t="inlineStr">
        <is>
          <t>Oliverhome</t>
        </is>
      </c>
      <c r="B1531" s="60" t="inlineStr">
        <is>
          <t>Kit Cabides Veludo De Roupa Cinza/Preto Antideslizante Slim Adulto</t>
        </is>
      </c>
      <c r="C1531" s="60" t="inlineStr">
        <is>
          <t>Cinza,30 Unidades</t>
        </is>
      </c>
      <c r="D1531" s="60" t="inlineStr">
        <is>
          <t>CABIDE VELUDO-30UN-CINZA</t>
        </is>
      </c>
      <c r="E1531" s="60" t="n">
        <v>58261899130</v>
      </c>
      <c r="F1531" s="60" t="n">
        <v>199190249682</v>
      </c>
      <c r="G1531" s="60" t="inlineStr">
        <is>
          <t>NORMAL</t>
        </is>
      </c>
      <c r="H1531" s="91" t="n">
        <v>109.9</v>
      </c>
      <c r="I1531" s="91" t="n">
        <v>46.9</v>
      </c>
      <c r="J1531" s="65" t="inlineStr">
        <is>
          <t>SIM</t>
        </is>
      </c>
      <c r="K1531" s="91" t="n">
        <v>46.9</v>
      </c>
      <c r="L1531" s="87" t="n">
        <v>46.9</v>
      </c>
      <c r="M1531" s="88" t="n">
        <v>30</v>
      </c>
      <c r="N1531" s="89" t="n">
        <v>0.59</v>
      </c>
      <c r="O1531" s="89">
        <f>ROUND(M1531*N1531,2)</f>
        <v/>
      </c>
      <c r="P1531" s="92">
        <f>IF($O1531="","",L1531-O1531-(L1531*IF(L1531&lt;=79.99,20%,14%)+IF(L1531&lt;=79.99,4,IF(L1531&lt;=99.99,16,IF(L1531&lt;=199.99,20,IF(L1531&lt;=499.99,26,28)))))-L1531*1.3%-L1531*6%-(L1531-O1531)*9.25%-L1531*3%-L1531*3%-1)</f>
        <v/>
      </c>
      <c r="Q1531" s="67" t="n">
        <v>0.573</v>
      </c>
      <c r="R1531" s="60" t="n">
        <v>478840979931317</v>
      </c>
      <c r="S1531" s="68" t="n">
        <v>46248</v>
      </c>
      <c r="T1531" s="68" t="n">
        <v>46248.99930555555</v>
      </c>
      <c r="U1531" s="60" t="n">
        <v>101253</v>
      </c>
      <c r="V1531" t="inlineStr">
        <is>
          <t>213998</t>
        </is>
      </c>
      <c r="W1531" t="inlineStr">
        <is>
          <t>venda casada (14 pedidos) · custo do KIT 214010 (30× 213998)</t>
        </is>
      </c>
      <c r="X1531" t="n">
        <v>14</v>
      </c>
      <c r="Y1531" t="inlineStr">
        <is>
          <t>ok</t>
        </is>
      </c>
    </row>
    <row r="1532" ht="18" customHeight="1">
      <c r="A1532" s="54" t="inlineStr">
        <is>
          <t>Oliverhome</t>
        </is>
      </c>
      <c r="B1532" s="54" t="inlineStr">
        <is>
          <t>Kit Cabides Veludo De Roupa Cinza/Preto Antideslizante Slim Adulto</t>
        </is>
      </c>
      <c r="C1532" s="54" t="inlineStr">
        <is>
          <t>Cinza,50 Unidades</t>
        </is>
      </c>
      <c r="D1532" s="54" t="inlineStr">
        <is>
          <t>CABIDE VELUDO-50UN-CINZA</t>
        </is>
      </c>
      <c r="E1532" s="54" t="n">
        <v>58261899130</v>
      </c>
      <c r="F1532" s="54" t="n">
        <v>199190249688</v>
      </c>
      <c r="G1532" s="54" t="inlineStr">
        <is>
          <t>NORMAL</t>
        </is>
      </c>
      <c r="H1532" s="86" t="n">
        <v>149.9</v>
      </c>
      <c r="I1532" s="86" t="n">
        <v>62.5</v>
      </c>
      <c r="J1532" s="56" t="inlineStr">
        <is>
          <t>SIM</t>
        </is>
      </c>
      <c r="K1532" s="86" t="n">
        <v>62.5</v>
      </c>
      <c r="L1532" s="87" t="n">
        <v>62.5</v>
      </c>
      <c r="M1532" s="88" t="n">
        <v>50</v>
      </c>
      <c r="N1532" s="89" t="n">
        <v>0.59</v>
      </c>
      <c r="O1532" s="89">
        <f>ROUND(M1532*N1532,2)</f>
        <v/>
      </c>
      <c r="P1532" s="90">
        <f>IF($O1532="","",L1532-O1532-(L1532*IF(L1532&lt;=79.99,20%,14%)+IF(L1532&lt;=79.99,4,IF(L1532&lt;=99.99,16,IF(L1532&lt;=199.99,20,IF(L1532&lt;=499.99,26,28)))))-L1532*1.3%-L1532*6%-(L1532-O1532)*9.25%-L1532*3%-L1532*3%-1)</f>
        <v/>
      </c>
      <c r="Q1532" s="58" t="n">
        <v>0.583</v>
      </c>
      <c r="R1532" s="54" t="n">
        <v>489574396802176</v>
      </c>
      <c r="S1532" s="59" t="n">
        <v>46240.52083333334</v>
      </c>
      <c r="T1532" s="59" t="n">
        <v>46353.5625</v>
      </c>
      <c r="U1532" s="54" t="n">
        <v>101253</v>
      </c>
      <c r="V1532" t="inlineStr">
        <is>
          <t>213998</t>
        </is>
      </c>
      <c r="W1532" t="inlineStr">
        <is>
          <t>venda casada (36 pedidos) · custo do KIT 214014 (50× 213998)</t>
        </is>
      </c>
      <c r="X1532" t="n">
        <v>36</v>
      </c>
      <c r="Y1532" t="inlineStr">
        <is>
          <t>ok</t>
        </is>
      </c>
    </row>
    <row r="1533" ht="18" customHeight="1">
      <c r="A1533" s="60" t="inlineStr">
        <is>
          <t>Oliverhome</t>
        </is>
      </c>
      <c r="B1533" s="60" t="inlineStr">
        <is>
          <t>Kit Cabides Veludo De Roupa Cinza/Preto Antideslizante Slim Adulto</t>
        </is>
      </c>
      <c r="C1533" s="60" t="inlineStr">
        <is>
          <t>Preto,100 Unidades</t>
        </is>
      </c>
      <c r="D1533" s="60" t="inlineStr">
        <is>
          <t>CABIDE VELUDO-100UN-PRETO</t>
        </is>
      </c>
      <c r="E1533" s="60" t="n">
        <v>23794041372</v>
      </c>
      <c r="F1533" s="60" t="n">
        <v>239422529349</v>
      </c>
      <c r="G1533" s="60" t="inlineStr">
        <is>
          <t>NORMAL</t>
        </is>
      </c>
      <c r="H1533" s="91" t="n">
        <v>249.9</v>
      </c>
      <c r="I1533" s="91" t="n">
        <v>134.89</v>
      </c>
      <c r="J1533" s="65" t="inlineStr">
        <is>
          <t>SIM</t>
        </is>
      </c>
      <c r="K1533" s="91" t="n">
        <v>134.89</v>
      </c>
      <c r="L1533" s="87" t="n">
        <v>134.89</v>
      </c>
      <c r="P1533" s="92">
        <f>IF($O1533="","",L1533-O1533-(L1533*IF(L1533&lt;=79.99,20%,14%)+IF(L1533&lt;=79.99,4,IF(L1533&lt;=99.99,16,IF(L1533&lt;=199.99,20,IF(L1533&lt;=499.99,26,28)))))-L1533*1.3%-L1533*6%-(L1533-O1533)*9.25%-L1533*3%-L1533*3%-1)</f>
        <v/>
      </c>
      <c r="Q1533" s="67" t="n">
        <v>0.46</v>
      </c>
      <c r="R1533" s="60" t="inlineStr">
        <is>
          <t>478840979931317, 488524742865093, 489574396802176</t>
        </is>
      </c>
      <c r="S1533" s="68" t="n">
        <v>46240.52083333334</v>
      </c>
      <c r="T1533" s="68" t="n">
        <v>46248.99930555555</v>
      </c>
      <c r="U1533" s="60" t="n">
        <v>101253</v>
      </c>
      <c r="W1533" t="inlineStr">
        <is>
          <t>ambíguo: CABIDE VELUDO-100UN-PRETO (49%) vs 213997</t>
        </is>
      </c>
      <c r="X1533" t="n">
        <v>560</v>
      </c>
      <c r="Y1533" t="inlineStr"/>
    </row>
    <row r="1534" ht="18" customHeight="1">
      <c r="A1534" s="54" t="inlineStr">
        <is>
          <t>Oliverhome</t>
        </is>
      </c>
      <c r="B1534" s="54" t="inlineStr">
        <is>
          <t>Kit Cabides Veludo De Roupa Cinza/Preto Antideslizante Slim Adulto</t>
        </is>
      </c>
      <c r="C1534" s="54" t="inlineStr">
        <is>
          <t>Preto,100 Unidades</t>
        </is>
      </c>
      <c r="D1534" s="54" t="inlineStr">
        <is>
          <t>CABIDE VELUDO-100UN-PRETO</t>
        </is>
      </c>
      <c r="E1534" s="54" t="n">
        <v>58261899130</v>
      </c>
      <c r="F1534" s="54" t="n">
        <v>199190249692</v>
      </c>
      <c r="G1534" s="54" t="inlineStr">
        <is>
          <t>NORMAL</t>
        </is>
      </c>
      <c r="H1534" s="86" t="n">
        <v>249.9</v>
      </c>
      <c r="I1534" s="86" t="n">
        <v>134.89</v>
      </c>
      <c r="J1534" s="56" t="inlineStr">
        <is>
          <t>SIM</t>
        </is>
      </c>
      <c r="K1534" s="86" t="n">
        <v>134.89</v>
      </c>
      <c r="L1534" s="87" t="n">
        <v>134.89</v>
      </c>
      <c r="M1534" s="88" t="n">
        <v>100</v>
      </c>
      <c r="N1534" s="89" t="n">
        <v>0.59</v>
      </c>
      <c r="O1534" s="89">
        <f>ROUND(M1534*N1534,2)</f>
        <v/>
      </c>
      <c r="P1534" s="90">
        <f>IF($O1534="","",L1534-O1534-(L1534*IF(L1534&lt;=79.99,20%,14%)+IF(L1534&lt;=79.99,4,IF(L1534&lt;=99.99,16,IF(L1534&lt;=199.99,20,IF(L1534&lt;=499.99,26,28)))))-L1534*1.3%-L1534*6%-(L1534-O1534)*9.25%-L1534*3%-L1534*3%-1)</f>
        <v/>
      </c>
      <c r="Q1534" s="58" t="n">
        <v>0.46</v>
      </c>
      <c r="R1534" s="54" t="n">
        <v>489574396802176</v>
      </c>
      <c r="S1534" s="59" t="n">
        <v>46240.52083333334</v>
      </c>
      <c r="T1534" s="59" t="n">
        <v>46353.5625</v>
      </c>
      <c r="U1534" s="54" t="n">
        <v>101253</v>
      </c>
      <c r="V1534" t="inlineStr">
        <is>
          <t>213997</t>
        </is>
      </c>
      <c r="W1534" t="inlineStr">
        <is>
          <t>venda casada (31 pedidos) · custo do KIT 214017 (100× 213997)</t>
        </is>
      </c>
      <c r="X1534" t="n">
        <v>31</v>
      </c>
      <c r="Y1534" t="inlineStr">
        <is>
          <t>ok</t>
        </is>
      </c>
    </row>
    <row r="1535" ht="18" customHeight="1">
      <c r="A1535" s="60" t="inlineStr">
        <is>
          <t>Oliverhome</t>
        </is>
      </c>
      <c r="B1535" s="60" t="inlineStr">
        <is>
          <t>Kit Cabides Veludo De Roupa Cinza/Preto Antideslizante Slim Adulto</t>
        </is>
      </c>
      <c r="C1535" s="60" t="inlineStr">
        <is>
          <t>Preto,30 Unidades</t>
        </is>
      </c>
      <c r="D1535" s="60" t="inlineStr">
        <is>
          <t>CABIDE VELUDO-30UN-PRETO</t>
        </is>
      </c>
      <c r="E1535" s="60" t="n">
        <v>23794041372</v>
      </c>
      <c r="F1535" s="60" t="n">
        <v>239422529350</v>
      </c>
      <c r="G1535" s="60" t="inlineStr">
        <is>
          <t>NORMAL</t>
        </is>
      </c>
      <c r="H1535" s="91" t="n">
        <v>109.9</v>
      </c>
      <c r="I1535" s="91" t="n">
        <v>44.89</v>
      </c>
      <c r="J1535" s="65" t="inlineStr">
        <is>
          <t>SIM</t>
        </is>
      </c>
      <c r="K1535" s="91" t="n">
        <v>44.89</v>
      </c>
      <c r="L1535" s="87" t="n">
        <v>44.89</v>
      </c>
      <c r="P1535" s="92">
        <f>IF($O1535="","",L1535-O1535-(L1535*IF(L1535&lt;=79.99,20%,14%)+IF(L1535&lt;=79.99,4,IF(L1535&lt;=99.99,16,IF(L1535&lt;=199.99,20,IF(L1535&lt;=499.99,26,28)))))-L1535*1.3%-L1535*6%-(L1535-O1535)*9.25%-L1535*3%-L1535*3%-1)</f>
        <v/>
      </c>
      <c r="Q1535" s="67" t="n">
        <v>0.592</v>
      </c>
      <c r="R1535" s="60" t="n">
        <v>489574396802176</v>
      </c>
      <c r="S1535" s="68" t="n">
        <v>46240.52083333334</v>
      </c>
      <c r="T1535" s="68" t="n">
        <v>46353.5625</v>
      </c>
      <c r="U1535" s="60" t="n">
        <v>101253</v>
      </c>
      <c r="W1535" t="inlineStr">
        <is>
          <t>ambíguo: CABIDE VELUDO-30UN-PRETO (48%) vs 213997</t>
        </is>
      </c>
      <c r="X1535" t="n">
        <v>231</v>
      </c>
      <c r="Y1535" t="inlineStr"/>
    </row>
    <row r="1536" ht="18" customHeight="1">
      <c r="A1536" s="54" t="inlineStr">
        <is>
          <t>Oliverhome</t>
        </is>
      </c>
      <c r="B1536" s="54" t="inlineStr">
        <is>
          <t>Kit Cabides Veludo De Roupa Cinza/Preto Antideslizante Slim Adulto</t>
        </is>
      </c>
      <c r="C1536" s="54" t="inlineStr">
        <is>
          <t>Preto,30 Unidades</t>
        </is>
      </c>
      <c r="D1536" s="54" t="inlineStr">
        <is>
          <t>CABIDE VELUDO-30UN-PRETO</t>
        </is>
      </c>
      <c r="E1536" s="54" t="n">
        <v>58261899130</v>
      </c>
      <c r="F1536" s="54" t="n">
        <v>199190249693</v>
      </c>
      <c r="G1536" s="54" t="inlineStr">
        <is>
          <t>NORMAL</t>
        </is>
      </c>
      <c r="H1536" s="86" t="n">
        <v>109.9</v>
      </c>
      <c r="I1536" s="86" t="n">
        <v>46.9</v>
      </c>
      <c r="J1536" s="56" t="inlineStr">
        <is>
          <t>SIM</t>
        </is>
      </c>
      <c r="K1536" s="86" t="n">
        <v>46.9</v>
      </c>
      <c r="L1536" s="87" t="n">
        <v>46.9</v>
      </c>
      <c r="M1536" s="88" t="n">
        <v>30</v>
      </c>
      <c r="N1536" s="89" t="n">
        <v>0.59</v>
      </c>
      <c r="O1536" s="89">
        <f>ROUND(M1536*N1536,2)</f>
        <v/>
      </c>
      <c r="P1536" s="90">
        <f>IF($O1536="","",L1536-O1536-(L1536*IF(L1536&lt;=79.99,20%,14%)+IF(L1536&lt;=79.99,4,IF(L1536&lt;=99.99,16,IF(L1536&lt;=199.99,20,IF(L1536&lt;=499.99,26,28)))))-L1536*1.3%-L1536*6%-(L1536-O1536)*9.25%-L1536*3%-L1536*3%-1)</f>
        <v/>
      </c>
      <c r="Q1536" s="58" t="n">
        <v>0.573</v>
      </c>
      <c r="R1536" s="54" t="n">
        <v>478840979931317</v>
      </c>
      <c r="S1536" s="59" t="n">
        <v>46248</v>
      </c>
      <c r="T1536" s="59" t="n">
        <v>46248.99930555555</v>
      </c>
      <c r="U1536" s="54" t="n">
        <v>101253</v>
      </c>
      <c r="V1536" t="inlineStr">
        <is>
          <t>213997</t>
        </is>
      </c>
      <c r="W1536" t="inlineStr">
        <is>
          <t>venda casada (59 pedidos) · custo do KIT 214009 (30× 213997)</t>
        </is>
      </c>
      <c r="X1536" t="n">
        <v>59</v>
      </c>
      <c r="Y1536" t="inlineStr">
        <is>
          <t>ok</t>
        </is>
      </c>
    </row>
    <row r="1537" ht="18" customHeight="1">
      <c r="A1537" s="60" t="inlineStr">
        <is>
          <t>Oliverhome</t>
        </is>
      </c>
      <c r="B1537" s="60" t="inlineStr">
        <is>
          <t>Kit Cabides Veludo De Roupa Cinza/Preto Antideslizante Slim Adulto</t>
        </is>
      </c>
      <c r="C1537" s="60" t="inlineStr">
        <is>
          <t>Preto,50 Unidades</t>
        </is>
      </c>
      <c r="D1537" s="60" t="inlineStr">
        <is>
          <t>CABIDE VELUDO-50UN-PRETO</t>
        </is>
      </c>
      <c r="E1537" s="60" t="n">
        <v>23794041372</v>
      </c>
      <c r="F1537" s="60" t="n">
        <v>239422529351</v>
      </c>
      <c r="G1537" s="60" t="inlineStr">
        <is>
          <t>NORMAL</t>
        </is>
      </c>
      <c r="H1537" s="91" t="n">
        <v>149.9</v>
      </c>
      <c r="I1537" s="91" t="n">
        <v>62.5</v>
      </c>
      <c r="J1537" s="65" t="inlineStr">
        <is>
          <t>SIM</t>
        </is>
      </c>
      <c r="K1537" s="91" t="n">
        <v>62.5</v>
      </c>
      <c r="L1537" s="87" t="n">
        <v>62.5</v>
      </c>
      <c r="M1537" s="88" t="n">
        <v>50</v>
      </c>
      <c r="N1537" s="89" t="n">
        <v>0.59</v>
      </c>
      <c r="O1537" s="89">
        <f>ROUND(M1537*N1537,2)</f>
        <v/>
      </c>
      <c r="P1537" s="92">
        <f>IF($O1537="","",L1537-O1537-(L1537*IF(L1537&lt;=79.99,20%,14%)+IF(L1537&lt;=79.99,4,IF(L1537&lt;=99.99,16,IF(L1537&lt;=199.99,20,IF(L1537&lt;=499.99,26,28)))))-L1537*1.3%-L1537*6%-(L1537-O1537)*9.25%-L1537*3%-L1537*3%-1)</f>
        <v/>
      </c>
      <c r="Q1537" s="67" t="n">
        <v>0.583</v>
      </c>
      <c r="R1537" s="60" t="n">
        <v>489574396802176</v>
      </c>
      <c r="S1537" s="68" t="n">
        <v>46240.52083333334</v>
      </c>
      <c r="T1537" s="68" t="n">
        <v>46353.5625</v>
      </c>
      <c r="U1537" s="60" t="n">
        <v>101253</v>
      </c>
      <c r="V1537" t="inlineStr">
        <is>
          <t>213997</t>
        </is>
      </c>
      <c r="W1537" t="inlineStr">
        <is>
          <t>venda casada (921 pedidos) · custo do KIT 214013 (50× 213997)</t>
        </is>
      </c>
      <c r="X1537" t="n">
        <v>921</v>
      </c>
      <c r="Y1537" t="inlineStr">
        <is>
          <t>ok</t>
        </is>
      </c>
    </row>
    <row r="1538" ht="18" customHeight="1">
      <c r="A1538" s="54" t="inlineStr">
        <is>
          <t>Oliverhome</t>
        </is>
      </c>
      <c r="B1538" s="54" t="inlineStr">
        <is>
          <t>Kit Cabides Veludo De Roupa Cinza/Preto Antideslizante Slim Adulto</t>
        </is>
      </c>
      <c r="C1538" s="54" t="inlineStr">
        <is>
          <t>Preto,50 Unidades</t>
        </is>
      </c>
      <c r="D1538" s="54" t="inlineStr">
        <is>
          <t>CABIDE VELUDO-50UN-PRETO</t>
        </is>
      </c>
      <c r="E1538" s="54" t="n">
        <v>58261899130</v>
      </c>
      <c r="F1538" s="54" t="n">
        <v>199190249691</v>
      </c>
      <c r="G1538" s="54" t="inlineStr">
        <is>
          <t>NORMAL</t>
        </is>
      </c>
      <c r="H1538" s="86" t="n">
        <v>149.9</v>
      </c>
      <c r="I1538" s="86" t="n">
        <v>62.5</v>
      </c>
      <c r="J1538" s="56" t="inlineStr">
        <is>
          <t>SIM</t>
        </is>
      </c>
      <c r="K1538" s="86" t="n">
        <v>62.5</v>
      </c>
      <c r="L1538" s="87" t="n">
        <v>62.5</v>
      </c>
      <c r="M1538" s="88" t="n">
        <v>50</v>
      </c>
      <c r="N1538" s="89" t="n">
        <v>0.59</v>
      </c>
      <c r="O1538" s="89">
        <f>ROUND(M1538*N1538,2)</f>
        <v/>
      </c>
      <c r="P1538" s="90">
        <f>IF($O1538="","",L1538-O1538-(L1538*IF(L1538&lt;=79.99,20%,14%)+IF(L1538&lt;=79.99,4,IF(L1538&lt;=99.99,16,IF(L1538&lt;=199.99,20,IF(L1538&lt;=499.99,26,28)))))-L1538*1.3%-L1538*6%-(L1538-O1538)*9.25%-L1538*3%-L1538*3%-1)</f>
        <v/>
      </c>
      <c r="Q1538" s="58" t="n">
        <v>0.583</v>
      </c>
      <c r="R1538" s="54" t="n">
        <v>489574396802176</v>
      </c>
      <c r="S1538" s="59" t="n">
        <v>46240.52083333334</v>
      </c>
      <c r="T1538" s="59" t="n">
        <v>46353.5625</v>
      </c>
      <c r="U1538" s="54" t="n">
        <v>101253</v>
      </c>
      <c r="V1538" t="inlineStr">
        <is>
          <t>213997</t>
        </is>
      </c>
      <c r="W1538" t="inlineStr">
        <is>
          <t>venda casada (144 pedidos) · custo do KIT 214013 (50× 213997)</t>
        </is>
      </c>
      <c r="X1538" t="n">
        <v>144</v>
      </c>
      <c r="Y1538" t="inlineStr">
        <is>
          <t>ok</t>
        </is>
      </c>
    </row>
    <row r="1539" ht="18" customHeight="1">
      <c r="A1539" s="60" t="inlineStr">
        <is>
          <t>Oliverhome</t>
        </is>
      </c>
      <c r="B1539" s="60" t="inlineStr">
        <is>
          <t>Kit Cabides Veludo Para Roupas Adulto 30 Unidades Fino Resistente</t>
        </is>
      </c>
      <c r="C1539" s="60" t="inlineStr">
        <is>
          <t>KIT 20 CABIDES</t>
        </is>
      </c>
      <c r="D1539" s="60" t="inlineStr">
        <is>
          <t>CABIDE VELUDO-20UN-PRETO</t>
        </is>
      </c>
      <c r="E1539" s="60" t="n">
        <v>22698550072</v>
      </c>
      <c r="F1539" s="60" t="n">
        <v>139833987157</v>
      </c>
      <c r="G1539" s="60" t="inlineStr">
        <is>
          <t>NORMAL</t>
        </is>
      </c>
      <c r="H1539" s="91" t="n">
        <v>68.90000000000001</v>
      </c>
      <c r="I1539" s="91" t="n">
        <v>34.48</v>
      </c>
      <c r="J1539" s="65" t="inlineStr">
        <is>
          <t>SIM</t>
        </is>
      </c>
      <c r="K1539" s="91" t="n">
        <v>34.48</v>
      </c>
      <c r="L1539" s="87" t="n">
        <v>34.48</v>
      </c>
      <c r="M1539" s="88" t="n">
        <v>20</v>
      </c>
      <c r="N1539" s="89" t="n">
        <v>0.59</v>
      </c>
      <c r="O1539" s="89">
        <f>ROUND(M1539*N1539,2)</f>
        <v/>
      </c>
      <c r="P1539" s="92">
        <f>IF($O1539="","",L1539-O1539-(L1539*IF(L1539&lt;=79.99,20%,14%)+IF(L1539&lt;=79.99,4,IF(L1539&lt;=99.99,16,IF(L1539&lt;=199.99,20,IF(L1539&lt;=499.99,26,28)))))-L1539*1.3%-L1539*6%-(L1539-O1539)*9.25%-L1539*3%-L1539*3%-1)</f>
        <v/>
      </c>
      <c r="Q1539" s="67" t="n">
        <v>0.5</v>
      </c>
      <c r="R1539" s="60" t="n">
        <v>490987084534129</v>
      </c>
      <c r="S1539" s="68" t="n">
        <v>46248</v>
      </c>
      <c r="T1539" s="68" t="n">
        <v>46249</v>
      </c>
      <c r="U1539" s="60" t="n">
        <v>101253</v>
      </c>
      <c r="V1539" t="inlineStr">
        <is>
          <t>213997</t>
        </is>
      </c>
      <c r="W1539" t="inlineStr">
        <is>
          <t>venda casada (417 pedidos) · custo do KIT 214005 (20× 213997)</t>
        </is>
      </c>
      <c r="X1539" t="n">
        <v>417</v>
      </c>
      <c r="Y1539" t="inlineStr">
        <is>
          <t>ok</t>
        </is>
      </c>
    </row>
    <row r="1540" ht="18" customHeight="1">
      <c r="A1540" s="54" t="inlineStr">
        <is>
          <t>Oliverhome</t>
        </is>
      </c>
      <c r="B1540" s="54" t="inlineStr">
        <is>
          <t>Kit Cabides Veludo Para Roupas Adulto 30 Unidades Fino Resistente</t>
        </is>
      </c>
      <c r="C1540" s="54" t="inlineStr">
        <is>
          <t>KIT 30 CABIDES</t>
        </is>
      </c>
      <c r="D1540" s="54" t="inlineStr">
        <is>
          <t>CABIDE VELUDO-30UN-PRETO</t>
        </is>
      </c>
      <c r="E1540" s="54" t="n">
        <v>22698550072</v>
      </c>
      <c r="F1540" s="54" t="n">
        <v>139833987156</v>
      </c>
      <c r="G1540" s="54" t="inlineStr">
        <is>
          <t>NORMAL</t>
        </is>
      </c>
      <c r="H1540" s="86" t="n">
        <v>89.90000000000001</v>
      </c>
      <c r="I1540" s="86" t="n">
        <v>44.88</v>
      </c>
      <c r="J1540" s="56" t="inlineStr">
        <is>
          <t>SIM</t>
        </is>
      </c>
      <c r="K1540" s="86" t="n">
        <v>44.88</v>
      </c>
      <c r="L1540" s="87" t="n">
        <v>44.88</v>
      </c>
      <c r="M1540" s="88" t="n">
        <v>30</v>
      </c>
      <c r="N1540" s="89" t="n">
        <v>0.59</v>
      </c>
      <c r="O1540" s="89">
        <f>ROUND(M1540*N1540,2)</f>
        <v/>
      </c>
      <c r="P1540" s="90">
        <f>IF($O1540="","",L1540-O1540-(L1540*IF(L1540&lt;=79.99,20%,14%)+IF(L1540&lt;=79.99,4,IF(L1540&lt;=99.99,16,IF(L1540&lt;=199.99,20,IF(L1540&lt;=499.99,26,28)))))-L1540*1.3%-L1540*6%-(L1540-O1540)*9.25%-L1540*3%-L1540*3%-1)</f>
        <v/>
      </c>
      <c r="Q1540" s="58" t="n">
        <v>0.501</v>
      </c>
      <c r="R1540" s="54" t="n">
        <v>490987084534129</v>
      </c>
      <c r="S1540" s="59" t="n">
        <v>46248</v>
      </c>
      <c r="T1540" s="59" t="n">
        <v>46249</v>
      </c>
      <c r="U1540" s="54" t="n">
        <v>101253</v>
      </c>
      <c r="V1540" t="inlineStr">
        <is>
          <t>213997</t>
        </is>
      </c>
      <c r="W1540" t="inlineStr">
        <is>
          <t>venda casada (433 pedidos) · custo do KIT 214009 (30× 213997)</t>
        </is>
      </c>
      <c r="X1540" t="n">
        <v>433</v>
      </c>
      <c r="Y1540" t="inlineStr">
        <is>
          <t>ok</t>
        </is>
      </c>
    </row>
    <row r="1541" ht="18" customHeight="1">
      <c r="A1541" s="60" t="inlineStr">
        <is>
          <t>Oliverhome</t>
        </is>
      </c>
      <c r="B1541" s="60" t="inlineStr">
        <is>
          <t>Kit Cabides Veludo Para Roupas Adulto 30 Unidades Fino Resistente Cor Preto</t>
        </is>
      </c>
      <c r="C1541" s="60" t="inlineStr">
        <is>
          <t>Sem variação</t>
        </is>
      </c>
      <c r="D1541" s="60" t="inlineStr">
        <is>
          <t>CABIDE VELUDO-30UN-PRETO</t>
        </is>
      </c>
      <c r="E1541" s="60" t="n">
        <v>19999773444</v>
      </c>
      <c r="F1541" s="60" t="n">
        <v>0</v>
      </c>
      <c r="G1541" s="60" t="inlineStr">
        <is>
          <t>NORMAL</t>
        </is>
      </c>
      <c r="H1541" s="91" t="n">
        <v>99.90000000000001</v>
      </c>
      <c r="I1541" s="91" t="n">
        <v>44.89</v>
      </c>
      <c r="J1541" s="65" t="inlineStr">
        <is>
          <t>SIM</t>
        </is>
      </c>
      <c r="K1541" s="91" t="n">
        <v>44.89</v>
      </c>
      <c r="L1541" s="87" t="n">
        <v>44.89</v>
      </c>
      <c r="M1541" s="88" t="n">
        <v>30</v>
      </c>
      <c r="N1541" s="89" t="n">
        <v>0.59</v>
      </c>
      <c r="O1541" s="89">
        <f>ROUND(M1541*N1541,2)</f>
        <v/>
      </c>
      <c r="P1541" s="92">
        <f>IF($O1541="","",L1541-O1541-(L1541*IF(L1541&lt;=79.99,20%,14%)+IF(L1541&lt;=79.99,4,IF(L1541&lt;=99.99,16,IF(L1541&lt;=199.99,20,IF(L1541&lt;=499.99,26,28)))))-L1541*1.3%-L1541*6%-(L1541-O1541)*9.25%-L1541*3%-L1541*3%-1)</f>
        <v/>
      </c>
      <c r="Q1541" s="67" t="n">
        <v>0.551</v>
      </c>
      <c r="R1541" s="60" t="n">
        <v>489574396802176</v>
      </c>
      <c r="S1541" s="68" t="n">
        <v>46240.52083333334</v>
      </c>
      <c r="T1541" s="68" t="n">
        <v>46353.5625</v>
      </c>
      <c r="U1541" s="60" t="n">
        <v>101253</v>
      </c>
      <c r="V1541" t="inlineStr">
        <is>
          <t>213997</t>
        </is>
      </c>
      <c r="W1541" t="inlineStr">
        <is>
          <t>venda casada (10 pedidos) · custo do KIT 214009 (30× 213997)</t>
        </is>
      </c>
      <c r="X1541" t="n">
        <v>10</v>
      </c>
      <c r="Y1541" t="inlineStr">
        <is>
          <t>ok</t>
        </is>
      </c>
    </row>
    <row r="1542" ht="18" customHeight="1">
      <c r="A1542" s="54" t="inlineStr">
        <is>
          <t>Oliverhome</t>
        </is>
      </c>
      <c r="B1542" s="54" t="inlineStr">
        <is>
          <t>Kit Cabides Veludo Para Roupas Adulto 50 Unidades Fino Resistente</t>
        </is>
      </c>
      <c r="C1542" s="54" t="inlineStr">
        <is>
          <t>Cinza</t>
        </is>
      </c>
      <c r="D1542" s="54" t="inlineStr">
        <is>
          <t>CABIDE VELUDO 50-UN-CINZA</t>
        </is>
      </c>
      <c r="E1542" s="54" t="n">
        <v>22194068413</v>
      </c>
      <c r="F1542" s="54" t="n">
        <v>229422527879</v>
      </c>
      <c r="G1542" s="54" t="inlineStr">
        <is>
          <t>NORMAL</t>
        </is>
      </c>
      <c r="H1542" s="86" t="n">
        <v>169.9</v>
      </c>
      <c r="I1542" s="86" t="n">
        <v>62.49</v>
      </c>
      <c r="J1542" s="56" t="inlineStr">
        <is>
          <t>SIM</t>
        </is>
      </c>
      <c r="K1542" s="86" t="n">
        <v>62.49</v>
      </c>
      <c r="L1542" s="87" t="n">
        <v>62.49</v>
      </c>
      <c r="M1542" s="88" t="n">
        <v>50</v>
      </c>
      <c r="N1542" s="89" t="n">
        <v>0.59</v>
      </c>
      <c r="O1542" s="89">
        <f>ROUND(M1542*N1542,2)</f>
        <v/>
      </c>
      <c r="P1542" s="90">
        <f>IF($O1542="","",L1542-O1542-(L1542*IF(L1542&lt;=79.99,20%,14%)+IF(L1542&lt;=79.99,4,IF(L1542&lt;=99.99,16,IF(L1542&lt;=199.99,20,IF(L1542&lt;=499.99,26,28)))))-L1542*1.3%-L1542*6%-(L1542-O1542)*9.25%-L1542*3%-L1542*3%-1)</f>
        <v/>
      </c>
      <c r="Q1542" s="58" t="n">
        <v>0.632</v>
      </c>
      <c r="R1542" s="54" t="inlineStr">
        <is>
          <t>478840979931317, 488524742865093</t>
        </is>
      </c>
      <c r="S1542" s="59" t="n">
        <v>46248</v>
      </c>
      <c r="T1542" s="59" t="n">
        <v>46248.99930555555</v>
      </c>
      <c r="U1542" s="54" t="n">
        <v>101253</v>
      </c>
      <c r="V1542" t="inlineStr">
        <is>
          <t>213998</t>
        </is>
      </c>
      <c r="W1542" t="inlineStr">
        <is>
          <t>venda casada (288 pedidos) · custo do KIT 214014 (50× 213998)</t>
        </is>
      </c>
      <c r="X1542" t="n">
        <v>288</v>
      </c>
      <c r="Y1542" t="inlineStr">
        <is>
          <t>ok</t>
        </is>
      </c>
    </row>
    <row r="1543" ht="18" customHeight="1">
      <c r="A1543" s="60" t="inlineStr">
        <is>
          <t>Oliverhome</t>
        </is>
      </c>
      <c r="B1543" s="60" t="inlineStr">
        <is>
          <t>Kit Cabides Veludo Para Roupas Adulto 50 Unidades Fino Resistente</t>
        </is>
      </c>
      <c r="C1543" s="60" t="inlineStr">
        <is>
          <t>Preto</t>
        </is>
      </c>
      <c r="D1543" s="60" t="inlineStr">
        <is>
          <t>CABIDE VELUDO-50UN-PRETO</t>
        </is>
      </c>
      <c r="E1543" s="60" t="n">
        <v>22194068413</v>
      </c>
      <c r="F1543" s="60" t="n">
        <v>229422527878</v>
      </c>
      <c r="G1543" s="60" t="inlineStr">
        <is>
          <t>NORMAL</t>
        </is>
      </c>
      <c r="H1543" s="91" t="n">
        <v>169.9</v>
      </c>
      <c r="I1543" s="91" t="n">
        <v>62.49</v>
      </c>
      <c r="J1543" s="65" t="inlineStr">
        <is>
          <t>SIM</t>
        </is>
      </c>
      <c r="K1543" s="91" t="n">
        <v>62.49</v>
      </c>
      <c r="L1543" s="87" t="n">
        <v>62.49</v>
      </c>
      <c r="M1543" s="88" t="n">
        <v>50</v>
      </c>
      <c r="N1543" s="89" t="n">
        <v>0.59</v>
      </c>
      <c r="O1543" s="89">
        <f>ROUND(M1543*N1543,2)</f>
        <v/>
      </c>
      <c r="P1543" s="92">
        <f>IF($O1543="","",L1543-O1543-(L1543*IF(L1543&lt;=79.99,20%,14%)+IF(L1543&lt;=79.99,4,IF(L1543&lt;=99.99,16,IF(L1543&lt;=199.99,20,IF(L1543&lt;=499.99,26,28)))))-L1543*1.3%-L1543*6%-(L1543-O1543)*9.25%-L1543*3%-L1543*3%-1)</f>
        <v/>
      </c>
      <c r="Q1543" s="67" t="n">
        <v>0.632</v>
      </c>
      <c r="R1543" s="60" t="inlineStr">
        <is>
          <t>478840979931317, 488524742865093</t>
        </is>
      </c>
      <c r="S1543" s="68" t="n">
        <v>46248</v>
      </c>
      <c r="T1543" s="68" t="n">
        <v>46248.99930555555</v>
      </c>
      <c r="U1543" s="60" t="n">
        <v>101253</v>
      </c>
      <c r="V1543" t="inlineStr">
        <is>
          <t>213997</t>
        </is>
      </c>
      <c r="W1543" t="inlineStr">
        <is>
          <t>venda casada (539 pedidos) · custo do KIT 214013 (50× 213997)</t>
        </is>
      </c>
      <c r="X1543" t="n">
        <v>539</v>
      </c>
      <c r="Y1543" t="inlineStr">
        <is>
          <t>ok</t>
        </is>
      </c>
    </row>
    <row r="1544" ht="18" customHeight="1">
      <c r="A1544" s="54" t="inlineStr">
        <is>
          <t>Oliverhome</t>
        </is>
      </c>
      <c r="B1544" s="54" t="inlineStr">
        <is>
          <t>Kit Protetor De Colchão  Lençol Oliver Home G Descartável Cadeira de Rodas Pós Operatório</t>
        </is>
      </c>
      <c r="C1544" s="54" t="inlineStr">
        <is>
          <t>KIT 2 - 10 UNIDADES</t>
        </is>
      </c>
      <c r="D1544" s="54" t="inlineStr">
        <is>
          <t>2PCT-PROTETOR-COLCHÃO</t>
        </is>
      </c>
      <c r="E1544" s="54" t="n">
        <v>48614588997</v>
      </c>
      <c r="F1544" s="54" t="n">
        <v>376253922113</v>
      </c>
      <c r="G1544" s="54" t="inlineStr">
        <is>
          <t>NORMAL</t>
        </is>
      </c>
      <c r="H1544" s="86" t="n">
        <v>59.9</v>
      </c>
      <c r="I1544" s="86" t="n">
        <v>48.9</v>
      </c>
      <c r="J1544" s="56" t="inlineStr">
        <is>
          <t>SIM</t>
        </is>
      </c>
      <c r="K1544" s="86" t="n">
        <v>48.9</v>
      </c>
      <c r="L1544" s="87" t="n">
        <v>48.9</v>
      </c>
      <c r="M1544" s="88" t="n">
        <v>2</v>
      </c>
      <c r="N1544" s="89" t="n">
        <v>7.31</v>
      </c>
      <c r="O1544" s="89">
        <f>ROUND(M1544*N1544,2)</f>
        <v/>
      </c>
      <c r="P1544" s="90">
        <f>IF($O1544="","",L1544-O1544-(L1544*IF(L1544&lt;=79.99,20%,14%)+IF(L1544&lt;=79.99,4,IF(L1544&lt;=99.99,16,IF(L1544&lt;=199.99,20,IF(L1544&lt;=499.99,26,28)))))-L1544*1.3%-L1544*6%-(L1544-O1544)*9.25%-L1544*3%-L1544*3%-1)</f>
        <v/>
      </c>
      <c r="Q1544" s="58" t="n">
        <v>0.184</v>
      </c>
      <c r="R1544" s="54" t="n">
        <v>489574396802176</v>
      </c>
      <c r="S1544" s="59" t="n">
        <v>46240.52083333334</v>
      </c>
      <c r="T1544" s="59" t="n">
        <v>46353.5625</v>
      </c>
      <c r="U1544" s="54" t="n">
        <v>101145</v>
      </c>
      <c r="V1544" t="inlineStr">
        <is>
          <t>213170</t>
        </is>
      </c>
      <c r="W1544" t="inlineStr">
        <is>
          <t>herdado do anúncio (escalado 15→10 un) · custo do KIT 213680 (2× 213170)</t>
        </is>
      </c>
      <c r="Y1544" t="inlineStr">
        <is>
          <t>ok</t>
        </is>
      </c>
    </row>
    <row r="1545" ht="18" customHeight="1">
      <c r="A1545" s="60" t="inlineStr">
        <is>
          <t>Oliverhome</t>
        </is>
      </c>
      <c r="B1545" s="60" t="inlineStr">
        <is>
          <t>Kit Protetor De Colchão  Lençol Oliver Home G Descartável Cadeira de Rodas Pós Operatório</t>
        </is>
      </c>
      <c r="C1545" s="60" t="inlineStr">
        <is>
          <t>KIT 3 - 15 UNIDADES</t>
        </is>
      </c>
      <c r="D1545" s="60" t="inlineStr">
        <is>
          <t>3PCT-PROTETOR-COLCHÃO</t>
        </is>
      </c>
      <c r="E1545" s="60" t="n">
        <v>48614588997</v>
      </c>
      <c r="F1545" s="60" t="n">
        <v>376253922114</v>
      </c>
      <c r="G1545" s="60" t="inlineStr">
        <is>
          <t>NORMAL</t>
        </is>
      </c>
      <c r="H1545" s="91" t="n">
        <v>89.90000000000001</v>
      </c>
      <c r="I1545" s="91" t="n">
        <v>73.90000000000001</v>
      </c>
      <c r="J1545" s="65" t="inlineStr">
        <is>
          <t>SIM</t>
        </is>
      </c>
      <c r="K1545" s="91" t="n">
        <v>73.90000000000001</v>
      </c>
      <c r="L1545" s="87" t="n">
        <v>73.90000000000001</v>
      </c>
      <c r="M1545" s="88" t="n">
        <v>3</v>
      </c>
      <c r="N1545" s="89" t="n">
        <v>7.31</v>
      </c>
      <c r="O1545" s="89">
        <f>ROUND(M1545*N1545,2)</f>
        <v/>
      </c>
      <c r="P1545" s="92">
        <f>IF($O1545="","",L1545-O1545-(L1545*IF(L1545&lt;=79.99,20%,14%)+IF(L1545&lt;=79.99,4,IF(L1545&lt;=99.99,16,IF(L1545&lt;=199.99,20,IF(L1545&lt;=499.99,26,28)))))-L1545*1.3%-L1545*6%-(L1545-O1545)*9.25%-L1545*3%-L1545*3%-1)</f>
        <v/>
      </c>
      <c r="Q1545" s="67" t="n">
        <v>0.178</v>
      </c>
      <c r="R1545" s="60" t="n">
        <v>489574396802176</v>
      </c>
      <c r="S1545" s="68" t="n">
        <v>46240.52083333334</v>
      </c>
      <c r="T1545" s="68" t="n">
        <v>46353.5625</v>
      </c>
      <c r="U1545" s="60" t="n">
        <v>101145</v>
      </c>
      <c r="V1545" t="inlineStr">
        <is>
          <t>213170</t>
        </is>
      </c>
      <c r="W1545" t="inlineStr">
        <is>
          <t>SKU do de-para · custo do KIT 213681 (3× 213170)</t>
        </is>
      </c>
      <c r="X1545" t="n">
        <v>3</v>
      </c>
      <c r="Y1545" t="inlineStr">
        <is>
          <t>ok</t>
        </is>
      </c>
    </row>
    <row r="1546" ht="18" customHeight="1">
      <c r="A1546" s="54" t="inlineStr">
        <is>
          <t>Oliverhome</t>
        </is>
      </c>
      <c r="B1546" s="54" t="inlineStr">
        <is>
          <t>Kit Protetor De Colchão  Lençol Oliver Home G Descartável Cadeira de Rodas Pós Operatório</t>
        </is>
      </c>
      <c r="C1546" s="54" t="inlineStr">
        <is>
          <t>KIT 4 - 20 UNIDADES</t>
        </is>
      </c>
      <c r="D1546" s="54" t="inlineStr">
        <is>
          <t>4PCT-PROTETOR-COLCHÃO</t>
        </is>
      </c>
      <c r="E1546" s="54" t="n">
        <v>48614588997</v>
      </c>
      <c r="F1546" s="54" t="n">
        <v>376253922115</v>
      </c>
      <c r="G1546" s="54" t="inlineStr">
        <is>
          <t>NORMAL</t>
        </is>
      </c>
      <c r="H1546" s="86" t="n">
        <v>99.90000000000001</v>
      </c>
      <c r="I1546" s="86" t="n">
        <v>97.90000000000001</v>
      </c>
      <c r="J1546" s="56" t="inlineStr">
        <is>
          <t>SIM</t>
        </is>
      </c>
      <c r="K1546" s="86" t="n">
        <v>97.90000000000001</v>
      </c>
      <c r="L1546" s="87" t="n">
        <v>97.90000000000001</v>
      </c>
      <c r="M1546" s="88" t="n">
        <v>4</v>
      </c>
      <c r="N1546" s="89" t="n">
        <v>7.31</v>
      </c>
      <c r="O1546" s="89">
        <f>ROUND(M1546*N1546,2)</f>
        <v/>
      </c>
      <c r="P1546" s="90">
        <f>IF($O1546="","",L1546-O1546-(L1546*IF(L1546&lt;=79.99,20%,14%)+IF(L1546&lt;=79.99,4,IF(L1546&lt;=99.99,16,IF(L1546&lt;=199.99,20,IF(L1546&lt;=499.99,26,28)))))-L1546*1.3%-L1546*6%-(L1546-O1546)*9.25%-L1546*3%-L1546*3%-1)</f>
        <v/>
      </c>
      <c r="Q1546" s="58" t="n">
        <v>0.02</v>
      </c>
      <c r="R1546" s="54" t="n">
        <v>489574396802176</v>
      </c>
      <c r="S1546" s="59" t="n">
        <v>46240.52083333334</v>
      </c>
      <c r="T1546" s="59" t="n">
        <v>46353.5625</v>
      </c>
      <c r="U1546" s="54" t="n">
        <v>101145</v>
      </c>
      <c r="V1546" t="inlineStr">
        <is>
          <t>213170</t>
        </is>
      </c>
      <c r="W1546" t="inlineStr">
        <is>
          <t>herdado do anúncio (escalado 15→20 un) · custo do KIT 213682 (4× 213170)</t>
        </is>
      </c>
      <c r="Y1546" t="inlineStr">
        <is>
          <t>ok</t>
        </is>
      </c>
    </row>
    <row r="1547" ht="18" customHeight="1">
      <c r="A1547" s="60" t="inlineStr">
        <is>
          <t>Oliverhome</t>
        </is>
      </c>
      <c r="B1547" s="60" t="inlineStr">
        <is>
          <t>Kit Protetor De Colchão  Lençol Oliver Home G Descartável Cadeira de Rodas Pós Operatório</t>
        </is>
      </c>
      <c r="C1547" s="60" t="inlineStr">
        <is>
          <t>KIT 5 - 25 UNIDADES</t>
        </is>
      </c>
      <c r="D1547" s="60" t="inlineStr">
        <is>
          <t>5PCT-PROTETOR-COLCHÃO</t>
        </is>
      </c>
      <c r="E1547" s="60" t="n">
        <v>48614588997</v>
      </c>
      <c r="F1547" s="60" t="n">
        <v>376253922116</v>
      </c>
      <c r="G1547" s="60" t="inlineStr">
        <is>
          <t>NORMAL</t>
        </is>
      </c>
      <c r="H1547" s="91" t="n">
        <v>120.9</v>
      </c>
      <c r="I1547" s="91" t="n">
        <v>119.9</v>
      </c>
      <c r="J1547" s="65" t="inlineStr">
        <is>
          <t>SIM</t>
        </is>
      </c>
      <c r="K1547" s="91" t="n">
        <v>119.9</v>
      </c>
      <c r="L1547" s="87" t="n">
        <v>119.9</v>
      </c>
      <c r="M1547" s="88" t="n">
        <v>5</v>
      </c>
      <c r="N1547" s="89" t="n">
        <v>7.31</v>
      </c>
      <c r="O1547" s="89">
        <f>ROUND(M1547*N1547,2)</f>
        <v/>
      </c>
      <c r="P1547" s="92">
        <f>IF($O1547="","",L1547-O1547-(L1547*IF(L1547&lt;=79.99,20%,14%)+IF(L1547&lt;=79.99,4,IF(L1547&lt;=99.99,16,IF(L1547&lt;=199.99,20,IF(L1547&lt;=499.99,26,28)))))-L1547*1.3%-L1547*6%-(L1547-O1547)*9.25%-L1547*3%-L1547*3%-1)</f>
        <v/>
      </c>
      <c r="Q1547" s="67" t="n">
        <v>0.008</v>
      </c>
      <c r="R1547" s="60" t="n">
        <v>489574396802176</v>
      </c>
      <c r="S1547" s="68" t="n">
        <v>46240.52083333334</v>
      </c>
      <c r="T1547" s="68" t="n">
        <v>46353.5625</v>
      </c>
      <c r="U1547" s="60" t="n">
        <v>101145</v>
      </c>
      <c r="V1547" t="inlineStr">
        <is>
          <t>213170</t>
        </is>
      </c>
      <c r="W1547" t="inlineStr">
        <is>
          <t>SKU do de-para · custo do KIT 213683 (5× 213170)</t>
        </is>
      </c>
      <c r="X1547" t="n">
        <v>5</v>
      </c>
      <c r="Y1547" t="inlineStr">
        <is>
          <t>ok</t>
        </is>
      </c>
    </row>
    <row r="1548" ht="18" customHeight="1">
      <c r="A1548" s="54" t="inlineStr">
        <is>
          <t>Oliverhome</t>
        </is>
      </c>
      <c r="B1548" s="54" t="inlineStr">
        <is>
          <t>Mop C/ cabo de 140 cm + 2 Refis - Rodinhas e Cesto Em Inox - Balde Centrífuga - Oliver Home</t>
        </is>
      </c>
      <c r="C1548" s="54" t="inlineStr">
        <is>
          <t>Preto/Vermelho</t>
        </is>
      </c>
      <c r="D1548" s="54" t="inlineStr">
        <is>
          <t>MOP14L-PRETO/VERMELHO</t>
        </is>
      </c>
      <c r="E1548" s="54" t="n">
        <v>23994036534</v>
      </c>
      <c r="F1548" s="54" t="n">
        <v>411254428688</v>
      </c>
      <c r="G1548" s="54" t="inlineStr">
        <is>
          <t>NORMAL</t>
        </is>
      </c>
      <c r="H1548" s="86" t="n">
        <v>79.90000000000001</v>
      </c>
      <c r="I1548" s="86" t="n">
        <v>79.90000000000001</v>
      </c>
      <c r="J1548" s="69" t="inlineStr">
        <is>
          <t>NÃO</t>
        </is>
      </c>
      <c r="K1548" s="54" t="n"/>
      <c r="L1548" s="87" t="n">
        <v>79.90000000000001</v>
      </c>
      <c r="P1548" s="90">
        <f>IF($O1548="","",L1548-O1548-(L1548*IF(L1548&lt;=79.99,20%,14%)+IF(L1548&lt;=79.99,4,IF(L1548&lt;=99.99,16,IF(L1548&lt;=199.99,20,IF(L1548&lt;=499.99,26,28)))))-L1548*1.3%-L1548*6%-(L1548-O1548)*9.25%-L1548*3%-L1548*3%-1)</f>
        <v/>
      </c>
      <c r="Q1548" s="54">
        <f>IF(AND(K1548&lt;&gt;"",H1548&gt;0),(H1548-K1548)/H1548,"")</f>
        <v/>
      </c>
      <c r="R1548" s="54" t="n"/>
      <c r="S1548" s="54" t="n"/>
      <c r="T1548" s="54" t="n"/>
      <c r="U1548" s="54" t="n">
        <v>101204</v>
      </c>
      <c r="W1548" t="inlineStr">
        <is>
          <t>sem correspondência</t>
        </is>
      </c>
      <c r="Y1548" t="inlineStr"/>
    </row>
    <row r="1549" ht="18" customHeight="1">
      <c r="A1549" s="60" t="inlineStr">
        <is>
          <t>Oliverhome</t>
        </is>
      </c>
      <c r="B1549" s="60" t="inlineStr">
        <is>
          <t>Mop C/ cabo de 140 cm + 2 Refis - Rodinhas e Cesto Em Inox - Balde Centrífuga - Oliver Home</t>
        </is>
      </c>
      <c r="C1549" s="60" t="inlineStr">
        <is>
          <t>Verde/Branco</t>
        </is>
      </c>
      <c r="D1549" s="60" t="inlineStr">
        <is>
          <t>MOP14L-VERDE/BRANCO</t>
        </is>
      </c>
      <c r="E1549" s="60" t="n">
        <v>23994036534</v>
      </c>
      <c r="F1549" s="60" t="n">
        <v>411254428689</v>
      </c>
      <c r="G1549" s="60" t="inlineStr">
        <is>
          <t>NORMAL</t>
        </is>
      </c>
      <c r="H1549" s="91" t="n">
        <v>79.90000000000001</v>
      </c>
      <c r="I1549" s="91" t="n">
        <v>79.90000000000001</v>
      </c>
      <c r="J1549" s="62" t="inlineStr">
        <is>
          <t>NÃO</t>
        </is>
      </c>
      <c r="K1549" s="60" t="inlineStr">
        <is>
          <t> </t>
        </is>
      </c>
      <c r="L1549" s="87" t="n">
        <v>79.90000000000001</v>
      </c>
      <c r="P1549" s="92">
        <f>IF($O1549="","",L1549-O1549-(L1549*IF(L1549&lt;=79.99,20%,14%)+IF(L1549&lt;=79.99,4,IF(L1549&lt;=99.99,16,IF(L1549&lt;=199.99,20,IF(L1549&lt;=499.99,26,28)))))-L1549*1.3%-L1549*6%-(L1549-O1549)*9.25%-L1549*3%-L1549*3%-1)</f>
        <v/>
      </c>
      <c r="Q1549" s="60" t="inlineStr">
        <is>
          <t> </t>
        </is>
      </c>
      <c r="R1549" s="60" t="inlineStr">
        <is>
          <t> </t>
        </is>
      </c>
      <c r="S1549" s="60" t="inlineStr">
        <is>
          <t> </t>
        </is>
      </c>
      <c r="T1549" s="60" t="inlineStr">
        <is>
          <t> </t>
        </is>
      </c>
      <c r="U1549" s="60" t="n">
        <v>101204</v>
      </c>
      <c r="W1549" t="inlineStr">
        <is>
          <t>sem correspondência</t>
        </is>
      </c>
      <c r="Y1549" t="inlineStr"/>
    </row>
    <row r="1550" ht="18" customHeight="1">
      <c r="A1550" s="54" t="inlineStr">
        <is>
          <t>Oliverhome</t>
        </is>
      </c>
      <c r="B1550" s="54" t="inlineStr">
        <is>
          <t>Mop Giratorio Cabo Inox limpeza Cesto Em Inox 14 Lt -Balde Esfregão 360 Universal Original Oliver Home</t>
        </is>
      </c>
      <c r="C1550" s="54" t="inlineStr">
        <is>
          <t>14 Litros,Preto/Vermelho</t>
        </is>
      </c>
      <c r="D1550" s="54" t="inlineStr">
        <is>
          <t>Mop-14 Litros-Preto/Vermelho</t>
        </is>
      </c>
      <c r="E1550" s="54" t="n">
        <v>23798542442</v>
      </c>
      <c r="F1550" s="54" t="n">
        <v>149784471595</v>
      </c>
      <c r="G1550" s="54" t="inlineStr">
        <is>
          <t>NORMAL</t>
        </is>
      </c>
      <c r="H1550" s="86" t="n">
        <v>99.90000000000001</v>
      </c>
      <c r="I1550" s="86" t="n">
        <v>99.90000000000001</v>
      </c>
      <c r="J1550" s="69" t="inlineStr">
        <is>
          <t>NÃO</t>
        </is>
      </c>
      <c r="K1550" s="54" t="n"/>
      <c r="L1550" s="87" t="n">
        <v>99.90000000000001</v>
      </c>
      <c r="P1550" s="90">
        <f>IF($O1550="","",L1550-O1550-(L1550*IF(L1550&lt;=79.99,20%,14%)+IF(L1550&lt;=79.99,4,IF(L1550&lt;=99.99,16,IF(L1550&lt;=199.99,20,IF(L1550&lt;=499.99,26,28)))))-L1550*1.3%-L1550*6%-(L1550-O1550)*9.25%-L1550*3%-L1550*3%-1)</f>
        <v/>
      </c>
      <c r="Q1550" s="54">
        <f>IF(AND(K1550&lt;&gt;"",H1550&gt;0),(H1550-K1550)/H1550,"")</f>
        <v/>
      </c>
      <c r="R1550" s="54" t="n"/>
      <c r="S1550" s="54" t="n"/>
      <c r="T1550" s="54" t="n"/>
      <c r="U1550" s="54" t="n">
        <v>101204</v>
      </c>
      <c r="W1550" t="inlineStr">
        <is>
          <t>sem correspondência</t>
        </is>
      </c>
      <c r="Y1550" t="inlineStr"/>
    </row>
    <row r="1551" ht="18" customHeight="1">
      <c r="A1551" s="60" t="inlineStr">
        <is>
          <t>Oliverhome</t>
        </is>
      </c>
      <c r="B1551" s="60" t="inlineStr">
        <is>
          <t>Mop Giratorio Cabo Inox limpeza Cesto Em Inox 14 Lt -Balde Esfregão 360 Universal Original Oliver Home</t>
        </is>
      </c>
      <c r="C1551" s="60" t="inlineStr">
        <is>
          <t>14 Litros,Verde/Branco</t>
        </is>
      </c>
      <c r="D1551" s="60" t="inlineStr">
        <is>
          <t>Mop-14 Litros-Verde/Branco</t>
        </is>
      </c>
      <c r="E1551" s="60" t="n">
        <v>23798542442</v>
      </c>
      <c r="F1551" s="60" t="n">
        <v>336254425661</v>
      </c>
      <c r="G1551" s="60" t="inlineStr">
        <is>
          <t>NORMAL</t>
        </is>
      </c>
      <c r="H1551" s="91" t="n">
        <v>99.90000000000001</v>
      </c>
      <c r="I1551" s="91" t="n">
        <v>99.90000000000001</v>
      </c>
      <c r="J1551" s="62" t="inlineStr">
        <is>
          <t>NÃO</t>
        </is>
      </c>
      <c r="K1551" s="60" t="inlineStr">
        <is>
          <t> </t>
        </is>
      </c>
      <c r="L1551" s="87" t="n">
        <v>99.90000000000001</v>
      </c>
      <c r="P1551" s="92">
        <f>IF($O1551="","",L1551-O1551-(L1551*IF(L1551&lt;=79.99,20%,14%)+IF(L1551&lt;=79.99,4,IF(L1551&lt;=99.99,16,IF(L1551&lt;=199.99,20,IF(L1551&lt;=499.99,26,28)))))-L1551*1.3%-L1551*6%-(L1551-O1551)*9.25%-L1551*3%-L1551*3%-1)</f>
        <v/>
      </c>
      <c r="Q1551" s="60" t="inlineStr">
        <is>
          <t> </t>
        </is>
      </c>
      <c r="R1551" s="60" t="inlineStr">
        <is>
          <t> </t>
        </is>
      </c>
      <c r="S1551" s="60" t="inlineStr">
        <is>
          <t> </t>
        </is>
      </c>
      <c r="T1551" s="60" t="inlineStr">
        <is>
          <t> </t>
        </is>
      </c>
      <c r="U1551" s="60" t="n">
        <v>101204</v>
      </c>
      <c r="W1551" t="inlineStr">
        <is>
          <t>sem correspondência</t>
        </is>
      </c>
      <c r="Y1551" t="inlineStr"/>
    </row>
    <row r="1552" ht="18" customHeight="1">
      <c r="A1552" s="54" t="inlineStr">
        <is>
          <t>Oliverhome</t>
        </is>
      </c>
      <c r="B1552" s="54" t="inlineStr">
        <is>
          <t>Panela De Pressão Elétrica 6L Inox Preta Digital 110V ou 220V Oliver Home</t>
        </is>
      </c>
      <c r="C1552" s="54" t="inlineStr">
        <is>
          <t>110V</t>
        </is>
      </c>
      <c r="D1552" s="54" t="inlineStr">
        <is>
          <t>PANELA-ELETRICA-110V</t>
        </is>
      </c>
      <c r="E1552" s="54" t="n">
        <v>23893761741</v>
      </c>
      <c r="F1552" s="54" t="n">
        <v>179720508426</v>
      </c>
      <c r="G1552" s="54" t="inlineStr">
        <is>
          <t>NORMAL</t>
        </is>
      </c>
      <c r="H1552" s="86" t="n">
        <v>599.9</v>
      </c>
      <c r="I1552" s="86" t="n">
        <v>389.9</v>
      </c>
      <c r="J1552" s="56" t="inlineStr">
        <is>
          <t>SIM</t>
        </is>
      </c>
      <c r="K1552" s="86" t="n">
        <v>389.9</v>
      </c>
      <c r="L1552" s="87" t="n">
        <v>389.9</v>
      </c>
      <c r="M1552" s="88" t="n">
        <v>1</v>
      </c>
      <c r="N1552" s="89" t="n">
        <v>149.97</v>
      </c>
      <c r="O1552" s="89">
        <f>ROUND(M1552*N1552,2)</f>
        <v/>
      </c>
      <c r="P1552" s="90">
        <f>IF($O1552="","",L1552-O1552-(L1552*IF(L1552&lt;=79.99,20%,14%)+IF(L1552&lt;=79.99,4,IF(L1552&lt;=99.99,16,IF(L1552&lt;=199.99,20,IF(L1552&lt;=499.99,26,28)))))-L1552*1.3%-L1552*6%-(L1552-O1552)*9.25%-L1552*3%-L1552*3%-1)</f>
        <v/>
      </c>
      <c r="Q1552" s="58" t="n">
        <v>0.35</v>
      </c>
      <c r="R1552" s="54" t="inlineStr">
        <is>
          <t>488524742865093, 478840979931317</t>
        </is>
      </c>
      <c r="S1552" s="59" t="n">
        <v>46248</v>
      </c>
      <c r="T1552" s="59" t="n">
        <v>46248.99930555555</v>
      </c>
      <c r="U1552" s="54" t="n">
        <v>100205</v>
      </c>
      <c r="V1552" t="inlineStr">
        <is>
          <t>214162</t>
        </is>
      </c>
      <c r="W1552" t="inlineStr">
        <is>
          <t>venda casada (109 pedidos)</t>
        </is>
      </c>
      <c r="X1552" t="n">
        <v>109</v>
      </c>
      <c r="Y1552" t="inlineStr">
        <is>
          <t>ok</t>
        </is>
      </c>
    </row>
    <row r="1553" ht="18" customHeight="1">
      <c r="A1553" s="60" t="inlineStr">
        <is>
          <t>Oliverhome</t>
        </is>
      </c>
      <c r="B1553" s="60" t="inlineStr">
        <is>
          <t>Panela De Pressão Elétrica 6L Inox Preta Digital 110V ou 220V Oliver Home</t>
        </is>
      </c>
      <c r="C1553" s="60" t="inlineStr">
        <is>
          <t>220V</t>
        </is>
      </c>
      <c r="D1553" s="60" t="inlineStr">
        <is>
          <t>PANELA-ELETRICA-220V</t>
        </is>
      </c>
      <c r="E1553" s="60" t="n">
        <v>23893761741</v>
      </c>
      <c r="F1553" s="60" t="n">
        <v>179720508427</v>
      </c>
      <c r="G1553" s="60" t="inlineStr">
        <is>
          <t>NORMAL</t>
        </is>
      </c>
      <c r="H1553" s="91" t="n">
        <v>599.9</v>
      </c>
      <c r="I1553" s="91" t="n">
        <v>599.9</v>
      </c>
      <c r="J1553" s="62" t="inlineStr">
        <is>
          <t>NÃO</t>
        </is>
      </c>
      <c r="K1553" s="60" t="inlineStr">
        <is>
          <t> </t>
        </is>
      </c>
      <c r="L1553" s="87" t="n">
        <v>599.9</v>
      </c>
      <c r="M1553" s="88" t="n">
        <v>1</v>
      </c>
      <c r="N1553" s="89" t="n">
        <v>149.97</v>
      </c>
      <c r="O1553" s="89">
        <f>ROUND(M1553*N1553,2)</f>
        <v/>
      </c>
      <c r="P1553" s="92">
        <f>IF($O1553="","",L1553-O1553-(L1553*IF(L1553&lt;=79.99,20%,14%)+IF(L1553&lt;=79.99,4,IF(L1553&lt;=99.99,16,IF(L1553&lt;=199.99,20,IF(L1553&lt;=499.99,26,28)))))-L1553*1.3%-L1553*6%-(L1553-O1553)*9.25%-L1553*3%-L1553*3%-1)</f>
        <v/>
      </c>
      <c r="Q1553" s="60" t="inlineStr">
        <is>
          <t> </t>
        </is>
      </c>
      <c r="R1553" s="60" t="inlineStr">
        <is>
          <t> </t>
        </is>
      </c>
      <c r="S1553" s="60" t="inlineStr">
        <is>
          <t> </t>
        </is>
      </c>
      <c r="T1553" s="60" t="inlineStr">
        <is>
          <t> </t>
        </is>
      </c>
      <c r="U1553" s="60" t="n">
        <v>100205</v>
      </c>
      <c r="V1553" t="inlineStr">
        <is>
          <t>214163</t>
        </is>
      </c>
      <c r="W1553" t="inlineStr">
        <is>
          <t>venda casada (163 pedidos)</t>
        </is>
      </c>
      <c r="X1553" t="n">
        <v>163</v>
      </c>
      <c r="Y1553" t="inlineStr">
        <is>
          <t>ok</t>
        </is>
      </c>
    </row>
    <row r="1554" ht="18" customHeight="1">
      <c r="A1554" s="54" t="inlineStr">
        <is>
          <t>Oliverhome</t>
        </is>
      </c>
      <c r="B1554" s="54" t="inlineStr">
        <is>
          <t>Porta Pães Com Tampa Oliver Home Armazenamento de Pães Retrátil Padaria Casa</t>
        </is>
      </c>
      <c r="C1554" s="54" t="inlineStr">
        <is>
          <t>Sem variação</t>
        </is>
      </c>
      <c r="D1554" s="54" t="inlineStr">
        <is>
          <t>PORTA-PÃES-BAMBU</t>
        </is>
      </c>
      <c r="E1554" s="54" t="n">
        <v>23498900878</v>
      </c>
      <c r="F1554" s="54" t="n">
        <v>0</v>
      </c>
      <c r="G1554" s="54" t="inlineStr">
        <is>
          <t>NORMAL</t>
        </is>
      </c>
      <c r="H1554" s="86" t="n">
        <v>179.9</v>
      </c>
      <c r="I1554" s="86" t="n">
        <v>179.9</v>
      </c>
      <c r="J1554" s="69" t="inlineStr">
        <is>
          <t>NÃO</t>
        </is>
      </c>
      <c r="K1554" s="54" t="n"/>
      <c r="L1554" s="87" t="n">
        <v>179.9</v>
      </c>
      <c r="P1554" s="90">
        <f>IF($O1554="","",L1554-O1554-(L1554*IF(L1554&lt;=79.99,20%,14%)+IF(L1554&lt;=79.99,4,IF(L1554&lt;=99.99,16,IF(L1554&lt;=199.99,20,IF(L1554&lt;=499.99,26,28)))))-L1554*1.3%-L1554*6%-(L1554-O1554)*9.25%-L1554*3%-L1554*3%-1)</f>
        <v/>
      </c>
      <c r="Q1554" s="54">
        <f>IF(AND(K1554&lt;&gt;"",H1554&gt;0),(H1554-K1554)/H1554,"")</f>
        <v/>
      </c>
      <c r="R1554" s="54" t="n"/>
      <c r="S1554" s="54" t="n"/>
      <c r="T1554" s="54" t="n"/>
      <c r="U1554" s="54" t="n">
        <v>101220</v>
      </c>
      <c r="W1554" t="inlineStr">
        <is>
          <t>sem correspondência</t>
        </is>
      </c>
      <c r="Y1554" t="inlineStr"/>
    </row>
    <row r="1555" ht="18" customHeight="1">
      <c r="A1555" s="60" t="inlineStr">
        <is>
          <t>Oliverhome</t>
        </is>
      </c>
      <c r="B1555" s="60" t="inlineStr">
        <is>
          <t>Pote de Vidro Hermético com Tampa de Bambu Porta Mantimentos Temperos Cereais Grãos Massas</t>
        </is>
      </c>
      <c r="C1555" s="60" t="inlineStr">
        <is>
          <t>10 Unidades,200ml</t>
        </is>
      </c>
      <c r="D1555" s="60" t="inlineStr">
        <is>
          <t>Kit 10 potes 200ml</t>
        </is>
      </c>
      <c r="E1555" s="60" t="n">
        <v>57662678833</v>
      </c>
      <c r="F1555" s="60" t="n">
        <v>311102310288</v>
      </c>
      <c r="G1555" s="60" t="inlineStr">
        <is>
          <t>NORMAL</t>
        </is>
      </c>
      <c r="H1555" s="91" t="n">
        <v>159.9</v>
      </c>
      <c r="I1555" s="91" t="n">
        <v>84.89</v>
      </c>
      <c r="J1555" s="65" t="inlineStr">
        <is>
          <t>SIM</t>
        </is>
      </c>
      <c r="K1555" s="91" t="n">
        <v>84.89</v>
      </c>
      <c r="L1555" s="87" t="n">
        <v>84.89</v>
      </c>
      <c r="M1555" s="88" t="n">
        <v>10</v>
      </c>
      <c r="N1555" s="89" t="n">
        <v>2.13</v>
      </c>
      <c r="O1555" s="89">
        <f>ROUND(M1555*N1555,2)</f>
        <v/>
      </c>
      <c r="P1555" s="92">
        <f>IF($O1555="","",L1555-O1555-(L1555*IF(L1555&lt;=79.99,20%,14%)+IF(L1555&lt;=79.99,4,IF(L1555&lt;=99.99,16,IF(L1555&lt;=199.99,20,IF(L1555&lt;=499.99,26,28)))))-L1555*1.3%-L1555*6%-(L1555-O1555)*9.25%-L1555*3%-L1555*3%-1)</f>
        <v/>
      </c>
      <c r="Q1555" s="67" t="n">
        <v>0.469</v>
      </c>
      <c r="R1555" s="60" t="n">
        <v>490987084534129</v>
      </c>
      <c r="S1555" s="68" t="n">
        <v>46248</v>
      </c>
      <c r="T1555" s="68" t="n">
        <v>46249</v>
      </c>
      <c r="U1555" s="60" t="n">
        <v>101220</v>
      </c>
      <c r="V1555" t="inlineStr">
        <is>
          <t>214797</t>
        </is>
      </c>
      <c r="W1555" t="inlineStr">
        <is>
          <t>SKU do de-para · custo do KIT 214855 (10× 214797)</t>
        </is>
      </c>
      <c r="X1555" t="n">
        <v>6</v>
      </c>
      <c r="Y1555" t="inlineStr">
        <is>
          <t>ok</t>
        </is>
      </c>
    </row>
    <row r="1556" ht="18" customHeight="1">
      <c r="A1556" s="54" t="inlineStr">
        <is>
          <t>Oliverhome</t>
        </is>
      </c>
      <c r="B1556" s="54" t="inlineStr">
        <is>
          <t>Pote de Vidro Hermético com Tampa de Bambu Porta Mantimentos Temperos Cereais Grãos Massas</t>
        </is>
      </c>
      <c r="C1556" s="54" t="inlineStr">
        <is>
          <t>10 Unidades,200ml</t>
        </is>
      </c>
      <c r="D1556" s="54" t="inlineStr">
        <is>
          <t>Kit 10 potes 200ml</t>
        </is>
      </c>
      <c r="E1556" s="54" t="n">
        <v>50512678791</v>
      </c>
      <c r="F1556" s="54" t="n">
        <v>381101719751</v>
      </c>
      <c r="G1556" s="54" t="inlineStr">
        <is>
          <t>NORMAL</t>
        </is>
      </c>
      <c r="H1556" s="86" t="n">
        <v>159.9</v>
      </c>
      <c r="I1556" s="86" t="n">
        <v>84.89</v>
      </c>
      <c r="J1556" s="56" t="inlineStr">
        <is>
          <t>SIM</t>
        </is>
      </c>
      <c r="K1556" s="86" t="n">
        <v>84.89</v>
      </c>
      <c r="L1556" s="87" t="n">
        <v>84.89</v>
      </c>
      <c r="M1556" s="88" t="n">
        <v>10</v>
      </c>
      <c r="N1556" s="89" t="n">
        <v>2.13</v>
      </c>
      <c r="O1556" s="89">
        <f>ROUND(M1556*N1556,2)</f>
        <v/>
      </c>
      <c r="P1556" s="90">
        <f>IF($O1556="","",L1556-O1556-(L1556*IF(L1556&lt;=79.99,20%,14%)+IF(L1556&lt;=79.99,4,IF(L1556&lt;=99.99,16,IF(L1556&lt;=199.99,20,IF(L1556&lt;=499.99,26,28)))))-L1556*1.3%-L1556*6%-(L1556-O1556)*9.25%-L1556*3%-L1556*3%-1)</f>
        <v/>
      </c>
      <c r="Q1556" s="58" t="n">
        <v>0.469</v>
      </c>
      <c r="R1556" s="54" t="n">
        <v>490987084534129</v>
      </c>
      <c r="S1556" s="59" t="n">
        <v>46248</v>
      </c>
      <c r="T1556" s="59" t="n">
        <v>46249</v>
      </c>
      <c r="U1556" s="54" t="n">
        <v>101220</v>
      </c>
      <c r="V1556" t="inlineStr">
        <is>
          <t>214797</t>
        </is>
      </c>
      <c r="W1556" t="inlineStr">
        <is>
          <t>SKU do de-para · custo do KIT 214855 (10× 214797)</t>
        </is>
      </c>
      <c r="X1556" t="n">
        <v>6</v>
      </c>
      <c r="Y1556" t="inlineStr">
        <is>
          <t>ok</t>
        </is>
      </c>
    </row>
    <row r="1557" ht="18" customHeight="1">
      <c r="A1557" s="60" t="inlineStr">
        <is>
          <t>Oliverhome</t>
        </is>
      </c>
      <c r="B1557" s="60" t="inlineStr">
        <is>
          <t>Pote de Vidro Hermético com Tampa de Bambu Porta Mantimentos Temperos Cereais Grãos Massas</t>
        </is>
      </c>
      <c r="C1557" s="60" t="inlineStr">
        <is>
          <t>10 Unidades,300ml</t>
        </is>
      </c>
      <c r="D1557" s="60" t="inlineStr">
        <is>
          <t>Kit 10 potes 300ml</t>
        </is>
      </c>
      <c r="E1557" s="60" t="n">
        <v>57662678833</v>
      </c>
      <c r="F1557" s="60" t="n">
        <v>311102310289</v>
      </c>
      <c r="G1557" s="60" t="inlineStr">
        <is>
          <t>NORMAL</t>
        </is>
      </c>
      <c r="H1557" s="91" t="n">
        <v>169.9</v>
      </c>
      <c r="I1557" s="91" t="n">
        <v>86.89</v>
      </c>
      <c r="J1557" s="65" t="inlineStr">
        <is>
          <t>SIM</t>
        </is>
      </c>
      <c r="K1557" s="91" t="n">
        <v>86.89</v>
      </c>
      <c r="L1557" s="87" t="n">
        <v>86.89</v>
      </c>
      <c r="M1557" s="88" t="n">
        <v>10</v>
      </c>
      <c r="N1557" s="89" t="n">
        <v>2.5</v>
      </c>
      <c r="O1557" s="89">
        <f>ROUND(M1557*N1557,2)</f>
        <v/>
      </c>
      <c r="P1557" s="92">
        <f>IF($O1557="","",L1557-O1557-(L1557*IF(L1557&lt;=79.99,20%,14%)+IF(L1557&lt;=79.99,4,IF(L1557&lt;=99.99,16,IF(L1557&lt;=199.99,20,IF(L1557&lt;=499.99,26,28)))))-L1557*1.3%-L1557*6%-(L1557-O1557)*9.25%-L1557*3%-L1557*3%-1)</f>
        <v/>
      </c>
      <c r="Q1557" s="67" t="n">
        <v>0.489</v>
      </c>
      <c r="R1557" s="60" t="n">
        <v>490987084534129</v>
      </c>
      <c r="S1557" s="68" t="n">
        <v>46248</v>
      </c>
      <c r="T1557" s="68" t="n">
        <v>46249</v>
      </c>
      <c r="U1557" s="60" t="n">
        <v>101220</v>
      </c>
      <c r="V1557" t="inlineStr">
        <is>
          <t>214798</t>
        </is>
      </c>
      <c r="W1557" t="inlineStr">
        <is>
          <t>SKU do de-para · custo do KIT 214856 (10× 214798)</t>
        </is>
      </c>
      <c r="X1557" t="n">
        <v>40</v>
      </c>
      <c r="Y1557" t="inlineStr">
        <is>
          <t>ok</t>
        </is>
      </c>
    </row>
    <row r="1558" ht="18" customHeight="1">
      <c r="A1558" s="54" t="inlineStr">
        <is>
          <t>Oliverhome</t>
        </is>
      </c>
      <c r="B1558" s="54" t="inlineStr">
        <is>
          <t>Pote de Vidro Hermético com Tampa de Bambu Porta Mantimentos Temperos Cereais Grãos Massas</t>
        </is>
      </c>
      <c r="C1558" s="54" t="inlineStr">
        <is>
          <t>10 Unidades,300ml</t>
        </is>
      </c>
      <c r="D1558" s="54" t="inlineStr">
        <is>
          <t>Kit 10 potes 300ml</t>
        </is>
      </c>
      <c r="E1558" s="54" t="n">
        <v>50512678791</v>
      </c>
      <c r="F1558" s="54" t="n">
        <v>381101719752</v>
      </c>
      <c r="G1558" s="54" t="inlineStr">
        <is>
          <t>NORMAL</t>
        </is>
      </c>
      <c r="H1558" s="86" t="n">
        <v>169.9</v>
      </c>
      <c r="I1558" s="86" t="n">
        <v>86.89</v>
      </c>
      <c r="J1558" s="56" t="inlineStr">
        <is>
          <t>SIM</t>
        </is>
      </c>
      <c r="K1558" s="86" t="n">
        <v>86.89</v>
      </c>
      <c r="L1558" s="87" t="n">
        <v>86.89</v>
      </c>
      <c r="M1558" s="88" t="n">
        <v>10</v>
      </c>
      <c r="N1558" s="89" t="n">
        <v>2.5</v>
      </c>
      <c r="O1558" s="89">
        <f>ROUND(M1558*N1558,2)</f>
        <v/>
      </c>
      <c r="P1558" s="90">
        <f>IF($O1558="","",L1558-O1558-(L1558*IF(L1558&lt;=79.99,20%,14%)+IF(L1558&lt;=79.99,4,IF(L1558&lt;=99.99,16,IF(L1558&lt;=199.99,20,IF(L1558&lt;=499.99,26,28)))))-L1558*1.3%-L1558*6%-(L1558-O1558)*9.25%-L1558*3%-L1558*3%-1)</f>
        <v/>
      </c>
      <c r="Q1558" s="58" t="n">
        <v>0.489</v>
      </c>
      <c r="R1558" s="54" t="n">
        <v>490987084534129</v>
      </c>
      <c r="S1558" s="59" t="n">
        <v>46248</v>
      </c>
      <c r="T1558" s="59" t="n">
        <v>46249</v>
      </c>
      <c r="U1558" s="54" t="n">
        <v>101220</v>
      </c>
      <c r="V1558" t="inlineStr">
        <is>
          <t>214798</t>
        </is>
      </c>
      <c r="W1558" t="inlineStr">
        <is>
          <t>SKU do de-para · custo do KIT 214856 (10× 214798)</t>
        </is>
      </c>
      <c r="X1558" t="n">
        <v>40</v>
      </c>
      <c r="Y1558" t="inlineStr">
        <is>
          <t>ok</t>
        </is>
      </c>
    </row>
    <row r="1559" ht="18" customHeight="1">
      <c r="A1559" s="60" t="inlineStr">
        <is>
          <t>Oliverhome</t>
        </is>
      </c>
      <c r="B1559" s="60" t="inlineStr">
        <is>
          <t>Pote de Vidro Hermético com Tampa de Bambu Porta Mantimentos Temperos Cereais Grãos Massas</t>
        </is>
      </c>
      <c r="C1559" s="60" t="inlineStr">
        <is>
          <t>10 Unidades,500ml</t>
        </is>
      </c>
      <c r="D1559" s="60" t="inlineStr">
        <is>
          <t>Kit 10 potes 500ml</t>
        </is>
      </c>
      <c r="E1559" s="60" t="n">
        <v>57662678833</v>
      </c>
      <c r="F1559" s="60" t="n">
        <v>311102310290</v>
      </c>
      <c r="G1559" s="60" t="inlineStr">
        <is>
          <t>NORMAL</t>
        </is>
      </c>
      <c r="H1559" s="91" t="n">
        <v>249.9</v>
      </c>
      <c r="I1559" s="91" t="n">
        <v>123.89</v>
      </c>
      <c r="J1559" s="65" t="inlineStr">
        <is>
          <t>SIM</t>
        </is>
      </c>
      <c r="K1559" s="91" t="n">
        <v>123.89</v>
      </c>
      <c r="L1559" s="87" t="n">
        <v>123.89</v>
      </c>
      <c r="P1559" s="92">
        <f>IF($O1559="","",L1559-O1559-(L1559*IF(L1559&lt;=79.99,20%,14%)+IF(L1559&lt;=79.99,4,IF(L1559&lt;=99.99,16,IF(L1559&lt;=199.99,20,IF(L1559&lt;=499.99,26,28)))))-L1559*1.3%-L1559*6%-(L1559-O1559)*9.25%-L1559*3%-L1559*3%-1)</f>
        <v/>
      </c>
      <c r="Q1559" s="67" t="n">
        <v>0.504</v>
      </c>
      <c r="R1559" s="60" t="n">
        <v>490987084534129</v>
      </c>
      <c r="S1559" s="68" t="n">
        <v>46248</v>
      </c>
      <c r="T1559" s="68" t="n">
        <v>46249</v>
      </c>
      <c r="U1559" s="60" t="n">
        <v>101220</v>
      </c>
      <c r="W1559" t="inlineStr">
        <is>
          <t>sem correspondência</t>
        </is>
      </c>
      <c r="Y1559" t="inlineStr"/>
    </row>
    <row r="1560" ht="18" customHeight="1">
      <c r="A1560" s="54" t="inlineStr">
        <is>
          <t>Oliverhome</t>
        </is>
      </c>
      <c r="B1560" s="54" t="inlineStr">
        <is>
          <t>Pote de Vidro Hermético com Tampa de Bambu Porta Mantimentos Temperos Cereais Grãos Massas</t>
        </is>
      </c>
      <c r="C1560" s="54" t="inlineStr">
        <is>
          <t>10 Unidades,500ml</t>
        </is>
      </c>
      <c r="D1560" s="54" t="inlineStr">
        <is>
          <t>Kit 10 potes 500ml</t>
        </is>
      </c>
      <c r="E1560" s="54" t="n">
        <v>50512678791</v>
      </c>
      <c r="F1560" s="54" t="n">
        <v>381101719753</v>
      </c>
      <c r="G1560" s="54" t="inlineStr">
        <is>
          <t>NORMAL</t>
        </is>
      </c>
      <c r="H1560" s="86" t="n">
        <v>249.9</v>
      </c>
      <c r="I1560" s="86" t="n">
        <v>123.89</v>
      </c>
      <c r="J1560" s="56" t="inlineStr">
        <is>
          <t>SIM</t>
        </is>
      </c>
      <c r="K1560" s="86" t="n">
        <v>123.89</v>
      </c>
      <c r="L1560" s="87" t="n">
        <v>123.89</v>
      </c>
      <c r="P1560" s="90">
        <f>IF($O1560="","",L1560-O1560-(L1560*IF(L1560&lt;=79.99,20%,14%)+IF(L1560&lt;=79.99,4,IF(L1560&lt;=99.99,16,IF(L1560&lt;=199.99,20,IF(L1560&lt;=499.99,26,28)))))-L1560*1.3%-L1560*6%-(L1560-O1560)*9.25%-L1560*3%-L1560*3%-1)</f>
        <v/>
      </c>
      <c r="Q1560" s="58" t="n">
        <v>0.504</v>
      </c>
      <c r="R1560" s="54" t="n">
        <v>490987084534129</v>
      </c>
      <c r="S1560" s="59" t="n">
        <v>46248</v>
      </c>
      <c r="T1560" s="59" t="n">
        <v>46249</v>
      </c>
      <c r="U1560" s="54" t="n">
        <v>101220</v>
      </c>
      <c r="W1560" t="inlineStr">
        <is>
          <t>sem correspondência</t>
        </is>
      </c>
      <c r="Y1560" t="inlineStr"/>
    </row>
    <row r="1561" ht="18" customHeight="1">
      <c r="A1561" s="60" t="inlineStr">
        <is>
          <t>Oliverhome</t>
        </is>
      </c>
      <c r="B1561" s="60" t="inlineStr">
        <is>
          <t>Pote de Vidro Hermético com Tampa de Bambu Porta Mantimentos Temperos Cereais Grãos Massas</t>
        </is>
      </c>
      <c r="C1561" s="60" t="inlineStr">
        <is>
          <t>4 Unidades,200ml</t>
        </is>
      </c>
      <c r="D1561" s="60" t="inlineStr">
        <is>
          <t>Kit 4 potes 200ml</t>
        </is>
      </c>
      <c r="E1561" s="60" t="n">
        <v>57662678833</v>
      </c>
      <c r="F1561" s="60" t="n">
        <v>311102310279</v>
      </c>
      <c r="G1561" s="60" t="inlineStr">
        <is>
          <t>NORMAL</t>
        </is>
      </c>
      <c r="H1561" s="91" t="n">
        <v>89.90000000000001</v>
      </c>
      <c r="I1561" s="91" t="n">
        <v>35.89</v>
      </c>
      <c r="J1561" s="65" t="inlineStr">
        <is>
          <t>SIM</t>
        </is>
      </c>
      <c r="K1561" s="91" t="n">
        <v>35.89</v>
      </c>
      <c r="L1561" s="87" t="n">
        <v>35.89</v>
      </c>
      <c r="M1561" s="88" t="n">
        <v>4</v>
      </c>
      <c r="N1561" s="89" t="n">
        <v>2.13</v>
      </c>
      <c r="O1561" s="89">
        <f>ROUND(M1561*N1561,2)</f>
        <v/>
      </c>
      <c r="P1561" s="92">
        <f>IF($O1561="","",L1561-O1561-(L1561*IF(L1561&lt;=79.99,20%,14%)+IF(L1561&lt;=79.99,4,IF(L1561&lt;=99.99,16,IF(L1561&lt;=199.99,20,IF(L1561&lt;=499.99,26,28)))))-L1561*1.3%-L1561*6%-(L1561-O1561)*9.25%-L1561*3%-L1561*3%-1)</f>
        <v/>
      </c>
      <c r="Q1561" s="67" t="n">
        <v>0.601</v>
      </c>
      <c r="R1561" s="60" t="n">
        <v>490987084534129</v>
      </c>
      <c r="S1561" s="68" t="n">
        <v>46248</v>
      </c>
      <c r="T1561" s="68" t="n">
        <v>46249</v>
      </c>
      <c r="U1561" s="60" t="n">
        <v>101220</v>
      </c>
      <c r="V1561" t="inlineStr">
        <is>
          <t>214797</t>
        </is>
      </c>
      <c r="W1561" t="inlineStr">
        <is>
          <t>venda casada (1 pedido) · custo do KIT 214808 (4× 214797)</t>
        </is>
      </c>
      <c r="X1561" t="n">
        <v>1</v>
      </c>
      <c r="Y1561" t="inlineStr">
        <is>
          <t>⚠ evidência fraca (1 pedido)</t>
        </is>
      </c>
    </row>
    <row r="1562" ht="18" customHeight="1">
      <c r="A1562" s="54" t="inlineStr">
        <is>
          <t>Oliverhome</t>
        </is>
      </c>
      <c r="B1562" s="54" t="inlineStr">
        <is>
          <t>Pote de Vidro Hermético com Tampa de Bambu Porta Mantimentos Temperos Cereais Grãos Massas</t>
        </is>
      </c>
      <c r="C1562" s="54" t="inlineStr">
        <is>
          <t>4 Unidades,200ml</t>
        </is>
      </c>
      <c r="D1562" s="54" t="inlineStr">
        <is>
          <t>Kit 4 potes 200ml</t>
        </is>
      </c>
      <c r="E1562" s="54" t="n">
        <v>50512678791</v>
      </c>
      <c r="F1562" s="54" t="n">
        <v>381101719742</v>
      </c>
      <c r="G1562" s="54" t="inlineStr">
        <is>
          <t>NORMAL</t>
        </is>
      </c>
      <c r="H1562" s="86" t="n">
        <v>89.90000000000001</v>
      </c>
      <c r="I1562" s="86" t="n">
        <v>35.89</v>
      </c>
      <c r="J1562" s="56" t="inlineStr">
        <is>
          <t>SIM</t>
        </is>
      </c>
      <c r="K1562" s="86" t="n">
        <v>35.89</v>
      </c>
      <c r="L1562" s="87" t="n">
        <v>35.89</v>
      </c>
      <c r="M1562" s="88" t="n">
        <v>4</v>
      </c>
      <c r="N1562" s="89" t="n">
        <v>2.13</v>
      </c>
      <c r="O1562" s="89">
        <f>ROUND(M1562*N1562,2)</f>
        <v/>
      </c>
      <c r="P1562" s="90">
        <f>IF($O1562="","",L1562-O1562-(L1562*IF(L1562&lt;=79.99,20%,14%)+IF(L1562&lt;=79.99,4,IF(L1562&lt;=99.99,16,IF(L1562&lt;=199.99,20,IF(L1562&lt;=499.99,26,28)))))-L1562*1.3%-L1562*6%-(L1562-O1562)*9.25%-L1562*3%-L1562*3%-1)</f>
        <v/>
      </c>
      <c r="Q1562" s="58" t="n">
        <v>0.601</v>
      </c>
      <c r="R1562" s="54" t="n">
        <v>490987084534129</v>
      </c>
      <c r="S1562" s="59" t="n">
        <v>46248</v>
      </c>
      <c r="T1562" s="59" t="n">
        <v>46249</v>
      </c>
      <c r="U1562" s="54" t="n">
        <v>101220</v>
      </c>
      <c r="V1562" t="inlineStr">
        <is>
          <t>214797</t>
        </is>
      </c>
      <c r="W1562" t="inlineStr">
        <is>
          <t>SKU do de-para · custo do KIT 214808 (4× 214797)</t>
        </is>
      </c>
      <c r="X1562" t="n">
        <v>3</v>
      </c>
      <c r="Y1562" t="inlineStr">
        <is>
          <t>ok</t>
        </is>
      </c>
    </row>
    <row r="1563" ht="18" customHeight="1">
      <c r="A1563" s="60" t="inlineStr">
        <is>
          <t>Oliverhome</t>
        </is>
      </c>
      <c r="B1563" s="60" t="inlineStr">
        <is>
          <t>Pote de Vidro Hermético com Tampa de Bambu Porta Mantimentos Temperos Cereais Grãos Massas</t>
        </is>
      </c>
      <c r="C1563" s="60" t="inlineStr">
        <is>
          <t>4 Unidades,300ml</t>
        </is>
      </c>
      <c r="D1563" s="60" t="inlineStr">
        <is>
          <t>Kit 4 potes 300ml</t>
        </is>
      </c>
      <c r="E1563" s="60" t="n">
        <v>57662678833</v>
      </c>
      <c r="F1563" s="60" t="n">
        <v>311102310280</v>
      </c>
      <c r="G1563" s="60" t="inlineStr">
        <is>
          <t>NORMAL</t>
        </is>
      </c>
      <c r="H1563" s="91" t="n">
        <v>99.90000000000001</v>
      </c>
      <c r="I1563" s="91" t="n">
        <v>39.89</v>
      </c>
      <c r="J1563" s="65" t="inlineStr">
        <is>
          <t>SIM</t>
        </is>
      </c>
      <c r="K1563" s="91" t="n">
        <v>39.89</v>
      </c>
      <c r="L1563" s="87" t="n">
        <v>39.89</v>
      </c>
      <c r="M1563" s="88" t="n">
        <v>4</v>
      </c>
      <c r="N1563" s="89" t="n">
        <v>2.5</v>
      </c>
      <c r="O1563" s="89">
        <f>ROUND(M1563*N1563,2)</f>
        <v/>
      </c>
      <c r="P1563" s="92">
        <f>IF($O1563="","",L1563-O1563-(L1563*IF(L1563&lt;=79.99,20%,14%)+IF(L1563&lt;=79.99,4,IF(L1563&lt;=99.99,16,IF(L1563&lt;=199.99,20,IF(L1563&lt;=499.99,26,28)))))-L1563*1.3%-L1563*6%-(L1563-O1563)*9.25%-L1563*3%-L1563*3%-1)</f>
        <v/>
      </c>
      <c r="Q1563" s="67" t="n">
        <v>0.601</v>
      </c>
      <c r="R1563" s="60" t="n">
        <v>490987084534129</v>
      </c>
      <c r="S1563" s="68" t="n">
        <v>46248</v>
      </c>
      <c r="T1563" s="68" t="n">
        <v>46249</v>
      </c>
      <c r="U1563" s="60" t="n">
        <v>101220</v>
      </c>
      <c r="V1563" t="inlineStr">
        <is>
          <t>214798</t>
        </is>
      </c>
      <c r="W1563" t="inlineStr">
        <is>
          <t>venda casada (1 pedido) · custo do KIT 214814 (4× 214798)</t>
        </is>
      </c>
      <c r="X1563" t="n">
        <v>1</v>
      </c>
      <c r="Y1563" t="inlineStr">
        <is>
          <t>⚠ evidência fraca (1 pedido)</t>
        </is>
      </c>
    </row>
    <row r="1564" ht="18" customHeight="1">
      <c r="A1564" s="54" t="inlineStr">
        <is>
          <t>Oliverhome</t>
        </is>
      </c>
      <c r="B1564" s="54" t="inlineStr">
        <is>
          <t>Pote de Vidro Hermético com Tampa de Bambu Porta Mantimentos Temperos Cereais Grãos Massas</t>
        </is>
      </c>
      <c r="C1564" s="54" t="inlineStr">
        <is>
          <t>4 Unidades,300ml</t>
        </is>
      </c>
      <c r="D1564" s="54" t="inlineStr">
        <is>
          <t>Kit 4 potes 300ml</t>
        </is>
      </c>
      <c r="E1564" s="54" t="n">
        <v>50512678791</v>
      </c>
      <c r="F1564" s="54" t="n">
        <v>381101719743</v>
      </c>
      <c r="G1564" s="54" t="inlineStr">
        <is>
          <t>NORMAL</t>
        </is>
      </c>
      <c r="H1564" s="86" t="n">
        <v>99.90000000000001</v>
      </c>
      <c r="I1564" s="86" t="n">
        <v>39.89</v>
      </c>
      <c r="J1564" s="56" t="inlineStr">
        <is>
          <t>SIM</t>
        </is>
      </c>
      <c r="K1564" s="86" t="n">
        <v>39.89</v>
      </c>
      <c r="L1564" s="87" t="n">
        <v>39.89</v>
      </c>
      <c r="M1564" s="88" t="n">
        <v>4</v>
      </c>
      <c r="N1564" s="89" t="n">
        <v>2.5</v>
      </c>
      <c r="O1564" s="89">
        <f>ROUND(M1564*N1564,2)</f>
        <v/>
      </c>
      <c r="P1564" s="90">
        <f>IF($O1564="","",L1564-O1564-(L1564*IF(L1564&lt;=79.99,20%,14%)+IF(L1564&lt;=79.99,4,IF(L1564&lt;=99.99,16,IF(L1564&lt;=199.99,20,IF(L1564&lt;=499.99,26,28)))))-L1564*1.3%-L1564*6%-(L1564-O1564)*9.25%-L1564*3%-L1564*3%-1)</f>
        <v/>
      </c>
      <c r="Q1564" s="58" t="n">
        <v>0.601</v>
      </c>
      <c r="R1564" s="54" t="n">
        <v>490987084534129</v>
      </c>
      <c r="S1564" s="59" t="n">
        <v>46248</v>
      </c>
      <c r="T1564" s="59" t="n">
        <v>46249</v>
      </c>
      <c r="U1564" s="54" t="n">
        <v>101220</v>
      </c>
      <c r="V1564" t="inlineStr">
        <is>
          <t>214798</t>
        </is>
      </c>
      <c r="W1564" t="inlineStr">
        <is>
          <t>SKU do de-para · custo do KIT 214814 (4× 214798)</t>
        </is>
      </c>
      <c r="X1564" t="n">
        <v>11</v>
      </c>
      <c r="Y1564" t="inlineStr">
        <is>
          <t>ok</t>
        </is>
      </c>
    </row>
    <row r="1565" ht="18" customHeight="1">
      <c r="A1565" s="60" t="inlineStr">
        <is>
          <t>Oliverhome</t>
        </is>
      </c>
      <c r="B1565" s="60" t="inlineStr">
        <is>
          <t>Pote de Vidro Hermético com Tampa de Bambu Porta Mantimentos Temperos Cereais Grãos Massas</t>
        </is>
      </c>
      <c r="C1565" s="60" t="inlineStr">
        <is>
          <t>4 Unidades,500ml</t>
        </is>
      </c>
      <c r="D1565" s="60" t="inlineStr">
        <is>
          <t>Kit 4 potes 500ml</t>
        </is>
      </c>
      <c r="E1565" s="60" t="n">
        <v>57662678833</v>
      </c>
      <c r="F1565" s="60" t="n">
        <v>311102310281</v>
      </c>
      <c r="G1565" s="60" t="inlineStr">
        <is>
          <t>NORMAL</t>
        </is>
      </c>
      <c r="H1565" s="91" t="n">
        <v>109.9</v>
      </c>
      <c r="I1565" s="91" t="n">
        <v>59.89</v>
      </c>
      <c r="J1565" s="65" t="inlineStr">
        <is>
          <t>SIM</t>
        </is>
      </c>
      <c r="K1565" s="91" t="n">
        <v>59.89</v>
      </c>
      <c r="L1565" s="87" t="n">
        <v>59.89</v>
      </c>
      <c r="M1565" s="88" t="n">
        <v>4</v>
      </c>
      <c r="N1565" s="89" t="n">
        <v>3.26</v>
      </c>
      <c r="O1565" s="89">
        <f>ROUND(M1565*N1565,2)</f>
        <v/>
      </c>
      <c r="P1565" s="92">
        <f>IF($O1565="","",L1565-O1565-(L1565*IF(L1565&lt;=79.99,20%,14%)+IF(L1565&lt;=79.99,4,IF(L1565&lt;=99.99,16,IF(L1565&lt;=199.99,20,IF(L1565&lt;=499.99,26,28)))))-L1565*1.3%-L1565*6%-(L1565-O1565)*9.25%-L1565*3%-L1565*3%-1)</f>
        <v/>
      </c>
      <c r="Q1565" s="67" t="n">
        <v>0.455</v>
      </c>
      <c r="R1565" s="60" t="n">
        <v>490987084534129</v>
      </c>
      <c r="S1565" s="68" t="n">
        <v>46248</v>
      </c>
      <c r="T1565" s="68" t="n">
        <v>46249</v>
      </c>
      <c r="U1565" s="60" t="n">
        <v>101220</v>
      </c>
      <c r="V1565" t="inlineStr">
        <is>
          <t>214802</t>
        </is>
      </c>
      <c r="W1565" t="inlineStr">
        <is>
          <t>SKU do de-para · custo do KIT 214838 (4× 214802)</t>
        </is>
      </c>
      <c r="X1565" t="n">
        <v>8</v>
      </c>
      <c r="Y1565" t="inlineStr">
        <is>
          <t>⚠ VOLUME: anúncio 500ml vs Olist 550ml</t>
        </is>
      </c>
    </row>
    <row r="1566" ht="18" customHeight="1">
      <c r="A1566" s="54" t="inlineStr">
        <is>
          <t>Oliverhome</t>
        </is>
      </c>
      <c r="B1566" s="54" t="inlineStr">
        <is>
          <t>Pote de Vidro Hermético com Tampa de Bambu Porta Mantimentos Temperos Cereais Grãos Massas</t>
        </is>
      </c>
      <c r="C1566" s="54" t="inlineStr">
        <is>
          <t>4 Unidades,500ml</t>
        </is>
      </c>
      <c r="D1566" s="54" t="inlineStr">
        <is>
          <t>Kit 4 potes 500ml</t>
        </is>
      </c>
      <c r="E1566" s="54" t="n">
        <v>50512678791</v>
      </c>
      <c r="F1566" s="54" t="n">
        <v>381101719744</v>
      </c>
      <c r="G1566" s="54" t="inlineStr">
        <is>
          <t>NORMAL</t>
        </is>
      </c>
      <c r="H1566" s="86" t="n">
        <v>109.9</v>
      </c>
      <c r="I1566" s="86" t="n">
        <v>59.89</v>
      </c>
      <c r="J1566" s="56" t="inlineStr">
        <is>
          <t>SIM</t>
        </is>
      </c>
      <c r="K1566" s="86" t="n">
        <v>59.89</v>
      </c>
      <c r="L1566" s="87" t="n">
        <v>59.89</v>
      </c>
      <c r="M1566" s="88" t="n">
        <v>4</v>
      </c>
      <c r="N1566" s="89" t="n">
        <v>3.26</v>
      </c>
      <c r="O1566" s="89">
        <f>ROUND(M1566*N1566,2)</f>
        <v/>
      </c>
      <c r="P1566" s="90">
        <f>IF($O1566="","",L1566-O1566-(L1566*IF(L1566&lt;=79.99,20%,14%)+IF(L1566&lt;=79.99,4,IF(L1566&lt;=99.99,16,IF(L1566&lt;=199.99,20,IF(L1566&lt;=499.99,26,28)))))-L1566*1.3%-L1566*6%-(L1566-O1566)*9.25%-L1566*3%-L1566*3%-1)</f>
        <v/>
      </c>
      <c r="Q1566" s="58" t="n">
        <v>0.455</v>
      </c>
      <c r="R1566" s="54" t="n">
        <v>490987084534129</v>
      </c>
      <c r="S1566" s="59" t="n">
        <v>46248</v>
      </c>
      <c r="T1566" s="59" t="n">
        <v>46249</v>
      </c>
      <c r="U1566" s="54" t="n">
        <v>101220</v>
      </c>
      <c r="V1566" t="inlineStr">
        <is>
          <t>214802</t>
        </is>
      </c>
      <c r="W1566" t="inlineStr">
        <is>
          <t>venda casada (2 pedidos) · custo do KIT 214838 (4× 214802)</t>
        </is>
      </c>
      <c r="X1566" t="n">
        <v>2</v>
      </c>
      <c r="Y1566" t="inlineStr">
        <is>
          <t>⚠ VOLUME: anúncio 500ml vs Olist 550ml</t>
        </is>
      </c>
    </row>
    <row r="1567" ht="18" customHeight="1">
      <c r="A1567" s="60" t="inlineStr">
        <is>
          <t>Oliverhome</t>
        </is>
      </c>
      <c r="B1567" s="60" t="inlineStr">
        <is>
          <t>Pote de Vidro Hermético com Tampa de Bambu Porta Mantimentos Temperos Cereais Grãos Massas</t>
        </is>
      </c>
      <c r="C1567" s="60" t="inlineStr">
        <is>
          <t>6 Unidades,200ml</t>
        </is>
      </c>
      <c r="D1567" s="60" t="inlineStr">
        <is>
          <t>Kit 6 potes 200ml</t>
        </is>
      </c>
      <c r="E1567" s="60" t="n">
        <v>57662678833</v>
      </c>
      <c r="F1567" s="60" t="n">
        <v>311102310282</v>
      </c>
      <c r="G1567" s="60" t="inlineStr">
        <is>
          <t>NORMAL</t>
        </is>
      </c>
      <c r="H1567" s="91" t="n">
        <v>94.90000000000001</v>
      </c>
      <c r="I1567" s="91" t="n">
        <v>47.89</v>
      </c>
      <c r="J1567" s="65" t="inlineStr">
        <is>
          <t>SIM</t>
        </is>
      </c>
      <c r="K1567" s="91" t="n">
        <v>47.89</v>
      </c>
      <c r="L1567" s="87" t="n">
        <v>47.89</v>
      </c>
      <c r="M1567" s="88" t="n">
        <v>6</v>
      </c>
      <c r="N1567" s="89" t="n">
        <v>2.13</v>
      </c>
      <c r="O1567" s="89">
        <f>ROUND(M1567*N1567,2)</f>
        <v/>
      </c>
      <c r="P1567" s="92">
        <f>IF($O1567="","",L1567-O1567-(L1567*IF(L1567&lt;=79.99,20%,14%)+IF(L1567&lt;=79.99,4,IF(L1567&lt;=99.99,16,IF(L1567&lt;=199.99,20,IF(L1567&lt;=499.99,26,28)))))-L1567*1.3%-L1567*6%-(L1567-O1567)*9.25%-L1567*3%-L1567*3%-1)</f>
        <v/>
      </c>
      <c r="Q1567" s="67" t="n">
        <v>0.495</v>
      </c>
      <c r="R1567" s="60" t="n">
        <v>490987084534129</v>
      </c>
      <c r="S1567" s="68" t="n">
        <v>46248</v>
      </c>
      <c r="T1567" s="68" t="n">
        <v>46249</v>
      </c>
      <c r="U1567" s="60" t="n">
        <v>101220</v>
      </c>
      <c r="V1567" t="inlineStr">
        <is>
          <t>214797</t>
        </is>
      </c>
      <c r="W1567" t="inlineStr">
        <is>
          <t>SKU do de-para · custo do KIT 214809 (6× 214797)</t>
        </is>
      </c>
      <c r="X1567" t="n">
        <v>6</v>
      </c>
      <c r="Y1567" t="inlineStr">
        <is>
          <t>ok</t>
        </is>
      </c>
    </row>
    <row r="1568" ht="18" customHeight="1">
      <c r="A1568" s="54" t="inlineStr">
        <is>
          <t>Oliverhome</t>
        </is>
      </c>
      <c r="B1568" s="54" t="inlineStr">
        <is>
          <t>Pote de Vidro Hermético com Tampa de Bambu Porta Mantimentos Temperos Cereais Grãos Massas</t>
        </is>
      </c>
      <c r="C1568" s="54" t="inlineStr">
        <is>
          <t>6 Unidades,200ml</t>
        </is>
      </c>
      <c r="D1568" s="54" t="inlineStr">
        <is>
          <t>Kit 6 potes 200ml</t>
        </is>
      </c>
      <c r="E1568" s="54" t="n">
        <v>50512678791</v>
      </c>
      <c r="F1568" s="54" t="n">
        <v>381101719745</v>
      </c>
      <c r="G1568" s="54" t="inlineStr">
        <is>
          <t>NORMAL</t>
        </is>
      </c>
      <c r="H1568" s="86" t="n">
        <v>94.90000000000001</v>
      </c>
      <c r="I1568" s="86" t="n">
        <v>47.89</v>
      </c>
      <c r="J1568" s="56" t="inlineStr">
        <is>
          <t>SIM</t>
        </is>
      </c>
      <c r="K1568" s="86" t="n">
        <v>47.89</v>
      </c>
      <c r="L1568" s="87" t="n">
        <v>47.89</v>
      </c>
      <c r="M1568" s="88" t="n">
        <v>6</v>
      </c>
      <c r="N1568" s="89" t="n">
        <v>2.13</v>
      </c>
      <c r="O1568" s="89">
        <f>ROUND(M1568*N1568,2)</f>
        <v/>
      </c>
      <c r="P1568" s="90">
        <f>IF($O1568="","",L1568-O1568-(L1568*IF(L1568&lt;=79.99,20%,14%)+IF(L1568&lt;=79.99,4,IF(L1568&lt;=99.99,16,IF(L1568&lt;=199.99,20,IF(L1568&lt;=499.99,26,28)))))-L1568*1.3%-L1568*6%-(L1568-O1568)*9.25%-L1568*3%-L1568*3%-1)</f>
        <v/>
      </c>
      <c r="Q1568" s="58" t="n">
        <v>0.495</v>
      </c>
      <c r="R1568" s="54" t="n">
        <v>490987084534129</v>
      </c>
      <c r="S1568" s="59" t="n">
        <v>46248</v>
      </c>
      <c r="T1568" s="59" t="n">
        <v>46249</v>
      </c>
      <c r="U1568" s="54" t="n">
        <v>101220</v>
      </c>
      <c r="V1568" t="inlineStr">
        <is>
          <t>214797</t>
        </is>
      </c>
      <c r="W1568" t="inlineStr">
        <is>
          <t>venda casada (1 pedido) · custo do KIT 214809 (6× 214797)</t>
        </is>
      </c>
      <c r="X1568" t="n">
        <v>1</v>
      </c>
      <c r="Y1568" t="inlineStr">
        <is>
          <t>⚠ evidência fraca (1 pedido)</t>
        </is>
      </c>
    </row>
    <row r="1569" ht="18" customHeight="1">
      <c r="A1569" s="60" t="inlineStr">
        <is>
          <t>Oliverhome</t>
        </is>
      </c>
      <c r="B1569" s="60" t="inlineStr">
        <is>
          <t>Pote de Vidro Hermético com Tampa de Bambu Porta Mantimentos Temperos Cereais Grãos Massas</t>
        </is>
      </c>
      <c r="C1569" s="60" t="inlineStr">
        <is>
          <t>6 Unidades,300ml</t>
        </is>
      </c>
      <c r="D1569" s="60" t="inlineStr">
        <is>
          <t>Kit 6 potes 300ml</t>
        </is>
      </c>
      <c r="E1569" s="60" t="n">
        <v>57662678833</v>
      </c>
      <c r="F1569" s="60" t="n">
        <v>311102310283</v>
      </c>
      <c r="G1569" s="60" t="inlineStr">
        <is>
          <t>NORMAL</t>
        </is>
      </c>
      <c r="H1569" s="91" t="n">
        <v>109.9</v>
      </c>
      <c r="I1569" s="91" t="n">
        <v>49.89</v>
      </c>
      <c r="J1569" s="65" t="inlineStr">
        <is>
          <t>SIM</t>
        </is>
      </c>
      <c r="K1569" s="91" t="n">
        <v>49.89</v>
      </c>
      <c r="L1569" s="87" t="n">
        <v>49.89</v>
      </c>
      <c r="M1569" s="88" t="n">
        <v>6</v>
      </c>
      <c r="N1569" s="89" t="n">
        <v>2.5</v>
      </c>
      <c r="O1569" s="89">
        <f>ROUND(M1569*N1569,2)</f>
        <v/>
      </c>
      <c r="P1569" s="92">
        <f>IF($O1569="","",L1569-O1569-(L1569*IF(L1569&lt;=79.99,20%,14%)+IF(L1569&lt;=79.99,4,IF(L1569&lt;=99.99,16,IF(L1569&lt;=199.99,20,IF(L1569&lt;=499.99,26,28)))))-L1569*1.3%-L1569*6%-(L1569-O1569)*9.25%-L1569*3%-L1569*3%-1)</f>
        <v/>
      </c>
      <c r="Q1569" s="67" t="n">
        <v>0.546</v>
      </c>
      <c r="R1569" s="60" t="n">
        <v>490987084534129</v>
      </c>
      <c r="S1569" s="68" t="n">
        <v>46248</v>
      </c>
      <c r="T1569" s="68" t="n">
        <v>46249</v>
      </c>
      <c r="U1569" s="60" t="n">
        <v>101220</v>
      </c>
      <c r="V1569" t="inlineStr">
        <is>
          <t>214798</t>
        </is>
      </c>
      <c r="W1569" t="inlineStr">
        <is>
          <t>SKU do de-para · custo do KIT 214815 (6× 214798)</t>
        </is>
      </c>
      <c r="X1569" t="n">
        <v>62</v>
      </c>
      <c r="Y1569" t="inlineStr">
        <is>
          <t>ok</t>
        </is>
      </c>
    </row>
    <row r="1570" ht="18" customHeight="1">
      <c r="A1570" s="54" t="inlineStr">
        <is>
          <t>Oliverhome</t>
        </is>
      </c>
      <c r="B1570" s="54" t="inlineStr">
        <is>
          <t>Pote de Vidro Hermético com Tampa de Bambu Porta Mantimentos Temperos Cereais Grãos Massas</t>
        </is>
      </c>
      <c r="C1570" s="54" t="inlineStr">
        <is>
          <t>6 Unidades,300ml</t>
        </is>
      </c>
      <c r="D1570" s="54" t="inlineStr">
        <is>
          <t>Kit 6 potes 300ml</t>
        </is>
      </c>
      <c r="E1570" s="54" t="n">
        <v>50512678791</v>
      </c>
      <c r="F1570" s="54" t="n">
        <v>381101719746</v>
      </c>
      <c r="G1570" s="54" t="inlineStr">
        <is>
          <t>NORMAL</t>
        </is>
      </c>
      <c r="H1570" s="86" t="n">
        <v>109.9</v>
      </c>
      <c r="I1570" s="86" t="n">
        <v>49.89</v>
      </c>
      <c r="J1570" s="56" t="inlineStr">
        <is>
          <t>SIM</t>
        </is>
      </c>
      <c r="K1570" s="86" t="n">
        <v>49.89</v>
      </c>
      <c r="L1570" s="87" t="n">
        <v>49.89</v>
      </c>
      <c r="M1570" s="88" t="n">
        <v>6</v>
      </c>
      <c r="N1570" s="89" t="n">
        <v>2.5</v>
      </c>
      <c r="O1570" s="89">
        <f>ROUND(M1570*N1570,2)</f>
        <v/>
      </c>
      <c r="P1570" s="90">
        <f>IF($O1570="","",L1570-O1570-(L1570*IF(L1570&lt;=79.99,20%,14%)+IF(L1570&lt;=79.99,4,IF(L1570&lt;=99.99,16,IF(L1570&lt;=199.99,20,IF(L1570&lt;=499.99,26,28)))))-L1570*1.3%-L1570*6%-(L1570-O1570)*9.25%-L1570*3%-L1570*3%-1)</f>
        <v/>
      </c>
      <c r="Q1570" s="58" t="n">
        <v>0.546</v>
      </c>
      <c r="R1570" s="54" t="n">
        <v>490987084534129</v>
      </c>
      <c r="S1570" s="59" t="n">
        <v>46248</v>
      </c>
      <c r="T1570" s="59" t="n">
        <v>46249</v>
      </c>
      <c r="U1570" s="54" t="n">
        <v>101220</v>
      </c>
      <c r="V1570" t="inlineStr">
        <is>
          <t>214798</t>
        </is>
      </c>
      <c r="W1570" t="inlineStr">
        <is>
          <t>SKU do de-para · custo do KIT 214815 (6× 214798)</t>
        </is>
      </c>
      <c r="X1570" t="n">
        <v>62</v>
      </c>
      <c r="Y1570" t="inlineStr">
        <is>
          <t>ok</t>
        </is>
      </c>
    </row>
    <row r="1571" ht="18" customHeight="1">
      <c r="A1571" s="60" t="inlineStr">
        <is>
          <t>Oliverhome</t>
        </is>
      </c>
      <c r="B1571" s="60" t="inlineStr">
        <is>
          <t>Pote de Vidro Hermético com Tampa de Bambu Porta Mantimentos Temperos Cereais Grãos Massas</t>
        </is>
      </c>
      <c r="C1571" s="60" t="inlineStr">
        <is>
          <t>6 Unidades,500ml</t>
        </is>
      </c>
      <c r="D1571" s="60" t="inlineStr">
        <is>
          <t>Kit 6 potes 500ml</t>
        </is>
      </c>
      <c r="E1571" s="60" t="n">
        <v>57662678833</v>
      </c>
      <c r="F1571" s="60" t="n">
        <v>311102310284</v>
      </c>
      <c r="G1571" s="60" t="inlineStr">
        <is>
          <t>NORMAL</t>
        </is>
      </c>
      <c r="H1571" s="91" t="n">
        <v>149.9</v>
      </c>
      <c r="I1571" s="91" t="n">
        <v>80.89</v>
      </c>
      <c r="J1571" s="65" t="inlineStr">
        <is>
          <t>SIM</t>
        </is>
      </c>
      <c r="K1571" s="91" t="n">
        <v>80.89</v>
      </c>
      <c r="L1571" s="87" t="n">
        <v>80.89</v>
      </c>
      <c r="M1571" s="88" t="n">
        <v>6</v>
      </c>
      <c r="N1571" s="89" t="n">
        <v>3.26</v>
      </c>
      <c r="O1571" s="89">
        <f>ROUND(M1571*N1571,2)</f>
        <v/>
      </c>
      <c r="P1571" s="92">
        <f>IF($O1571="","",L1571-O1571-(L1571*IF(L1571&lt;=79.99,20%,14%)+IF(L1571&lt;=79.99,4,IF(L1571&lt;=99.99,16,IF(L1571&lt;=199.99,20,IF(L1571&lt;=499.99,26,28)))))-L1571*1.3%-L1571*6%-(L1571-O1571)*9.25%-L1571*3%-L1571*3%-1)</f>
        <v/>
      </c>
      <c r="Q1571" s="67" t="n">
        <v>0.46</v>
      </c>
      <c r="R1571" s="60" t="n">
        <v>490987084534129</v>
      </c>
      <c r="S1571" s="68" t="n">
        <v>46248</v>
      </c>
      <c r="T1571" s="68" t="n">
        <v>46249</v>
      </c>
      <c r="U1571" s="60" t="n">
        <v>101220</v>
      </c>
      <c r="V1571" t="inlineStr">
        <is>
          <t>214802</t>
        </is>
      </c>
      <c r="W1571" t="inlineStr">
        <is>
          <t>SKU do de-para · custo do KIT 214839 (6× 214802)</t>
        </is>
      </c>
      <c r="X1571" t="n">
        <v>3</v>
      </c>
      <c r="Y1571" t="inlineStr">
        <is>
          <t>⚠ VOLUME: anúncio 500ml vs Olist 550ml</t>
        </is>
      </c>
    </row>
    <row r="1572" ht="18" customHeight="1">
      <c r="A1572" s="54" t="inlineStr">
        <is>
          <t>Oliverhome</t>
        </is>
      </c>
      <c r="B1572" s="54" t="inlineStr">
        <is>
          <t>Pote de Vidro Hermético com Tampa de Bambu Porta Mantimentos Temperos Cereais Grãos Massas</t>
        </is>
      </c>
      <c r="C1572" s="54" t="inlineStr">
        <is>
          <t>6 Unidades,500ml</t>
        </is>
      </c>
      <c r="D1572" s="54" t="inlineStr">
        <is>
          <t>Kit 6 potes 500ml</t>
        </is>
      </c>
      <c r="E1572" s="54" t="n">
        <v>50512678791</v>
      </c>
      <c r="F1572" s="54" t="n">
        <v>381101719747</v>
      </c>
      <c r="G1572" s="54" t="inlineStr">
        <is>
          <t>NORMAL</t>
        </is>
      </c>
      <c r="H1572" s="86" t="n">
        <v>149.9</v>
      </c>
      <c r="I1572" s="86" t="n">
        <v>80.89</v>
      </c>
      <c r="J1572" s="56" t="inlineStr">
        <is>
          <t>SIM</t>
        </is>
      </c>
      <c r="K1572" s="86" t="n">
        <v>80.89</v>
      </c>
      <c r="L1572" s="87" t="n">
        <v>80.89</v>
      </c>
      <c r="M1572" s="88" t="n">
        <v>6</v>
      </c>
      <c r="N1572" s="89" t="n">
        <v>3.26</v>
      </c>
      <c r="O1572" s="89">
        <f>ROUND(M1572*N1572,2)</f>
        <v/>
      </c>
      <c r="P1572" s="90">
        <f>IF($O1572="","",L1572-O1572-(L1572*IF(L1572&lt;=79.99,20%,14%)+IF(L1572&lt;=79.99,4,IF(L1572&lt;=99.99,16,IF(L1572&lt;=199.99,20,IF(L1572&lt;=499.99,26,28)))))-L1572*1.3%-L1572*6%-(L1572-O1572)*9.25%-L1572*3%-L1572*3%-1)</f>
        <v/>
      </c>
      <c r="Q1572" s="58" t="n">
        <v>0.46</v>
      </c>
      <c r="R1572" s="54" t="n">
        <v>490987084534129</v>
      </c>
      <c r="S1572" s="59" t="n">
        <v>46248</v>
      </c>
      <c r="T1572" s="59" t="n">
        <v>46249</v>
      </c>
      <c r="U1572" s="54" t="n">
        <v>101220</v>
      </c>
      <c r="V1572" t="inlineStr">
        <is>
          <t>214802</t>
        </is>
      </c>
      <c r="W1572" t="inlineStr">
        <is>
          <t>SKU do de-para · custo do KIT 214839 (6× 214802)</t>
        </is>
      </c>
      <c r="X1572" t="n">
        <v>3</v>
      </c>
      <c r="Y1572" t="inlineStr">
        <is>
          <t>⚠ VOLUME: anúncio 500ml vs Olist 550ml</t>
        </is>
      </c>
    </row>
    <row r="1573" ht="18" customHeight="1">
      <c r="A1573" s="60" t="inlineStr">
        <is>
          <t>Oliverhome</t>
        </is>
      </c>
      <c r="B1573" s="60" t="inlineStr">
        <is>
          <t>Pote de Vidro Hermético com Tampa de Bambu Porta Mantimentos Temperos Cereais Grãos Massas</t>
        </is>
      </c>
      <c r="C1573" s="60" t="inlineStr">
        <is>
          <t>8 Unidades,200ml</t>
        </is>
      </c>
      <c r="D1573" s="60" t="inlineStr">
        <is>
          <t>Kit 8 potes 200ml</t>
        </is>
      </c>
      <c r="E1573" s="60" t="n">
        <v>57662678833</v>
      </c>
      <c r="F1573" s="60" t="n">
        <v>311102310285</v>
      </c>
      <c r="G1573" s="60" t="inlineStr">
        <is>
          <t>NORMAL</t>
        </is>
      </c>
      <c r="H1573" s="91" t="n">
        <v>129.9</v>
      </c>
      <c r="I1573" s="91" t="n">
        <v>75.90000000000001</v>
      </c>
      <c r="J1573" s="65" t="inlineStr">
        <is>
          <t>SIM</t>
        </is>
      </c>
      <c r="K1573" s="91" t="n">
        <v>75.90000000000001</v>
      </c>
      <c r="L1573" s="87" t="n">
        <v>75.90000000000001</v>
      </c>
      <c r="P1573" s="92">
        <f>IF($O1573="","",L1573-O1573-(L1573*IF(L1573&lt;=79.99,20%,14%)+IF(L1573&lt;=79.99,4,IF(L1573&lt;=99.99,16,IF(L1573&lt;=199.99,20,IF(L1573&lt;=499.99,26,28)))))-L1573*1.3%-L1573*6%-(L1573-O1573)*9.25%-L1573*3%-L1573*3%-1)</f>
        <v/>
      </c>
      <c r="Q1573" s="67" t="n">
        <v>0.416</v>
      </c>
      <c r="R1573" s="60" t="n">
        <v>490987084534129</v>
      </c>
      <c r="S1573" s="68" t="n">
        <v>46248</v>
      </c>
      <c r="T1573" s="68" t="n">
        <v>46249</v>
      </c>
      <c r="U1573" s="60" t="n">
        <v>101220</v>
      </c>
      <c r="W1573" t="inlineStr">
        <is>
          <t>sem correspondência</t>
        </is>
      </c>
      <c r="Y1573" t="inlineStr"/>
    </row>
    <row r="1574" ht="18" customHeight="1">
      <c r="A1574" s="54" t="inlineStr">
        <is>
          <t>Oliverhome</t>
        </is>
      </c>
      <c r="B1574" s="54" t="inlineStr">
        <is>
          <t>Pote de Vidro Hermético com Tampa de Bambu Porta Mantimentos Temperos Cereais Grãos Massas</t>
        </is>
      </c>
      <c r="C1574" s="54" t="inlineStr">
        <is>
          <t>8 Unidades,200ml</t>
        </is>
      </c>
      <c r="D1574" s="54" t="inlineStr">
        <is>
          <t>Kit 8 potes 200ml</t>
        </is>
      </c>
      <c r="E1574" s="54" t="n">
        <v>50512678791</v>
      </c>
      <c r="F1574" s="54" t="n">
        <v>381101719748</v>
      </c>
      <c r="G1574" s="54" t="inlineStr">
        <is>
          <t>NORMAL</t>
        </is>
      </c>
      <c r="H1574" s="86" t="n">
        <v>129.9</v>
      </c>
      <c r="I1574" s="86" t="n">
        <v>63.89</v>
      </c>
      <c r="J1574" s="56" t="inlineStr">
        <is>
          <t>SIM</t>
        </is>
      </c>
      <c r="K1574" s="86" t="n">
        <v>63.89</v>
      </c>
      <c r="L1574" s="87" t="n">
        <v>63.89</v>
      </c>
      <c r="P1574" s="90">
        <f>IF($O1574="","",L1574-O1574-(L1574*IF(L1574&lt;=79.99,20%,14%)+IF(L1574&lt;=79.99,4,IF(L1574&lt;=99.99,16,IF(L1574&lt;=199.99,20,IF(L1574&lt;=499.99,26,28)))))-L1574*1.3%-L1574*6%-(L1574-O1574)*9.25%-L1574*3%-L1574*3%-1)</f>
        <v/>
      </c>
      <c r="Q1574" s="58" t="n">
        <v>0.508</v>
      </c>
      <c r="R1574" s="54" t="n">
        <v>490987084534129</v>
      </c>
      <c r="S1574" s="59" t="n">
        <v>46248</v>
      </c>
      <c r="T1574" s="59" t="n">
        <v>46249</v>
      </c>
      <c r="U1574" s="54" t="n">
        <v>101220</v>
      </c>
      <c r="W1574" t="inlineStr">
        <is>
          <t>sem correspondência</t>
        </is>
      </c>
      <c r="Y1574" t="inlineStr"/>
    </row>
    <row r="1575" ht="18" customHeight="1">
      <c r="A1575" s="60" t="inlineStr">
        <is>
          <t>Oliverhome</t>
        </is>
      </c>
      <c r="B1575" s="60" t="inlineStr">
        <is>
          <t>Pote de Vidro Hermético com Tampa de Bambu Porta Mantimentos Temperos Cereais Grãos Massas</t>
        </is>
      </c>
      <c r="C1575" s="60" t="inlineStr">
        <is>
          <t>8 Unidades,300ml</t>
        </is>
      </c>
      <c r="D1575" s="60" t="inlineStr">
        <is>
          <t>Kit 8 potes 300ml</t>
        </is>
      </c>
      <c r="E1575" s="60" t="n">
        <v>57662678833</v>
      </c>
      <c r="F1575" s="60" t="n">
        <v>311102310286</v>
      </c>
      <c r="G1575" s="60" t="inlineStr">
        <is>
          <t>NORMAL</t>
        </is>
      </c>
      <c r="H1575" s="91" t="n">
        <v>149.9</v>
      </c>
      <c r="I1575" s="91" t="n">
        <v>75.89</v>
      </c>
      <c r="J1575" s="65" t="inlineStr">
        <is>
          <t>SIM</t>
        </is>
      </c>
      <c r="K1575" s="91" t="n">
        <v>75.89</v>
      </c>
      <c r="L1575" s="87" t="n">
        <v>75.89</v>
      </c>
      <c r="M1575" s="88" t="n">
        <v>8</v>
      </c>
      <c r="N1575" s="89" t="n">
        <v>2.5</v>
      </c>
      <c r="O1575" s="89">
        <f>ROUND(M1575*N1575,2)</f>
        <v/>
      </c>
      <c r="P1575" s="92">
        <f>IF($O1575="","",L1575-O1575-(L1575*IF(L1575&lt;=79.99,20%,14%)+IF(L1575&lt;=79.99,4,IF(L1575&lt;=99.99,16,IF(L1575&lt;=199.99,20,IF(L1575&lt;=499.99,26,28)))))-L1575*1.3%-L1575*6%-(L1575-O1575)*9.25%-L1575*3%-L1575*3%-1)</f>
        <v/>
      </c>
      <c r="Q1575" s="67" t="n">
        <v>0.494</v>
      </c>
      <c r="R1575" s="60" t="n">
        <v>490987084534129</v>
      </c>
      <c r="S1575" s="68" t="n">
        <v>46248</v>
      </c>
      <c r="T1575" s="68" t="n">
        <v>46249</v>
      </c>
      <c r="U1575" s="60" t="n">
        <v>101220</v>
      </c>
      <c r="V1575" t="inlineStr">
        <is>
          <t>214798</t>
        </is>
      </c>
      <c r="W1575" t="inlineStr">
        <is>
          <t>SKU do de-para · custo do KIT 214848 (8× 214798)</t>
        </is>
      </c>
      <c r="X1575" t="n">
        <v>5</v>
      </c>
      <c r="Y1575" t="inlineStr">
        <is>
          <t>ok</t>
        </is>
      </c>
    </row>
    <row r="1576" ht="18" customHeight="1">
      <c r="A1576" s="54" t="inlineStr">
        <is>
          <t>Oliverhome</t>
        </is>
      </c>
      <c r="B1576" s="54" t="inlineStr">
        <is>
          <t>Pote de Vidro Hermético com Tampa de Bambu Porta Mantimentos Temperos Cereais Grãos Massas</t>
        </is>
      </c>
      <c r="C1576" s="54" t="inlineStr">
        <is>
          <t>8 Unidades,300ml</t>
        </is>
      </c>
      <c r="D1576" s="54" t="inlineStr">
        <is>
          <t>Kit 8 potes 300ml</t>
        </is>
      </c>
      <c r="E1576" s="54" t="n">
        <v>50512678791</v>
      </c>
      <c r="F1576" s="54" t="n">
        <v>381101719749</v>
      </c>
      <c r="G1576" s="54" t="inlineStr">
        <is>
          <t>NORMAL</t>
        </is>
      </c>
      <c r="H1576" s="86" t="n">
        <v>149.9</v>
      </c>
      <c r="I1576" s="86" t="n">
        <v>75.89</v>
      </c>
      <c r="J1576" s="56" t="inlineStr">
        <is>
          <t>SIM</t>
        </is>
      </c>
      <c r="K1576" s="86" t="n">
        <v>75.89</v>
      </c>
      <c r="L1576" s="87" t="n">
        <v>75.89</v>
      </c>
      <c r="M1576" s="88" t="n">
        <v>8</v>
      </c>
      <c r="N1576" s="89" t="n">
        <v>2.5</v>
      </c>
      <c r="O1576" s="89">
        <f>ROUND(M1576*N1576,2)</f>
        <v/>
      </c>
      <c r="P1576" s="90">
        <f>IF($O1576="","",L1576-O1576-(L1576*IF(L1576&lt;=79.99,20%,14%)+IF(L1576&lt;=79.99,4,IF(L1576&lt;=99.99,16,IF(L1576&lt;=199.99,20,IF(L1576&lt;=499.99,26,28)))))-L1576*1.3%-L1576*6%-(L1576-O1576)*9.25%-L1576*3%-L1576*3%-1)</f>
        <v/>
      </c>
      <c r="Q1576" s="58" t="n">
        <v>0.494</v>
      </c>
      <c r="R1576" s="54" t="n">
        <v>490987084534129</v>
      </c>
      <c r="S1576" s="59" t="n">
        <v>46248</v>
      </c>
      <c r="T1576" s="59" t="n">
        <v>46249</v>
      </c>
      <c r="U1576" s="54" t="n">
        <v>101220</v>
      </c>
      <c r="V1576" t="inlineStr">
        <is>
          <t>214798</t>
        </is>
      </c>
      <c r="W1576" t="inlineStr">
        <is>
          <t>SKU do de-para · custo do KIT 214848 (8× 214798)</t>
        </is>
      </c>
      <c r="X1576" t="n">
        <v>5</v>
      </c>
      <c r="Y1576" t="inlineStr">
        <is>
          <t>ok</t>
        </is>
      </c>
    </row>
    <row r="1577" ht="18" customHeight="1">
      <c r="A1577" s="60" t="inlineStr">
        <is>
          <t>Oliverhome</t>
        </is>
      </c>
      <c r="B1577" s="60" t="inlineStr">
        <is>
          <t>Pote de Vidro Hermético com Tampa de Bambu Porta Mantimentos Temperos Cereais Grãos Massas</t>
        </is>
      </c>
      <c r="C1577" s="60" t="inlineStr">
        <is>
          <t>8 Unidades,500ml</t>
        </is>
      </c>
      <c r="D1577" s="60" t="inlineStr">
        <is>
          <t>Kit 8 potes 500ml</t>
        </is>
      </c>
      <c r="E1577" s="60" t="n">
        <v>57662678833</v>
      </c>
      <c r="F1577" s="60" t="n">
        <v>311102310287</v>
      </c>
      <c r="G1577" s="60" t="inlineStr">
        <is>
          <t>NORMAL</t>
        </is>
      </c>
      <c r="H1577" s="91" t="n">
        <v>199.9</v>
      </c>
      <c r="I1577" s="91" t="n">
        <v>102.89</v>
      </c>
      <c r="J1577" s="65" t="inlineStr">
        <is>
          <t>SIM</t>
        </is>
      </c>
      <c r="K1577" s="91" t="n">
        <v>102.89</v>
      </c>
      <c r="L1577" s="87" t="n">
        <v>102.89</v>
      </c>
      <c r="M1577" s="88" t="n">
        <v>8</v>
      </c>
      <c r="N1577" s="89" t="n">
        <v>3.26</v>
      </c>
      <c r="O1577" s="89">
        <f>ROUND(M1577*N1577,2)</f>
        <v/>
      </c>
      <c r="P1577" s="92">
        <f>IF($O1577="","",L1577-O1577-(L1577*IF(L1577&lt;=79.99,20%,14%)+IF(L1577&lt;=79.99,4,IF(L1577&lt;=99.99,16,IF(L1577&lt;=199.99,20,IF(L1577&lt;=499.99,26,28)))))-L1577*1.3%-L1577*6%-(L1577-O1577)*9.25%-L1577*3%-L1577*3%-1)</f>
        <v/>
      </c>
      <c r="Q1577" s="67" t="n">
        <v>0.485</v>
      </c>
      <c r="R1577" s="60" t="n">
        <v>490987084534129</v>
      </c>
      <c r="S1577" s="68" t="n">
        <v>46248</v>
      </c>
      <c r="T1577" s="68" t="n">
        <v>46249</v>
      </c>
      <c r="U1577" s="60" t="n">
        <v>101220</v>
      </c>
      <c r="V1577" t="inlineStr">
        <is>
          <t>214802</t>
        </is>
      </c>
      <c r="W1577" t="inlineStr">
        <is>
          <t>SKU do de-para · custo do KIT 214852 (8× 214802)</t>
        </is>
      </c>
      <c r="X1577" t="n">
        <v>2</v>
      </c>
      <c r="Y1577" t="inlineStr">
        <is>
          <t>⚠ VOLUME: anúncio 500ml vs Olist 550ml</t>
        </is>
      </c>
    </row>
    <row r="1578" ht="18" customHeight="1">
      <c r="A1578" s="54" t="inlineStr">
        <is>
          <t>Oliverhome</t>
        </is>
      </c>
      <c r="B1578" s="54" t="inlineStr">
        <is>
          <t>Pote de Vidro Hermético com Tampa de Bambu Porta Mantimentos Temperos Cereais Grãos Massas</t>
        </is>
      </c>
      <c r="C1578" s="54" t="inlineStr">
        <is>
          <t>8 Unidades,500ml</t>
        </is>
      </c>
      <c r="D1578" s="54" t="inlineStr">
        <is>
          <t>Kit 8 potes 500ml</t>
        </is>
      </c>
      <c r="E1578" s="54" t="n">
        <v>50512678791</v>
      </c>
      <c r="F1578" s="54" t="n">
        <v>381101719750</v>
      </c>
      <c r="G1578" s="54" t="inlineStr">
        <is>
          <t>NORMAL</t>
        </is>
      </c>
      <c r="H1578" s="86" t="n">
        <v>199.9</v>
      </c>
      <c r="I1578" s="86" t="n">
        <v>102.89</v>
      </c>
      <c r="J1578" s="56" t="inlineStr">
        <is>
          <t>SIM</t>
        </is>
      </c>
      <c r="K1578" s="86" t="n">
        <v>102.89</v>
      </c>
      <c r="L1578" s="87" t="n">
        <v>102.89</v>
      </c>
      <c r="M1578" s="88" t="n">
        <v>8</v>
      </c>
      <c r="N1578" s="89" t="n">
        <v>3.26</v>
      </c>
      <c r="O1578" s="89">
        <f>ROUND(M1578*N1578,2)</f>
        <v/>
      </c>
      <c r="P1578" s="90">
        <f>IF($O1578="","",L1578-O1578-(L1578*IF(L1578&lt;=79.99,20%,14%)+IF(L1578&lt;=79.99,4,IF(L1578&lt;=99.99,16,IF(L1578&lt;=199.99,20,IF(L1578&lt;=499.99,26,28)))))-L1578*1.3%-L1578*6%-(L1578-O1578)*9.25%-L1578*3%-L1578*3%-1)</f>
        <v/>
      </c>
      <c r="Q1578" s="58" t="n">
        <v>0.485</v>
      </c>
      <c r="R1578" s="54" t="n">
        <v>490987084534129</v>
      </c>
      <c r="S1578" s="59" t="n">
        <v>46248</v>
      </c>
      <c r="T1578" s="59" t="n">
        <v>46249</v>
      </c>
      <c r="U1578" s="54" t="n">
        <v>101220</v>
      </c>
      <c r="V1578" t="inlineStr">
        <is>
          <t>214802</t>
        </is>
      </c>
      <c r="W1578" t="inlineStr">
        <is>
          <t>SKU do de-para · custo do KIT 214852 (8× 214802)</t>
        </is>
      </c>
      <c r="X1578" t="n">
        <v>2</v>
      </c>
      <c r="Y1578" t="inlineStr">
        <is>
          <t>⚠ VOLUME: anúncio 500ml vs Olist 550ml</t>
        </is>
      </c>
    </row>
    <row r="1579" ht="18" customHeight="1">
      <c r="A1579" s="60" t="inlineStr">
        <is>
          <t>Oliverhome</t>
        </is>
      </c>
      <c r="B1579" s="60" t="inlineStr">
        <is>
          <t>Pote Hermético 300 ml de Vidro Tampa Bambu Organizador Cozinha Mantimentos Temperos Grãos Cereais</t>
        </is>
      </c>
      <c r="C1579" s="60" t="inlineStr">
        <is>
          <t>10 Unidades</t>
        </is>
      </c>
      <c r="D1579" s="60" t="inlineStr">
        <is>
          <t>Kit 10 Potes 300ml</t>
        </is>
      </c>
      <c r="E1579" s="60" t="n">
        <v>47162707058</v>
      </c>
      <c r="F1579" s="60" t="n">
        <v>426101589839</v>
      </c>
      <c r="G1579" s="60" t="inlineStr">
        <is>
          <t>NORMAL</t>
        </is>
      </c>
      <c r="H1579" s="91" t="n">
        <v>169.9</v>
      </c>
      <c r="I1579" s="91" t="n">
        <v>86.89</v>
      </c>
      <c r="J1579" s="65" t="inlineStr">
        <is>
          <t>SIM</t>
        </is>
      </c>
      <c r="K1579" s="91" t="n">
        <v>86.89</v>
      </c>
      <c r="L1579" s="87" t="n">
        <v>86.89</v>
      </c>
      <c r="M1579" s="88" t="n">
        <v>10</v>
      </c>
      <c r="N1579" s="89" t="n">
        <v>2.5</v>
      </c>
      <c r="O1579" s="89">
        <f>ROUND(M1579*N1579,2)</f>
        <v/>
      </c>
      <c r="P1579" s="92">
        <f>IF($O1579="","",L1579-O1579-(L1579*IF(L1579&lt;=79.99,20%,14%)+IF(L1579&lt;=79.99,4,IF(L1579&lt;=99.99,16,IF(L1579&lt;=199.99,20,IF(L1579&lt;=499.99,26,28)))))-L1579*1.3%-L1579*6%-(L1579-O1579)*9.25%-L1579*3%-L1579*3%-1)</f>
        <v/>
      </c>
      <c r="Q1579" s="67" t="n">
        <v>0.489</v>
      </c>
      <c r="R1579" s="60" t="n">
        <v>490987084534129</v>
      </c>
      <c r="S1579" s="68" t="n">
        <v>46248</v>
      </c>
      <c r="T1579" s="68" t="n">
        <v>46249</v>
      </c>
      <c r="U1579" s="60" t="n">
        <v>101220</v>
      </c>
      <c r="V1579" t="inlineStr">
        <is>
          <t>214798</t>
        </is>
      </c>
      <c r="W1579" t="inlineStr">
        <is>
          <t>venda casada (40 pedidos) · custo do KIT 214856 (10× 214798)</t>
        </is>
      </c>
      <c r="X1579" t="n">
        <v>40</v>
      </c>
      <c r="Y1579" t="inlineStr">
        <is>
          <t>ok</t>
        </is>
      </c>
    </row>
    <row r="1580" ht="18" customHeight="1">
      <c r="A1580" s="54" t="inlineStr">
        <is>
          <t>Oliverhome</t>
        </is>
      </c>
      <c r="B1580" s="54" t="inlineStr">
        <is>
          <t>Pote Hermético 300 ml de Vidro Tampa Bambu Organizador Cozinha Mantimentos Temperos Grãos Cereais</t>
        </is>
      </c>
      <c r="C1580" s="54" t="inlineStr">
        <is>
          <t>4 Unidades</t>
        </is>
      </c>
      <c r="D1580" s="54" t="inlineStr">
        <is>
          <t>Kit 4 Potes 300ml</t>
        </is>
      </c>
      <c r="E1580" s="54" t="n">
        <v>47162707058</v>
      </c>
      <c r="F1580" s="54" t="n">
        <v>426101589836</v>
      </c>
      <c r="G1580" s="54" t="inlineStr">
        <is>
          <t>NORMAL</t>
        </is>
      </c>
      <c r="H1580" s="86" t="n">
        <v>109.9</v>
      </c>
      <c r="I1580" s="86" t="n">
        <v>38.89</v>
      </c>
      <c r="J1580" s="56" t="inlineStr">
        <is>
          <t>SIM</t>
        </is>
      </c>
      <c r="K1580" s="86" t="n">
        <v>38.89</v>
      </c>
      <c r="L1580" s="87" t="n">
        <v>39.89</v>
      </c>
      <c r="M1580" s="88" t="n">
        <v>4</v>
      </c>
      <c r="N1580" s="89" t="n">
        <v>2.5</v>
      </c>
      <c r="O1580" s="89">
        <f>ROUND(M1580*N1580,2)</f>
        <v/>
      </c>
      <c r="P1580" s="90">
        <f>IF($O1580="","",L1580-O1580-(L1580*IF(L1580&lt;=79.99,20%,14%)+IF(L1580&lt;=79.99,4,IF(L1580&lt;=99.99,16,IF(L1580&lt;=199.99,20,IF(L1580&lt;=499.99,26,28)))))-L1580*1.3%-L1580*6%-(L1580-O1580)*9.25%-L1580*3%-L1580*3%-1)</f>
        <v/>
      </c>
      <c r="Q1580" s="58" t="n">
        <v>0.637</v>
      </c>
      <c r="R1580" s="54" t="n">
        <v>490987084534129</v>
      </c>
      <c r="S1580" s="59" t="n">
        <v>46248</v>
      </c>
      <c r="T1580" s="59" t="n">
        <v>46249</v>
      </c>
      <c r="U1580" s="54" t="n">
        <v>101220</v>
      </c>
      <c r="V1580" t="inlineStr">
        <is>
          <t>214798</t>
        </is>
      </c>
      <c r="W1580" t="inlineStr">
        <is>
          <t>venda casada (11 pedidos) · custo do KIT 214814 (4× 214798)</t>
        </is>
      </c>
      <c r="X1580" t="n">
        <v>11</v>
      </c>
      <c r="Y1580" t="inlineStr">
        <is>
          <t>ok</t>
        </is>
      </c>
    </row>
    <row r="1581" ht="18" customHeight="1">
      <c r="A1581" s="60" t="inlineStr">
        <is>
          <t>Oliverhome</t>
        </is>
      </c>
      <c r="B1581" s="60" t="inlineStr">
        <is>
          <t>Pote Hermético 300 ml de Vidro Tampa Bambu Organizador Cozinha Mantimentos Temperos Grãos Cereais</t>
        </is>
      </c>
      <c r="C1581" s="60" t="inlineStr">
        <is>
          <t>6 Unidades</t>
        </is>
      </c>
      <c r="D1581" s="60" t="inlineStr">
        <is>
          <t>Kit 6 Potes 300ml</t>
        </is>
      </c>
      <c r="E1581" s="60" t="n">
        <v>47162707058</v>
      </c>
      <c r="F1581" s="60" t="n">
        <v>426101589837</v>
      </c>
      <c r="G1581" s="60" t="inlineStr">
        <is>
          <t>NORMAL</t>
        </is>
      </c>
      <c r="H1581" s="91" t="n">
        <v>119.9</v>
      </c>
      <c r="I1581" s="91" t="n">
        <v>48.89</v>
      </c>
      <c r="J1581" s="65" t="inlineStr">
        <is>
          <t>SIM</t>
        </is>
      </c>
      <c r="K1581" s="91" t="n">
        <v>48.89</v>
      </c>
      <c r="L1581" s="87" t="n">
        <v>48.89</v>
      </c>
      <c r="M1581" s="88" t="n">
        <v>6</v>
      </c>
      <c r="N1581" s="89" t="n">
        <v>2.5</v>
      </c>
      <c r="O1581" s="89">
        <f>ROUND(M1581*N1581,2)</f>
        <v/>
      </c>
      <c r="P1581" s="92">
        <f>IF($O1581="","",L1581-O1581-(L1581*IF(L1581&lt;=79.99,20%,14%)+IF(L1581&lt;=79.99,4,IF(L1581&lt;=99.99,16,IF(L1581&lt;=199.99,20,IF(L1581&lt;=499.99,26,28)))))-L1581*1.3%-L1581*6%-(L1581-O1581)*9.25%-L1581*3%-L1581*3%-1)</f>
        <v/>
      </c>
      <c r="Q1581" s="67" t="n">
        <v>0.592</v>
      </c>
      <c r="R1581" s="60" t="n">
        <v>490987084534129</v>
      </c>
      <c r="S1581" s="68" t="n">
        <v>46248</v>
      </c>
      <c r="T1581" s="68" t="n">
        <v>46249</v>
      </c>
      <c r="U1581" s="60" t="n">
        <v>101220</v>
      </c>
      <c r="V1581" t="inlineStr">
        <is>
          <t>214798</t>
        </is>
      </c>
      <c r="W1581" t="inlineStr">
        <is>
          <t>venda casada (62 pedidos) · custo do KIT 214815 (6× 214798)</t>
        </is>
      </c>
      <c r="X1581" t="n">
        <v>62</v>
      </c>
      <c r="Y1581" t="inlineStr">
        <is>
          <t>ok</t>
        </is>
      </c>
    </row>
    <row r="1582" ht="18" customHeight="1">
      <c r="A1582" s="54" t="inlineStr">
        <is>
          <t>Oliverhome</t>
        </is>
      </c>
      <c r="B1582" s="54" t="inlineStr">
        <is>
          <t>Pote Hermético 300 ml de Vidro Tampa Bambu Organizador Cozinha Mantimentos Temperos Grãos Cereais</t>
        </is>
      </c>
      <c r="C1582" s="54" t="inlineStr">
        <is>
          <t>8 Unidades</t>
        </is>
      </c>
      <c r="D1582" s="54" t="inlineStr">
        <is>
          <t>Kit 8 Potes 300ml</t>
        </is>
      </c>
      <c r="E1582" s="54" t="n">
        <v>47162707058</v>
      </c>
      <c r="F1582" s="54" t="n">
        <v>426101589838</v>
      </c>
      <c r="G1582" s="54" t="inlineStr">
        <is>
          <t>NORMAL</t>
        </is>
      </c>
      <c r="H1582" s="86" t="n">
        <v>149.9</v>
      </c>
      <c r="I1582" s="86" t="n">
        <v>75.89</v>
      </c>
      <c r="J1582" s="56" t="inlineStr">
        <is>
          <t>SIM</t>
        </is>
      </c>
      <c r="K1582" s="86" t="n">
        <v>75.89</v>
      </c>
      <c r="L1582" s="87" t="n">
        <v>75.89</v>
      </c>
      <c r="M1582" s="88" t="n">
        <v>8</v>
      </c>
      <c r="N1582" s="89" t="n">
        <v>2.5</v>
      </c>
      <c r="O1582" s="89">
        <f>ROUND(M1582*N1582,2)</f>
        <v/>
      </c>
      <c r="P1582" s="90">
        <f>IF($O1582="","",L1582-O1582-(L1582*IF(L1582&lt;=79.99,20%,14%)+IF(L1582&lt;=79.99,4,IF(L1582&lt;=99.99,16,IF(L1582&lt;=199.99,20,IF(L1582&lt;=499.99,26,28)))))-L1582*1.3%-L1582*6%-(L1582-O1582)*9.25%-L1582*3%-L1582*3%-1)</f>
        <v/>
      </c>
      <c r="Q1582" s="58" t="n">
        <v>0.494</v>
      </c>
      <c r="R1582" s="54" t="n">
        <v>490987084534129</v>
      </c>
      <c r="S1582" s="59" t="n">
        <v>46248</v>
      </c>
      <c r="T1582" s="59" t="n">
        <v>46249</v>
      </c>
      <c r="U1582" s="54" t="n">
        <v>101220</v>
      </c>
      <c r="V1582" t="inlineStr">
        <is>
          <t>214798</t>
        </is>
      </c>
      <c r="W1582" t="inlineStr">
        <is>
          <t>venda casada (5 pedidos) · custo do KIT 214848 (8× 214798)</t>
        </is>
      </c>
      <c r="X1582" t="n">
        <v>5</v>
      </c>
      <c r="Y1582" t="inlineStr">
        <is>
          <t>ok</t>
        </is>
      </c>
    </row>
    <row r="1583" ht="18" customHeight="1">
      <c r="A1583" s="60" t="inlineStr">
        <is>
          <t>Oliverhome</t>
        </is>
      </c>
      <c r="B1583" s="60" t="inlineStr">
        <is>
          <t>Pote Hermético de Vidro 200 ml Tampa Bambu Organizador Cozinha Mantimentos Temperos Grãos Cereais</t>
        </is>
      </c>
      <c r="C1583" s="60" t="inlineStr">
        <is>
          <t>10 Unidades</t>
        </is>
      </c>
      <c r="D1583" s="60" t="inlineStr">
        <is>
          <t>Kit 10 potes 200ml</t>
        </is>
      </c>
      <c r="E1583" s="60" t="n">
        <v>55112678221</v>
      </c>
      <c r="F1583" s="60" t="n">
        <v>316102143145</v>
      </c>
      <c r="G1583" s="60" t="inlineStr">
        <is>
          <t>NORMAL</t>
        </is>
      </c>
      <c r="H1583" s="91" t="n">
        <v>179.9</v>
      </c>
      <c r="I1583" s="91" t="n">
        <v>84.90000000000001</v>
      </c>
      <c r="J1583" s="65" t="inlineStr">
        <is>
          <t>SIM</t>
        </is>
      </c>
      <c r="K1583" s="91" t="n">
        <v>84.90000000000001</v>
      </c>
      <c r="L1583" s="87" t="n">
        <v>84.90000000000001</v>
      </c>
      <c r="M1583" s="88" t="n">
        <v>10</v>
      </c>
      <c r="N1583" s="89" t="n">
        <v>2.13</v>
      </c>
      <c r="O1583" s="89">
        <f>ROUND(M1583*N1583,2)</f>
        <v/>
      </c>
      <c r="P1583" s="92">
        <f>IF($O1583="","",L1583-O1583-(L1583*IF(L1583&lt;=79.99,20%,14%)+IF(L1583&lt;=79.99,4,IF(L1583&lt;=99.99,16,IF(L1583&lt;=199.99,20,IF(L1583&lt;=499.99,26,28)))))-L1583*1.3%-L1583*6%-(L1583-O1583)*9.25%-L1583*3%-L1583*3%-1)</f>
        <v/>
      </c>
      <c r="Q1583" s="67" t="n">
        <v>0.528</v>
      </c>
      <c r="R1583" s="60" t="inlineStr">
        <is>
          <t>478840979931317, 489574396802176</t>
        </is>
      </c>
      <c r="S1583" s="68" t="n">
        <v>46240.52083333334</v>
      </c>
      <c r="T1583" s="68" t="n">
        <v>46248.99930555555</v>
      </c>
      <c r="U1583" s="60" t="n">
        <v>101220</v>
      </c>
      <c r="V1583" t="inlineStr">
        <is>
          <t>214797</t>
        </is>
      </c>
      <c r="W1583" t="inlineStr">
        <is>
          <t>venda casada (6 pedidos) · custo do KIT 214855 (10× 214797)</t>
        </is>
      </c>
      <c r="X1583" t="n">
        <v>6</v>
      </c>
      <c r="Y1583" t="inlineStr">
        <is>
          <t>ok</t>
        </is>
      </c>
    </row>
    <row r="1584" ht="18" customHeight="1">
      <c r="A1584" s="54" t="inlineStr">
        <is>
          <t>Oliverhome</t>
        </is>
      </c>
      <c r="B1584" s="54" t="inlineStr">
        <is>
          <t>Pote Hermético de Vidro 200 ml Tampa Bambu Organizador Cozinha Mantimentos Temperos Grãos Cereais</t>
        </is>
      </c>
      <c r="C1584" s="54" t="inlineStr">
        <is>
          <t>4 Unidades</t>
        </is>
      </c>
      <c r="D1584" s="54" t="inlineStr">
        <is>
          <t>Kit 4 potes 200ml</t>
        </is>
      </c>
      <c r="E1584" s="54" t="n">
        <v>55112678221</v>
      </c>
      <c r="F1584" s="54" t="n">
        <v>316102143142</v>
      </c>
      <c r="G1584" s="54" t="inlineStr">
        <is>
          <t>NORMAL</t>
        </is>
      </c>
      <c r="H1584" s="86" t="n">
        <v>79.90000000000001</v>
      </c>
      <c r="I1584" s="86" t="n">
        <v>35.9</v>
      </c>
      <c r="J1584" s="56" t="inlineStr">
        <is>
          <t>SIM</t>
        </is>
      </c>
      <c r="K1584" s="86" t="n">
        <v>35.9</v>
      </c>
      <c r="L1584" s="87" t="n">
        <v>35.9</v>
      </c>
      <c r="M1584" s="88" t="n">
        <v>4</v>
      </c>
      <c r="N1584" s="89" t="n">
        <v>2.13</v>
      </c>
      <c r="O1584" s="89">
        <f>ROUND(M1584*N1584,2)</f>
        <v/>
      </c>
      <c r="P1584" s="90">
        <f>IF($O1584="","",L1584-O1584-(L1584*IF(L1584&lt;=79.99,20%,14%)+IF(L1584&lt;=79.99,4,IF(L1584&lt;=99.99,16,IF(L1584&lt;=199.99,20,IF(L1584&lt;=499.99,26,28)))))-L1584*1.3%-L1584*6%-(L1584-O1584)*9.25%-L1584*3%-L1584*3%-1)</f>
        <v/>
      </c>
      <c r="Q1584" s="58" t="n">
        <v>0.551</v>
      </c>
      <c r="R1584" s="54" t="inlineStr">
        <is>
          <t>478840979931317, 489574396802176</t>
        </is>
      </c>
      <c r="S1584" s="59" t="n">
        <v>46240.52083333334</v>
      </c>
      <c r="T1584" s="59" t="n">
        <v>46248.99930555555</v>
      </c>
      <c r="U1584" s="54" t="n">
        <v>101220</v>
      </c>
      <c r="V1584" t="inlineStr">
        <is>
          <t>214797</t>
        </is>
      </c>
      <c r="W1584" t="inlineStr">
        <is>
          <t>venda casada (2 pedidos) · custo do KIT 214808 (4× 214797)</t>
        </is>
      </c>
      <c r="X1584" t="n">
        <v>2</v>
      </c>
      <c r="Y1584" t="inlineStr">
        <is>
          <t>ok</t>
        </is>
      </c>
    </row>
    <row r="1585" ht="18" customHeight="1">
      <c r="A1585" s="60" t="inlineStr">
        <is>
          <t>Oliverhome</t>
        </is>
      </c>
      <c r="B1585" s="60" t="inlineStr">
        <is>
          <t>Pote Hermético de Vidro 200 ml Tampa Bambu Organizador Cozinha Mantimentos Temperos Grãos Cereais</t>
        </is>
      </c>
      <c r="C1585" s="60" t="inlineStr">
        <is>
          <t>6 Unidades</t>
        </is>
      </c>
      <c r="D1585" s="60" t="inlineStr">
        <is>
          <t>Kit 6 potes 200ml</t>
        </is>
      </c>
      <c r="E1585" s="60" t="n">
        <v>55112678221</v>
      </c>
      <c r="F1585" s="60" t="n">
        <v>316102143143</v>
      </c>
      <c r="G1585" s="60" t="inlineStr">
        <is>
          <t>NORMAL</t>
        </is>
      </c>
      <c r="H1585" s="91" t="n">
        <v>92.90000000000001</v>
      </c>
      <c r="I1585" s="91" t="n">
        <v>47.9</v>
      </c>
      <c r="J1585" s="65" t="inlineStr">
        <is>
          <t>SIM</t>
        </is>
      </c>
      <c r="K1585" s="91" t="n">
        <v>47.9</v>
      </c>
      <c r="L1585" s="87" t="n">
        <v>47.9</v>
      </c>
      <c r="M1585" s="88" t="n">
        <v>6</v>
      </c>
      <c r="N1585" s="89" t="n">
        <v>2.13</v>
      </c>
      <c r="O1585" s="89">
        <f>ROUND(M1585*N1585,2)</f>
        <v/>
      </c>
      <c r="P1585" s="92">
        <f>IF($O1585="","",L1585-O1585-(L1585*IF(L1585&lt;=79.99,20%,14%)+IF(L1585&lt;=79.99,4,IF(L1585&lt;=99.99,16,IF(L1585&lt;=199.99,20,IF(L1585&lt;=499.99,26,28)))))-L1585*1.3%-L1585*6%-(L1585-O1585)*9.25%-L1585*3%-L1585*3%-1)</f>
        <v/>
      </c>
      <c r="Q1585" s="67" t="n">
        <v>0.484</v>
      </c>
      <c r="R1585" s="60" t="inlineStr">
        <is>
          <t>478840979931317, 489574396802176</t>
        </is>
      </c>
      <c r="S1585" s="68" t="n">
        <v>46240.52083333334</v>
      </c>
      <c r="T1585" s="68" t="n">
        <v>46248.99930555555</v>
      </c>
      <c r="U1585" s="60" t="n">
        <v>101220</v>
      </c>
      <c r="V1585" t="inlineStr">
        <is>
          <t>214797</t>
        </is>
      </c>
      <c r="W1585" t="inlineStr">
        <is>
          <t>venda casada (5 pedidos) · custo do KIT 214809 (6× 214797)</t>
        </is>
      </c>
      <c r="X1585" t="n">
        <v>5</v>
      </c>
      <c r="Y1585" t="inlineStr">
        <is>
          <t>ok</t>
        </is>
      </c>
    </row>
    <row r="1586" ht="18" customHeight="1">
      <c r="A1586" s="54" t="inlineStr">
        <is>
          <t>Oliverhome</t>
        </is>
      </c>
      <c r="B1586" s="54" t="inlineStr">
        <is>
          <t>Pote Hermético de Vidro 200 ml Tampa Bambu Organizador Cozinha Mantimentos Temperos Grãos Cereais</t>
        </is>
      </c>
      <c r="C1586" s="54" t="inlineStr">
        <is>
          <t>8 Unidades</t>
        </is>
      </c>
      <c r="D1586" s="54" t="inlineStr">
        <is>
          <t>Kit 8 potes 200ml</t>
        </is>
      </c>
      <c r="E1586" s="54" t="n">
        <v>55112678221</v>
      </c>
      <c r="F1586" s="54" t="n">
        <v>316102143144</v>
      </c>
      <c r="G1586" s="54" t="inlineStr">
        <is>
          <t>NORMAL</t>
        </is>
      </c>
      <c r="H1586" s="86" t="n">
        <v>119.9</v>
      </c>
      <c r="I1586" s="86" t="n">
        <v>63.9</v>
      </c>
      <c r="J1586" s="56" t="inlineStr">
        <is>
          <t>SIM</t>
        </is>
      </c>
      <c r="K1586" s="86" t="n">
        <v>63.9</v>
      </c>
      <c r="L1586" s="87" t="n">
        <v>63.9</v>
      </c>
      <c r="M1586" s="88" t="n">
        <v>8</v>
      </c>
      <c r="N1586" s="89" t="n">
        <v>2.13</v>
      </c>
      <c r="O1586" s="89">
        <f>ROUND(M1586*N1586,2)</f>
        <v/>
      </c>
      <c r="P1586" s="90">
        <f>IF($O1586="","",L1586-O1586-(L1586*IF(L1586&lt;=79.99,20%,14%)+IF(L1586&lt;=79.99,4,IF(L1586&lt;=99.99,16,IF(L1586&lt;=199.99,20,IF(L1586&lt;=499.99,26,28)))))-L1586*1.3%-L1586*6%-(L1586-O1586)*9.25%-L1586*3%-L1586*3%-1)</f>
        <v/>
      </c>
      <c r="Q1586" s="58" t="n">
        <v>0.467</v>
      </c>
      <c r="R1586" s="54" t="inlineStr">
        <is>
          <t>478840979931317, 489574396802176</t>
        </is>
      </c>
      <c r="S1586" s="59" t="n">
        <v>46240.52083333334</v>
      </c>
      <c r="T1586" s="59" t="n">
        <v>46248.99930555555</v>
      </c>
      <c r="U1586" s="54" t="n">
        <v>101220</v>
      </c>
      <c r="V1586" t="inlineStr">
        <is>
          <t>214797</t>
        </is>
      </c>
      <c r="W1586" t="inlineStr">
        <is>
          <t>herdado do anúncio (escalado 10→8 un) · custo do KIT 214847 (8× 214797)</t>
        </is>
      </c>
      <c r="Y1586" t="inlineStr">
        <is>
          <t>ok</t>
        </is>
      </c>
    </row>
    <row r="1587" ht="18" customHeight="1">
      <c r="A1587" s="60" t="inlineStr">
        <is>
          <t>Oliverhome</t>
        </is>
      </c>
      <c r="B1587" s="60" t="inlineStr">
        <is>
          <t>Pote Hermético de Vidro 2000ml Tampa Bambu Organizador Cozinha Mantimentos Temperos Grãos Cereais</t>
        </is>
      </c>
      <c r="C1587" s="60" t="inlineStr">
        <is>
          <t>10 Unidades</t>
        </is>
      </c>
      <c r="D1587" s="60" t="inlineStr">
        <is>
          <t>Kit 10 potes 2000ml</t>
        </is>
      </c>
      <c r="E1587" s="60" t="n">
        <v>40631942308</v>
      </c>
      <c r="F1587" s="60" t="n">
        <v>376101673357</v>
      </c>
      <c r="G1587" s="60" t="inlineStr">
        <is>
          <t>NORMAL</t>
        </is>
      </c>
      <c r="H1587" s="91" t="n">
        <v>599.9</v>
      </c>
      <c r="I1587" s="91" t="n">
        <v>293.89</v>
      </c>
      <c r="J1587" s="65" t="inlineStr">
        <is>
          <t>SIM</t>
        </is>
      </c>
      <c r="K1587" s="91" t="n">
        <v>293.89</v>
      </c>
      <c r="L1587" s="87" t="n">
        <v>293.89</v>
      </c>
      <c r="P1587" s="92">
        <f>IF($O1587="","",L1587-O1587-(L1587*IF(L1587&lt;=79.99,20%,14%)+IF(L1587&lt;=79.99,4,IF(L1587&lt;=99.99,16,IF(L1587&lt;=199.99,20,IF(L1587&lt;=499.99,26,28)))))-L1587*1.3%-L1587*6%-(L1587-O1587)*9.25%-L1587*3%-L1587*3%-1)</f>
        <v/>
      </c>
      <c r="Q1587" s="67" t="n">
        <v>0.51</v>
      </c>
      <c r="R1587" s="60" t="inlineStr">
        <is>
          <t>478840979931317, 490987084534129</t>
        </is>
      </c>
      <c r="S1587" s="68" t="n">
        <v>46248</v>
      </c>
      <c r="T1587" s="68" t="n">
        <v>46248.99930555555</v>
      </c>
      <c r="U1587" s="60" t="n">
        <v>101220</v>
      </c>
      <c r="W1587" t="inlineStr">
        <is>
          <t>sem correspondência</t>
        </is>
      </c>
      <c r="Y1587" t="inlineStr"/>
    </row>
    <row r="1588" ht="18" customHeight="1">
      <c r="A1588" s="54" t="inlineStr">
        <is>
          <t>Oliverhome</t>
        </is>
      </c>
      <c r="B1588" s="54" t="inlineStr">
        <is>
          <t>Pote Hermético de Vidro 2000ml Tampa Bambu Organizador Cozinha Mantimentos Temperos Grãos Cereais</t>
        </is>
      </c>
      <c r="C1588" s="54" t="inlineStr">
        <is>
          <t>1Unidade</t>
        </is>
      </c>
      <c r="D1588" s="54" t="inlineStr">
        <is>
          <t>1 pote 2000ml</t>
        </is>
      </c>
      <c r="E1588" s="54" t="n">
        <v>40631942308</v>
      </c>
      <c r="F1588" s="54" t="n">
        <v>376101673353</v>
      </c>
      <c r="G1588" s="54" t="inlineStr">
        <is>
          <t>NORMAL</t>
        </is>
      </c>
      <c r="H1588" s="86" t="n">
        <v>159.9</v>
      </c>
      <c r="I1588" s="86" t="n">
        <v>49.9</v>
      </c>
      <c r="J1588" s="56" t="inlineStr">
        <is>
          <t>SIM</t>
        </is>
      </c>
      <c r="K1588" s="86" t="n">
        <v>49.9</v>
      </c>
      <c r="L1588" s="87" t="n">
        <v>49.9</v>
      </c>
      <c r="P1588" s="90">
        <f>IF($O1588="","",L1588-O1588-(L1588*IF(L1588&lt;=79.99,20%,14%)+IF(L1588&lt;=79.99,4,IF(L1588&lt;=99.99,16,IF(L1588&lt;=199.99,20,IF(L1588&lt;=499.99,26,28)))))-L1588*1.3%-L1588*6%-(L1588-O1588)*9.25%-L1588*3%-L1588*3%-1)</f>
        <v/>
      </c>
      <c r="Q1588" s="58" t="n">
        <v>0.6879999999999999</v>
      </c>
      <c r="R1588" s="54" t="inlineStr">
        <is>
          <t>478840979931317, 490987084534129</t>
        </is>
      </c>
      <c r="S1588" s="59" t="n">
        <v>46248</v>
      </c>
      <c r="T1588" s="59" t="n">
        <v>46248.99930555555</v>
      </c>
      <c r="U1588" s="54" t="n">
        <v>101220</v>
      </c>
      <c r="W1588" t="inlineStr">
        <is>
          <t>sem correspondência</t>
        </is>
      </c>
      <c r="Y1588" t="inlineStr"/>
    </row>
    <row r="1589" ht="18" customHeight="1">
      <c r="A1589" s="60" t="inlineStr">
        <is>
          <t>Oliverhome</t>
        </is>
      </c>
      <c r="B1589" s="60" t="inlineStr">
        <is>
          <t>Pote Hermético de Vidro 2000ml Tampa Bambu Organizador Cozinha Mantimentos Temperos Grãos Cereais</t>
        </is>
      </c>
      <c r="C1589" s="60" t="inlineStr">
        <is>
          <t>4 Unidades</t>
        </is>
      </c>
      <c r="D1589" s="60" t="inlineStr">
        <is>
          <t>Kit 4 potes 2000ml</t>
        </is>
      </c>
      <c r="E1589" s="60" t="n">
        <v>40631942308</v>
      </c>
      <c r="F1589" s="60" t="n">
        <v>376101673354</v>
      </c>
      <c r="G1589" s="60" t="inlineStr">
        <is>
          <t>NORMAL</t>
        </is>
      </c>
      <c r="H1589" s="91" t="n">
        <v>249.9</v>
      </c>
      <c r="I1589" s="91" t="n">
        <v>124.89</v>
      </c>
      <c r="J1589" s="65" t="inlineStr">
        <is>
          <t>SIM</t>
        </is>
      </c>
      <c r="K1589" s="91" t="n">
        <v>124.89</v>
      </c>
      <c r="L1589" s="87" t="n">
        <v>124.89</v>
      </c>
      <c r="P1589" s="92">
        <f>IF($O1589="","",L1589-O1589-(L1589*IF(L1589&lt;=79.99,20%,14%)+IF(L1589&lt;=79.99,4,IF(L1589&lt;=99.99,16,IF(L1589&lt;=199.99,20,IF(L1589&lt;=499.99,26,28)))))-L1589*1.3%-L1589*6%-(L1589-O1589)*9.25%-L1589*3%-L1589*3%-1)</f>
        <v/>
      </c>
      <c r="Q1589" s="67" t="n">
        <v>0.5</v>
      </c>
      <c r="R1589" s="60" t="inlineStr">
        <is>
          <t>478840979931317, 490987084534129</t>
        </is>
      </c>
      <c r="S1589" s="68" t="n">
        <v>46248</v>
      </c>
      <c r="T1589" s="68" t="n">
        <v>46248.99930555555</v>
      </c>
      <c r="U1589" s="60" t="n">
        <v>101220</v>
      </c>
      <c r="W1589" t="inlineStr">
        <is>
          <t>sem correspondência</t>
        </is>
      </c>
      <c r="Y1589" t="inlineStr"/>
    </row>
    <row r="1590" ht="18" customHeight="1">
      <c r="A1590" s="54" t="inlineStr">
        <is>
          <t>Oliverhome</t>
        </is>
      </c>
      <c r="B1590" s="54" t="inlineStr">
        <is>
          <t>Pote Hermético de Vidro 2000ml Tampa Bambu Organizador Cozinha Mantimentos Temperos Grãos Cereais</t>
        </is>
      </c>
      <c r="C1590" s="54" t="inlineStr">
        <is>
          <t>6 Unidades</t>
        </is>
      </c>
      <c r="D1590" s="54" t="inlineStr">
        <is>
          <t>Kit 6 potes 2000ml</t>
        </is>
      </c>
      <c r="E1590" s="54" t="n">
        <v>40631942308</v>
      </c>
      <c r="F1590" s="54" t="n">
        <v>376101673355</v>
      </c>
      <c r="G1590" s="54" t="inlineStr">
        <is>
          <t>NORMAL</t>
        </is>
      </c>
      <c r="H1590" s="86" t="n">
        <v>369.9</v>
      </c>
      <c r="I1590" s="86" t="n">
        <v>180.89</v>
      </c>
      <c r="J1590" s="56" t="inlineStr">
        <is>
          <t>SIM</t>
        </is>
      </c>
      <c r="K1590" s="86" t="n">
        <v>180.89</v>
      </c>
      <c r="L1590" s="87" t="n">
        <v>180.89</v>
      </c>
      <c r="P1590" s="90">
        <f>IF($O1590="","",L1590-O1590-(L1590*IF(L1590&lt;=79.99,20%,14%)+IF(L1590&lt;=79.99,4,IF(L1590&lt;=99.99,16,IF(L1590&lt;=199.99,20,IF(L1590&lt;=499.99,26,28)))))-L1590*1.3%-L1590*6%-(L1590-O1590)*9.25%-L1590*3%-L1590*3%-1)</f>
        <v/>
      </c>
      <c r="Q1590" s="58" t="n">
        <v>0.511</v>
      </c>
      <c r="R1590" s="54" t="inlineStr">
        <is>
          <t>478840979931317, 490987084534129</t>
        </is>
      </c>
      <c r="S1590" s="59" t="n">
        <v>46248</v>
      </c>
      <c r="T1590" s="59" t="n">
        <v>46248.99930555555</v>
      </c>
      <c r="U1590" s="54" t="n">
        <v>101220</v>
      </c>
      <c r="W1590" t="inlineStr">
        <is>
          <t>sem correspondência</t>
        </is>
      </c>
      <c r="Y1590" t="inlineStr"/>
    </row>
    <row r="1591" ht="18" customHeight="1">
      <c r="A1591" s="60" t="inlineStr">
        <is>
          <t>Oliverhome</t>
        </is>
      </c>
      <c r="B1591" s="60" t="inlineStr">
        <is>
          <t>Pote Hermético de Vidro 2000ml Tampa Bambu Organizador Cozinha Mantimentos Temperos Grãos Cereais</t>
        </is>
      </c>
      <c r="C1591" s="60" t="inlineStr">
        <is>
          <t>8 Unidades</t>
        </is>
      </c>
      <c r="D1591" s="60" t="inlineStr">
        <is>
          <t>Kit 8 potes 2000ml</t>
        </is>
      </c>
      <c r="E1591" s="60" t="n">
        <v>40631942308</v>
      </c>
      <c r="F1591" s="60" t="n">
        <v>376101673356</v>
      </c>
      <c r="G1591" s="60" t="inlineStr">
        <is>
          <t>NORMAL</t>
        </is>
      </c>
      <c r="H1591" s="91" t="n">
        <v>459.9</v>
      </c>
      <c r="I1591" s="91" t="n">
        <v>236.89</v>
      </c>
      <c r="J1591" s="65" t="inlineStr">
        <is>
          <t>SIM</t>
        </is>
      </c>
      <c r="K1591" s="91" t="n">
        <v>236.89</v>
      </c>
      <c r="L1591" s="87" t="n">
        <v>236.89</v>
      </c>
      <c r="P1591" s="92">
        <f>IF($O1591="","",L1591-O1591-(L1591*IF(L1591&lt;=79.99,20%,14%)+IF(L1591&lt;=79.99,4,IF(L1591&lt;=99.99,16,IF(L1591&lt;=199.99,20,IF(L1591&lt;=499.99,26,28)))))-L1591*1.3%-L1591*6%-(L1591-O1591)*9.25%-L1591*3%-L1591*3%-1)</f>
        <v/>
      </c>
      <c r="Q1591" s="67" t="n">
        <v>0.485</v>
      </c>
      <c r="R1591" s="60" t="inlineStr">
        <is>
          <t>490987084534129, 478840979931317</t>
        </is>
      </c>
      <c r="S1591" s="68" t="n">
        <v>46248</v>
      </c>
      <c r="T1591" s="68" t="n">
        <v>46248.99930555555</v>
      </c>
      <c r="U1591" s="60" t="n">
        <v>101220</v>
      </c>
      <c r="W1591" t="inlineStr">
        <is>
          <t>sem correspondência</t>
        </is>
      </c>
      <c r="Y1591" t="inlineStr"/>
    </row>
    <row r="1592" ht="18" customHeight="1">
      <c r="A1592" s="54" t="inlineStr">
        <is>
          <t>Oliverhome</t>
        </is>
      </c>
      <c r="B1592" s="54" t="inlineStr">
        <is>
          <t>Pote Hermético de Vidro 500ml Tampa Bambu Organizador Cozinha Mantimentos Temperos Grãos Cereais</t>
        </is>
      </c>
      <c r="C1592" s="54" t="inlineStr">
        <is>
          <t>10 Unidades</t>
        </is>
      </c>
      <c r="D1592" s="54" t="inlineStr">
        <is>
          <t>Kit 10 potes 500ml</t>
        </is>
      </c>
      <c r="E1592" s="54" t="n">
        <v>47112710676</v>
      </c>
      <c r="F1592" s="54" t="n">
        <v>321101644637</v>
      </c>
      <c r="G1592" s="54" t="inlineStr">
        <is>
          <t>NORMAL</t>
        </is>
      </c>
      <c r="H1592" s="86" t="n">
        <v>239.9</v>
      </c>
      <c r="I1592" s="86" t="n">
        <v>123.89</v>
      </c>
      <c r="J1592" s="56" t="inlineStr">
        <is>
          <t>SIM</t>
        </is>
      </c>
      <c r="K1592" s="86" t="n">
        <v>123.89</v>
      </c>
      <c r="L1592" s="87" t="n">
        <v>123.89</v>
      </c>
      <c r="M1592" s="88" t="n">
        <v>10</v>
      </c>
      <c r="N1592" s="89" t="n">
        <v>3.26</v>
      </c>
      <c r="O1592" s="89">
        <f>ROUND(M1592*N1592,2)</f>
        <v/>
      </c>
      <c r="P1592" s="90">
        <f>IF($O1592="","",L1592-O1592-(L1592*IF(L1592&lt;=79.99,20%,14%)+IF(L1592&lt;=79.99,4,IF(L1592&lt;=99.99,16,IF(L1592&lt;=199.99,20,IF(L1592&lt;=499.99,26,28)))))-L1592*1.3%-L1592*6%-(L1592-O1592)*9.25%-L1592*3%-L1592*3%-1)</f>
        <v/>
      </c>
      <c r="Q1592" s="58" t="n">
        <v>0.484</v>
      </c>
      <c r="R1592" s="54" t="inlineStr">
        <is>
          <t>478840979931317, 490987084534129</t>
        </is>
      </c>
      <c r="S1592" s="59" t="n">
        <v>46248</v>
      </c>
      <c r="T1592" s="59" t="n">
        <v>46248.99930555555</v>
      </c>
      <c r="U1592" s="54" t="n">
        <v>101220</v>
      </c>
      <c r="V1592" t="inlineStr">
        <is>
          <t>214802</t>
        </is>
      </c>
      <c r="W1592" t="inlineStr">
        <is>
          <t>venda casada (1 pedido) · custo do KIT 214860 (10× 214802)</t>
        </is>
      </c>
      <c r="X1592" t="n">
        <v>1</v>
      </c>
      <c r="Y1592" t="inlineStr">
        <is>
          <t>⚠ VOLUME: anúncio 500ml vs Olist 550ml · evidência fraca (1 pedido)</t>
        </is>
      </c>
    </row>
    <row r="1593" ht="18" customHeight="1">
      <c r="A1593" s="60" t="inlineStr">
        <is>
          <t>Oliverhome</t>
        </is>
      </c>
      <c r="B1593" s="60" t="inlineStr">
        <is>
          <t>Pote Hermético de Vidro 500ml Tampa Bambu Organizador Cozinha Mantimentos Temperos Grãos Cereais</t>
        </is>
      </c>
      <c r="C1593" s="60" t="inlineStr">
        <is>
          <t>4 Unidades</t>
        </is>
      </c>
      <c r="D1593" s="60" t="inlineStr">
        <is>
          <t>Kit 4 potes 500ml</t>
        </is>
      </c>
      <c r="E1593" s="60" t="n">
        <v>47112710676</v>
      </c>
      <c r="F1593" s="60" t="n">
        <v>321101644634</v>
      </c>
      <c r="G1593" s="60" t="inlineStr">
        <is>
          <t>NORMAL</t>
        </is>
      </c>
      <c r="H1593" s="91" t="n">
        <v>129.9</v>
      </c>
      <c r="I1593" s="91" t="n">
        <v>59.89</v>
      </c>
      <c r="J1593" s="65" t="inlineStr">
        <is>
          <t>SIM</t>
        </is>
      </c>
      <c r="K1593" s="91" t="n">
        <v>59.89</v>
      </c>
      <c r="L1593" s="87" t="n">
        <v>59.89</v>
      </c>
      <c r="M1593" s="88" t="n">
        <v>4</v>
      </c>
      <c r="N1593" s="89" t="n">
        <v>3.26</v>
      </c>
      <c r="O1593" s="89">
        <f>ROUND(M1593*N1593,2)</f>
        <v/>
      </c>
      <c r="P1593" s="92">
        <f>IF($O1593="","",L1593-O1593-(L1593*IF(L1593&lt;=79.99,20%,14%)+IF(L1593&lt;=79.99,4,IF(L1593&lt;=99.99,16,IF(L1593&lt;=199.99,20,IF(L1593&lt;=499.99,26,28)))))-L1593*1.3%-L1593*6%-(L1593-O1593)*9.25%-L1593*3%-L1593*3%-1)</f>
        <v/>
      </c>
      <c r="Q1593" s="67" t="n">
        <v>0.539</v>
      </c>
      <c r="R1593" s="60" t="inlineStr">
        <is>
          <t>478840979931317, 490987084534129</t>
        </is>
      </c>
      <c r="S1593" s="68" t="n">
        <v>46248</v>
      </c>
      <c r="T1593" s="68" t="n">
        <v>46248.99930555555</v>
      </c>
      <c r="U1593" s="60" t="n">
        <v>101220</v>
      </c>
      <c r="V1593" t="inlineStr">
        <is>
          <t>214802</t>
        </is>
      </c>
      <c r="W1593" t="inlineStr">
        <is>
          <t>venda casada (6 pedidos) · custo do KIT 214838 (4× 214802)</t>
        </is>
      </c>
      <c r="X1593" t="n">
        <v>6</v>
      </c>
      <c r="Y1593" t="inlineStr">
        <is>
          <t>⚠ VOLUME: anúncio 500ml vs Olist 550ml</t>
        </is>
      </c>
    </row>
    <row r="1594" ht="18" customHeight="1">
      <c r="A1594" s="54" t="inlineStr">
        <is>
          <t>Oliverhome</t>
        </is>
      </c>
      <c r="B1594" s="54" t="inlineStr">
        <is>
          <t>Pote Hermético de Vidro 500ml Tampa Bambu Organizador Cozinha Mantimentos Temperos Grãos Cereais</t>
        </is>
      </c>
      <c r="C1594" s="54" t="inlineStr">
        <is>
          <t>6 Unidades</t>
        </is>
      </c>
      <c r="D1594" s="54" t="inlineStr">
        <is>
          <t>Kit 6 potes 500ml</t>
        </is>
      </c>
      <c r="E1594" s="54" t="n">
        <v>47112710676</v>
      </c>
      <c r="F1594" s="54" t="n">
        <v>321101644635</v>
      </c>
      <c r="G1594" s="54" t="inlineStr">
        <is>
          <t>NORMAL</t>
        </is>
      </c>
      <c r="H1594" s="86" t="n">
        <v>159.9</v>
      </c>
      <c r="I1594" s="86" t="n">
        <v>80.89</v>
      </c>
      <c r="J1594" s="56" t="inlineStr">
        <is>
          <t>SIM</t>
        </is>
      </c>
      <c r="K1594" s="86" t="n">
        <v>80.89</v>
      </c>
      <c r="L1594" s="87" t="n">
        <v>80.89</v>
      </c>
      <c r="M1594" s="88" t="n">
        <v>6</v>
      </c>
      <c r="N1594" s="89" t="n">
        <v>3.26</v>
      </c>
      <c r="O1594" s="89">
        <f>ROUND(M1594*N1594,2)</f>
        <v/>
      </c>
      <c r="P1594" s="90">
        <f>IF($O1594="","",L1594-O1594-(L1594*IF(L1594&lt;=79.99,20%,14%)+IF(L1594&lt;=79.99,4,IF(L1594&lt;=99.99,16,IF(L1594&lt;=199.99,20,IF(L1594&lt;=499.99,26,28)))))-L1594*1.3%-L1594*6%-(L1594-O1594)*9.25%-L1594*3%-L1594*3%-1)</f>
        <v/>
      </c>
      <c r="Q1594" s="58" t="n">
        <v>0.494</v>
      </c>
      <c r="R1594" s="54" t="inlineStr">
        <is>
          <t>478840979931317, 490987084534129</t>
        </is>
      </c>
      <c r="S1594" s="59" t="n">
        <v>46248</v>
      </c>
      <c r="T1594" s="59" t="n">
        <v>46248.99930555555</v>
      </c>
      <c r="U1594" s="54" t="n">
        <v>101220</v>
      </c>
      <c r="V1594" t="inlineStr">
        <is>
          <t>214802</t>
        </is>
      </c>
      <c r="W1594" t="inlineStr">
        <is>
          <t>venda casada (3 pedidos) · custo do KIT 214839 (6× 214802)</t>
        </is>
      </c>
      <c r="X1594" t="n">
        <v>3</v>
      </c>
      <c r="Y1594" t="inlineStr">
        <is>
          <t>⚠ VOLUME: anúncio 500ml vs Olist 550ml</t>
        </is>
      </c>
    </row>
    <row r="1595" ht="18" customHeight="1">
      <c r="A1595" s="60" t="inlineStr">
        <is>
          <t>Oliverhome</t>
        </is>
      </c>
      <c r="B1595" s="60" t="inlineStr">
        <is>
          <t>Pote Hermético de Vidro 500ml Tampa Bambu Organizador Cozinha Mantimentos Temperos Grãos Cereais</t>
        </is>
      </c>
      <c r="C1595" s="60" t="inlineStr">
        <is>
          <t>8 Unidades</t>
        </is>
      </c>
      <c r="D1595" s="60" t="inlineStr">
        <is>
          <t>Kit 8 potes 500ml</t>
        </is>
      </c>
      <c r="E1595" s="60" t="n">
        <v>47112710676</v>
      </c>
      <c r="F1595" s="60" t="n">
        <v>321101644636</v>
      </c>
      <c r="G1595" s="60" t="inlineStr">
        <is>
          <t>NORMAL</t>
        </is>
      </c>
      <c r="H1595" s="91" t="n">
        <v>209.9</v>
      </c>
      <c r="I1595" s="91" t="n">
        <v>102.89</v>
      </c>
      <c r="J1595" s="65" t="inlineStr">
        <is>
          <t>SIM</t>
        </is>
      </c>
      <c r="K1595" s="91" t="n">
        <v>102.89</v>
      </c>
      <c r="L1595" s="87" t="n">
        <v>102.89</v>
      </c>
      <c r="M1595" s="88" t="n">
        <v>8</v>
      </c>
      <c r="N1595" s="89" t="n">
        <v>3.26</v>
      </c>
      <c r="O1595" s="89">
        <f>ROUND(M1595*N1595,2)</f>
        <v/>
      </c>
      <c r="P1595" s="92">
        <f>IF($O1595="","",L1595-O1595-(L1595*IF(L1595&lt;=79.99,20%,14%)+IF(L1595&lt;=79.99,4,IF(L1595&lt;=99.99,16,IF(L1595&lt;=199.99,20,IF(L1595&lt;=499.99,26,28)))))-L1595*1.3%-L1595*6%-(L1595-O1595)*9.25%-L1595*3%-L1595*3%-1)</f>
        <v/>
      </c>
      <c r="Q1595" s="67" t="n">
        <v>0.51</v>
      </c>
      <c r="R1595" s="60" t="inlineStr">
        <is>
          <t>478840979931317, 490987084534129</t>
        </is>
      </c>
      <c r="S1595" s="68" t="n">
        <v>46248</v>
      </c>
      <c r="T1595" s="68" t="n">
        <v>46248.99930555555</v>
      </c>
      <c r="U1595" s="60" t="n">
        <v>101220</v>
      </c>
      <c r="V1595" t="inlineStr">
        <is>
          <t>214802</t>
        </is>
      </c>
      <c r="W1595" t="inlineStr">
        <is>
          <t>venda casada (2 pedidos) · custo do KIT 214852 (8× 214802)</t>
        </is>
      </c>
      <c r="X1595" t="n">
        <v>2</v>
      </c>
      <c r="Y1595" t="inlineStr">
        <is>
          <t>⚠ VOLUME: anúncio 500ml vs Olist 550ml</t>
        </is>
      </c>
    </row>
    <row r="1596" ht="18" customHeight="1">
      <c r="A1596" s="54" t="inlineStr">
        <is>
          <t>Oliverhome</t>
        </is>
      </c>
      <c r="B1596" s="54" t="inlineStr">
        <is>
          <t>Sanduicheira Elétrica e Grill Família 2 em 1 - Inox antiaderente - 750W Oliver Home</t>
        </is>
      </c>
      <c r="C1596" s="54" t="inlineStr">
        <is>
          <t>Branco,110V</t>
        </is>
      </c>
      <c r="D1596" s="54" t="inlineStr">
        <is>
          <t>SANDUICHEIRA-BRANCA-110V</t>
        </is>
      </c>
      <c r="E1596" s="54" t="n">
        <v>23998894588</v>
      </c>
      <c r="F1596" s="54" t="n">
        <v>169409070636</v>
      </c>
      <c r="G1596" s="54" t="inlineStr">
        <is>
          <t>NORMAL</t>
        </is>
      </c>
      <c r="H1596" s="86" t="n">
        <v>149.9</v>
      </c>
      <c r="I1596" s="86" t="n">
        <v>149.9</v>
      </c>
      <c r="J1596" s="69" t="inlineStr">
        <is>
          <t>NÃO</t>
        </is>
      </c>
      <c r="K1596" s="54" t="n"/>
      <c r="L1596" s="87" t="n">
        <v>149.9</v>
      </c>
      <c r="P1596" s="90">
        <f>IF($O1596="","",L1596-O1596-(L1596*IF(L1596&lt;=79.99,20%,14%)+IF(L1596&lt;=79.99,4,IF(L1596&lt;=99.99,16,IF(L1596&lt;=199.99,20,IF(L1596&lt;=499.99,26,28)))))-L1596*1.3%-L1596*6%-(L1596-O1596)*9.25%-L1596*3%-L1596*3%-1)</f>
        <v/>
      </c>
      <c r="Q1596" s="54">
        <f>IF(AND(K1596&lt;&gt;"",H1596&gt;0),(H1596-K1596)/H1596,"")</f>
        <v/>
      </c>
      <c r="R1596" s="54" t="n"/>
      <c r="S1596" s="54" t="n"/>
      <c r="T1596" s="54" t="n"/>
      <c r="U1596" s="54" t="n">
        <v>100202</v>
      </c>
      <c r="V1596" t="inlineStr">
        <is>
          <t>SANDUICHEIRA-BRANCA-110V</t>
        </is>
      </c>
      <c r="W1596" t="inlineStr">
        <is>
          <t>SKU idêntico na Olist · CUSTO ZERADO na Olist (conferido hoje)</t>
        </is>
      </c>
      <c r="Y1596" t="inlineStr">
        <is>
          <t>ok</t>
        </is>
      </c>
    </row>
    <row r="1597" ht="18" customHeight="1">
      <c r="A1597" s="60" t="inlineStr">
        <is>
          <t>Oliverhome</t>
        </is>
      </c>
      <c r="B1597" s="60" t="inlineStr">
        <is>
          <t>Sanduicheira Elétrica e Grill Família 2 em 1 - Inox antiaderente - 750W Oliver Home</t>
        </is>
      </c>
      <c r="C1597" s="60" t="inlineStr">
        <is>
          <t>Branco,220V</t>
        </is>
      </c>
      <c r="D1597" s="60" t="inlineStr">
        <is>
          <t>SANDUICHEIRA-BRANCA-220V</t>
        </is>
      </c>
      <c r="E1597" s="60" t="n">
        <v>23998894588</v>
      </c>
      <c r="F1597" s="60" t="n">
        <v>169409070637</v>
      </c>
      <c r="G1597" s="60" t="inlineStr">
        <is>
          <t>NORMAL</t>
        </is>
      </c>
      <c r="H1597" s="91" t="n">
        <v>149.9</v>
      </c>
      <c r="I1597" s="91" t="n">
        <v>149.9</v>
      </c>
      <c r="J1597" s="62" t="inlineStr">
        <is>
          <t>NÃO</t>
        </is>
      </c>
      <c r="K1597" s="60" t="inlineStr">
        <is>
          <t> </t>
        </is>
      </c>
      <c r="L1597" s="87" t="n">
        <v>149.9</v>
      </c>
      <c r="P1597" s="92">
        <f>IF($O1597="","",L1597-O1597-(L1597*IF(L1597&lt;=79.99,20%,14%)+IF(L1597&lt;=79.99,4,IF(L1597&lt;=99.99,16,IF(L1597&lt;=199.99,20,IF(L1597&lt;=499.99,26,28)))))-L1597*1.3%-L1597*6%-(L1597-O1597)*9.25%-L1597*3%-L1597*3%-1)</f>
        <v/>
      </c>
      <c r="Q1597" s="60" t="inlineStr">
        <is>
          <t> </t>
        </is>
      </c>
      <c r="R1597" s="60" t="inlineStr">
        <is>
          <t> </t>
        </is>
      </c>
      <c r="S1597" s="60" t="inlineStr">
        <is>
          <t> </t>
        </is>
      </c>
      <c r="T1597" s="60" t="inlineStr">
        <is>
          <t> </t>
        </is>
      </c>
      <c r="U1597" s="60" t="n">
        <v>100202</v>
      </c>
      <c r="V1597" t="inlineStr">
        <is>
          <t>SANDUICHEIRA-BRANCA-220V</t>
        </is>
      </c>
      <c r="W1597" t="inlineStr">
        <is>
          <t>SKU idêntico na Olist · CUSTO ZERADO na Olist (conferido hoje)</t>
        </is>
      </c>
      <c r="Y1597" t="inlineStr">
        <is>
          <t>ok</t>
        </is>
      </c>
    </row>
    <row r="1598" ht="18" customHeight="1">
      <c r="A1598" s="54" t="inlineStr">
        <is>
          <t>Oliverhome</t>
        </is>
      </c>
      <c r="B1598" s="54" t="inlineStr">
        <is>
          <t>Sanduicheira Elétrica e Grill Família 2 em 1 - Inox antiaderente - 750W Oliver Home</t>
        </is>
      </c>
      <c r="C1598" s="54" t="inlineStr">
        <is>
          <t>Preto,110V</t>
        </is>
      </c>
      <c r="D1598" s="54" t="inlineStr">
        <is>
          <t>SANDUICHEIRA-PRETO-110V</t>
        </is>
      </c>
      <c r="E1598" s="54" t="n">
        <v>23998894588</v>
      </c>
      <c r="F1598" s="54" t="n">
        <v>169409070638</v>
      </c>
      <c r="G1598" s="54" t="inlineStr">
        <is>
          <t>NORMAL</t>
        </is>
      </c>
      <c r="H1598" s="86" t="n">
        <v>149.9</v>
      </c>
      <c r="I1598" s="86" t="n">
        <v>69.90000000000001</v>
      </c>
      <c r="J1598" s="56" t="inlineStr">
        <is>
          <t>SIM</t>
        </is>
      </c>
      <c r="K1598" s="86" t="n">
        <v>69.90000000000001</v>
      </c>
      <c r="L1598" s="87" t="n">
        <v>69.90000000000001</v>
      </c>
      <c r="P1598" s="90">
        <f>IF($O1598="","",L1598-O1598-(L1598*IF(L1598&lt;=79.99,20%,14%)+IF(L1598&lt;=79.99,4,IF(L1598&lt;=99.99,16,IF(L1598&lt;=199.99,20,IF(L1598&lt;=499.99,26,28)))))-L1598*1.3%-L1598*6%-(L1598-O1598)*9.25%-L1598*3%-L1598*3%-1)</f>
        <v/>
      </c>
      <c r="Q1598" s="58" t="n">
        <v>0.534</v>
      </c>
      <c r="R1598" s="54" t="inlineStr">
        <is>
          <t>478840979931317, 488524742865093</t>
        </is>
      </c>
      <c r="S1598" s="59" t="n">
        <v>46248</v>
      </c>
      <c r="T1598" s="59" t="n">
        <v>46248.99930555555</v>
      </c>
      <c r="U1598" s="54" t="n">
        <v>100202</v>
      </c>
      <c r="W1598" t="inlineStr">
        <is>
          <t>ambíguo: SANDUICHEIRA-PRETO-110V (53%) vs 214024</t>
        </is>
      </c>
      <c r="X1598" t="n">
        <v>2847</v>
      </c>
      <c r="Y1598" t="inlineStr"/>
    </row>
    <row r="1599" ht="18" customHeight="1">
      <c r="A1599" s="60" t="inlineStr">
        <is>
          <t>Oliverhome</t>
        </is>
      </c>
      <c r="B1599" s="60" t="inlineStr">
        <is>
          <t>Sanduicheira Elétrica e Grill Família 2 em 1 - Inox antiaderente - 750W Oliver Home</t>
        </is>
      </c>
      <c r="C1599" s="60" t="inlineStr">
        <is>
          <t>Preto,220V</t>
        </is>
      </c>
      <c r="D1599" s="60" t="inlineStr">
        <is>
          <t>SANDUICHEIRA-PRETO-220V</t>
        </is>
      </c>
      <c r="E1599" s="60" t="n">
        <v>23998894588</v>
      </c>
      <c r="F1599" s="60" t="n">
        <v>169409070639</v>
      </c>
      <c r="G1599" s="60" t="inlineStr">
        <is>
          <t>NORMAL</t>
        </is>
      </c>
      <c r="H1599" s="91" t="n">
        <v>149.9</v>
      </c>
      <c r="I1599" s="91" t="n">
        <v>69.89</v>
      </c>
      <c r="J1599" s="65" t="inlineStr">
        <is>
          <t>SIM</t>
        </is>
      </c>
      <c r="K1599" s="91" t="n">
        <v>69.89</v>
      </c>
      <c r="L1599" s="87" t="n">
        <v>69.89</v>
      </c>
      <c r="P1599" s="92">
        <f>IF($O1599="","",L1599-O1599-(L1599*IF(L1599&lt;=79.99,20%,14%)+IF(L1599&lt;=79.99,4,IF(L1599&lt;=99.99,16,IF(L1599&lt;=199.99,20,IF(L1599&lt;=499.99,26,28)))))-L1599*1.3%-L1599*6%-(L1599-O1599)*9.25%-L1599*3%-L1599*3%-1)</f>
        <v/>
      </c>
      <c r="Q1599" s="67" t="n">
        <v>0.534</v>
      </c>
      <c r="R1599" s="60" t="inlineStr">
        <is>
          <t>478840979931317, 488524742865093</t>
        </is>
      </c>
      <c r="S1599" s="68" t="n">
        <v>46248</v>
      </c>
      <c r="T1599" s="68" t="n">
        <v>46248.99930555555</v>
      </c>
      <c r="U1599" s="60" t="n">
        <v>100202</v>
      </c>
      <c r="W1599" t="inlineStr">
        <is>
          <t>ambíguo: 214026 (43%) vs SANDUICHEIRA-PRETO-220V</t>
        </is>
      </c>
      <c r="X1599" t="n">
        <v>2236</v>
      </c>
      <c r="Y1599" t="inlineStr"/>
    </row>
    <row r="1600" ht="18" customHeight="1">
      <c r="A1600" s="54" t="inlineStr">
        <is>
          <t>Oliverhome</t>
        </is>
      </c>
      <c r="B1600" s="54" t="inlineStr">
        <is>
          <t>Short Attack Lupo Original Feminino Bermuda Para Corrida Academia Treino Fitness Malhação Ideal</t>
        </is>
      </c>
      <c r="C1600" s="54" t="inlineStr">
        <is>
          <t>Preto,G</t>
        </is>
      </c>
      <c r="D1600" s="54" t="inlineStr">
        <is>
          <t>SHORT-LUPO-G</t>
        </is>
      </c>
      <c r="E1600" s="54" t="n">
        <v>23194048218</v>
      </c>
      <c r="F1600" s="54" t="n">
        <v>139650654773</v>
      </c>
      <c r="G1600" s="54" t="inlineStr">
        <is>
          <t>NORMAL</t>
        </is>
      </c>
      <c r="H1600" s="86" t="n">
        <v>109.9</v>
      </c>
      <c r="I1600" s="86" t="n">
        <v>109.9</v>
      </c>
      <c r="J1600" s="69" t="inlineStr">
        <is>
          <t>NÃO</t>
        </is>
      </c>
      <c r="K1600" s="54" t="n"/>
      <c r="L1600" s="87" t="n">
        <v>109.9</v>
      </c>
      <c r="P1600" s="90">
        <f>IF($O1600="","",L1600-O1600-(L1600*IF(L1600&lt;=79.99,20%,14%)+IF(L1600&lt;=79.99,4,IF(L1600&lt;=99.99,16,IF(L1600&lt;=199.99,20,IF(L1600&lt;=499.99,26,28)))))-L1600*1.3%-L1600*6%-(L1600-O1600)*9.25%-L1600*3%-L1600*3%-1)</f>
        <v/>
      </c>
      <c r="Q1600" s="54">
        <f>IF(AND(K1600&lt;&gt;"",H1600&gt;0),(H1600-K1600)/H1600,"")</f>
        <v/>
      </c>
      <c r="R1600" s="54" t="n"/>
      <c r="S1600" s="54" t="n"/>
      <c r="T1600" s="54" t="n"/>
      <c r="U1600" s="54" t="n">
        <v>101313</v>
      </c>
      <c r="W1600" t="inlineStr">
        <is>
          <t>sem correspondência</t>
        </is>
      </c>
      <c r="Y1600" t="inlineStr"/>
    </row>
    <row r="1601" ht="18" customHeight="1">
      <c r="A1601" s="60" t="inlineStr">
        <is>
          <t>Oliverhome</t>
        </is>
      </c>
      <c r="B1601" s="60" t="inlineStr">
        <is>
          <t>Short Attack Lupo Original Feminino Bermuda Para Corrida Academia Treino Fitness Malhação Ideal</t>
        </is>
      </c>
      <c r="C1601" s="60" t="inlineStr">
        <is>
          <t>Preto,M</t>
        </is>
      </c>
      <c r="D1601" s="60" t="inlineStr">
        <is>
          <t>SHORT-LUPO-M</t>
        </is>
      </c>
      <c r="E1601" s="60" t="n">
        <v>23194048218</v>
      </c>
      <c r="F1601" s="60" t="n">
        <v>139650654772</v>
      </c>
      <c r="G1601" s="60" t="inlineStr">
        <is>
          <t>NORMAL</t>
        </is>
      </c>
      <c r="H1601" s="91" t="n">
        <v>109.9</v>
      </c>
      <c r="I1601" s="91" t="n">
        <v>109.9</v>
      </c>
      <c r="J1601" s="62" t="inlineStr">
        <is>
          <t>NÃO</t>
        </is>
      </c>
      <c r="K1601" s="60" t="inlineStr">
        <is>
          <t> </t>
        </is>
      </c>
      <c r="L1601" s="87" t="n">
        <v>109.9</v>
      </c>
      <c r="P1601" s="92">
        <f>IF($O1601="","",L1601-O1601-(L1601*IF(L1601&lt;=79.99,20%,14%)+IF(L1601&lt;=79.99,4,IF(L1601&lt;=99.99,16,IF(L1601&lt;=199.99,20,IF(L1601&lt;=499.99,26,28)))))-L1601*1.3%-L1601*6%-(L1601-O1601)*9.25%-L1601*3%-L1601*3%-1)</f>
        <v/>
      </c>
      <c r="Q1601" s="60" t="inlineStr">
        <is>
          <t> </t>
        </is>
      </c>
      <c r="R1601" s="60" t="inlineStr">
        <is>
          <t> </t>
        </is>
      </c>
      <c r="S1601" s="60" t="inlineStr">
        <is>
          <t> </t>
        </is>
      </c>
      <c r="T1601" s="60" t="inlineStr">
        <is>
          <t> </t>
        </is>
      </c>
      <c r="U1601" s="60" t="n">
        <v>101313</v>
      </c>
      <c r="W1601" t="inlineStr">
        <is>
          <t>sem correspondência</t>
        </is>
      </c>
      <c r="Y1601" t="inlineStr"/>
    </row>
    <row r="1602" ht="18" customHeight="1">
      <c r="A1602" s="54" t="inlineStr">
        <is>
          <t>Oliverhome</t>
        </is>
      </c>
      <c r="B1602" s="54" t="inlineStr">
        <is>
          <t>Short Attack Lupo Original Feminino Bermuda Para Corrida Academia Treino Fitness Malhação Ideal</t>
        </is>
      </c>
      <c r="C1602" s="54" t="inlineStr">
        <is>
          <t>Preto,P</t>
        </is>
      </c>
      <c r="D1602" s="54" t="inlineStr">
        <is>
          <t>SHORT-LUPO-P</t>
        </is>
      </c>
      <c r="E1602" s="54" t="n">
        <v>23194048218</v>
      </c>
      <c r="F1602" s="54" t="n">
        <v>139650654771</v>
      </c>
      <c r="G1602" s="54" t="inlineStr">
        <is>
          <t>NORMAL</t>
        </is>
      </c>
      <c r="H1602" s="86" t="n">
        <v>109.9</v>
      </c>
      <c r="I1602" s="86" t="n">
        <v>109.9</v>
      </c>
      <c r="J1602" s="69" t="inlineStr">
        <is>
          <t>NÃO</t>
        </is>
      </c>
      <c r="K1602" s="54" t="n"/>
      <c r="L1602" s="87" t="n">
        <v>109.9</v>
      </c>
      <c r="P1602" s="90">
        <f>IF($O1602="","",L1602-O1602-(L1602*IF(L1602&lt;=79.99,20%,14%)+IF(L1602&lt;=79.99,4,IF(L1602&lt;=99.99,16,IF(L1602&lt;=199.99,20,IF(L1602&lt;=499.99,26,28)))))-L1602*1.3%-L1602*6%-(L1602-O1602)*9.25%-L1602*3%-L1602*3%-1)</f>
        <v/>
      </c>
      <c r="Q1602" s="54">
        <f>IF(AND(K1602&lt;&gt;"",H1602&gt;0),(H1602-K1602)/H1602,"")</f>
        <v/>
      </c>
      <c r="R1602" s="54" t="n"/>
      <c r="S1602" s="54" t="n"/>
      <c r="T1602" s="54" t="n"/>
      <c r="U1602" s="54" t="n">
        <v>101313</v>
      </c>
      <c r="W1602" t="inlineStr">
        <is>
          <t>sem correspondência</t>
        </is>
      </c>
      <c r="Y1602" t="inlineStr"/>
    </row>
  </sheetData>
  <autoFilter ref="A4:U695"/>
  <mergeCells count="3">
    <mergeCell ref="M3:P3"/>
    <mergeCell ref="A1:U1"/>
    <mergeCell ref="A2:U2"/>
  </mergeCells>
  <conditionalFormatting sqref="O5:P695">
    <cfRule type="cellIs" priority="5" operator="greaterThan" dxfId="1">
      <formula>0</formula>
    </cfRule>
    <cfRule type="cellIs" priority="6" operator="equal" dxfId="5">
      <formula>0</formula>
    </cfRule>
    <cfRule type="expression" priority="7" dxfId="0">
      <formula>ISBLANK(O5)</formula>
    </cfRule>
  </conditionalFormatting>
  <conditionalFormatting sqref="P5:P695">
    <cfRule type="cellIs" priority="2" operator="greaterThan" dxfId="3">
      <formula>0</formula>
    </cfRule>
    <cfRule type="cellIs" priority="1" operator="lessThan" dxfId="2">
      <formula>0</formula>
    </cfRule>
  </conditionalFormatting>
  <pageMargins left="0.7" right="0.7" top="0.75" bottom="0.75" header="0.3" footer="0.3"/>
  <pageSetup orientation="landscape" fitToHeight="0" horizontalDpi="4294967295" verticalDpi="4294967295"/>
  <headerFooter>
    <oddHeader/>
    <oddFooter>&amp;LInterno — Shopee&amp;C&amp;P de &amp;N&amp;RColetado em 14/08/2026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terms:created xsi:type="dcterms:W3CDTF">2026-08-14T15:39:15Z</dcterms:created>
  <dcterms:modified xsi:type="dcterms:W3CDTF">2026-08-16T15:46:00Z</dcterms:modified>
</cp:coreProperties>
</file>